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POLSTAT STIS 64\4SD2\Skripsi\Berkas Sidang\"/>
    </mc:Choice>
  </mc:AlternateContent>
  <xr:revisionPtr revIDLastSave="0" documentId="13_ncr:1_{7F5178D4-9063-4546-BEF7-F88B1DE351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FIL PENELITI" sheetId="1" r:id="rId1"/>
    <sheet name="IDENTITAS UMUM" sheetId="2" r:id="rId2"/>
    <sheet name="PENGUKURAN TKT SOFTWARE" sheetId="3" r:id="rId3"/>
    <sheet name="RINGKASAN" sheetId="4" r:id="rId4"/>
  </sheets>
  <externalReferences>
    <externalReference r:id="rId5"/>
  </externalReferences>
  <definedNames>
    <definedName name="_xlnm.Print_Area" localSheetId="2">'PENGUKURAN TKT SOFTWARE'!$A$2:$I$65</definedName>
  </definedNames>
  <calcPr calcId="181029"/>
  <extLst>
    <ext uri="GoogleSheetsCustomDataVersion2">
      <go:sheetsCustomData xmlns:go="http://customooxmlschemas.google.com/" r:id="rId9" roundtripDataChecksum="/ZEykFoQ7F+LiCREvMaWy8qZ+LJMFNw2Ob2Zs45cMdw="/>
    </ext>
  </extLst>
</workbook>
</file>

<file path=xl/calcChain.xml><?xml version="1.0" encoding="utf-8"?>
<calcChain xmlns="http://schemas.openxmlformats.org/spreadsheetml/2006/main">
  <c r="E9" i="3" l="1"/>
  <c r="D54" i="4" s="1"/>
  <c r="C58" i="4"/>
  <c r="T23" i="4"/>
  <c r="K19" i="4"/>
  <c r="K18" i="4"/>
  <c r="K17" i="4"/>
  <c r="K16" i="4"/>
  <c r="K15" i="4"/>
  <c r="K14" i="4"/>
  <c r="K13" i="4"/>
  <c r="E63" i="3"/>
  <c r="D46" i="4" s="1"/>
  <c r="E54" i="3"/>
  <c r="D47" i="4" s="1"/>
  <c r="H51" i="3" a="1"/>
  <c r="H51" i="3" s="1"/>
  <c r="E48" i="3"/>
  <c r="H46" i="3" s="1" a="1"/>
  <c r="H46" i="3" s="1"/>
  <c r="E43" i="3"/>
  <c r="D49" i="4" s="1"/>
  <c r="E38" i="3"/>
  <c r="D50" i="4" s="1"/>
  <c r="E29" i="3"/>
  <c r="D51" i="4" s="1"/>
  <c r="H24" i="3" a="1"/>
  <c r="E21" i="3"/>
  <c r="D52" i="4" s="1"/>
  <c r="E15" i="3"/>
  <c r="H12" i="3" s="1" a="1"/>
  <c r="H12" i="3" s="1"/>
  <c r="G12" i="3" a="1"/>
  <c r="H18" i="3" l="1" a="1"/>
  <c r="G32" i="3" a="1"/>
  <c r="H32" i="3" a="1"/>
  <c r="G51" i="3" a="1"/>
  <c r="G51" i="3" s="1"/>
  <c r="H41" i="3" a="1"/>
  <c r="H41" i="3" s="1"/>
  <c r="G32" i="3"/>
  <c r="H32" i="3"/>
  <c r="H24" i="3"/>
  <c r="H18" i="3"/>
  <c r="G12" i="3"/>
  <c r="D53" i="4"/>
  <c r="C51" i="4" s="1"/>
  <c r="B51" i="4" s="1"/>
  <c r="C49" i="4"/>
  <c r="B49" i="4" s="1"/>
  <c r="G41" i="3" a="1"/>
  <c r="G41" i="3" s="1"/>
  <c r="C52" i="4"/>
  <c r="B52" i="4" s="1"/>
  <c r="H6" i="3" a="1"/>
  <c r="H6" i="3" s="1"/>
  <c r="G18" i="3" a="1"/>
  <c r="G18" i="3" s="1"/>
  <c r="H57" i="3" a="1"/>
  <c r="H57" i="3" s="1"/>
  <c r="C50" i="4"/>
  <c r="B50" i="4" s="1"/>
  <c r="G46" i="3" a="1"/>
  <c r="G46" i="3" s="1"/>
  <c r="D48" i="4"/>
  <c r="C47" i="4" s="1"/>
  <c r="B47" i="4" s="1"/>
  <c r="G24" i="3" a="1"/>
  <c r="G24" i="3" s="1"/>
  <c r="C54" i="4"/>
  <c r="B54" i="4" s="1"/>
  <c r="G6" i="3" a="1"/>
  <c r="G6" i="3" s="1"/>
  <c r="G57" i="3" a="1"/>
  <c r="G57" i="3" s="1"/>
  <c r="C48" i="4" l="1"/>
  <c r="B48" i="4" s="1"/>
  <c r="C46" i="4"/>
  <c r="B46" i="4" s="1"/>
  <c r="C53" i="4"/>
  <c r="B53" i="4" s="1"/>
  <c r="P40" i="4" l="1"/>
  <c r="K23" i="4" s="1"/>
</calcChain>
</file>

<file path=xl/sharedStrings.xml><?xml version="1.0" encoding="utf-8"?>
<sst xmlns="http://schemas.openxmlformats.org/spreadsheetml/2006/main" count="286" uniqueCount="133">
  <si>
    <t>PROFIL PENELITI</t>
  </si>
  <si>
    <t>Nama Peneliti</t>
  </si>
  <si>
    <t>:</t>
  </si>
  <si>
    <t>Jenis Lembaga</t>
  </si>
  <si>
    <t>Nama Lembaga</t>
  </si>
  <si>
    <t>PERGURUAN TINGGI</t>
  </si>
  <si>
    <t>Semua Bidang</t>
  </si>
  <si>
    <t>Baru</t>
  </si>
  <si>
    <t>Jabatan Pengusul</t>
  </si>
  <si>
    <t>KOPERTIS</t>
  </si>
  <si>
    <t xml:space="preserve">Energi </t>
  </si>
  <si>
    <t>Berlanjut</t>
  </si>
  <si>
    <t>LEMBAGA LPNK</t>
  </si>
  <si>
    <t>Transportasi</t>
  </si>
  <si>
    <t>Selesai</t>
  </si>
  <si>
    <t>NIDN (Jika Dosen)</t>
  </si>
  <si>
    <t>LITBANG KEMENTERIAN</t>
  </si>
  <si>
    <t>TIK</t>
  </si>
  <si>
    <t>Alamat</t>
  </si>
  <si>
    <t>LITBANG DAERAH</t>
  </si>
  <si>
    <t>Pangan</t>
  </si>
  <si>
    <t>Kota</t>
  </si>
  <si>
    <t>LITBANG PERUSAHAAN</t>
  </si>
  <si>
    <t>Kesehatan &amp; Obat</t>
  </si>
  <si>
    <t>Telepon</t>
  </si>
  <si>
    <t>Material Maju</t>
  </si>
  <si>
    <t>Email</t>
  </si>
  <si>
    <t>Maritim</t>
  </si>
  <si>
    <t>DATA TEKNOLOGI YANG DIKEMBANGKAN</t>
  </si>
  <si>
    <t>Identitas Umum</t>
  </si>
  <si>
    <t>Nama Kegiatan Penelitian</t>
  </si>
  <si>
    <t>Nama Teknologi yang Dikembangkan</t>
  </si>
  <si>
    <t>Bidang Teknologi</t>
  </si>
  <si>
    <t>Deskripsi Teknologi</t>
  </si>
  <si>
    <t>Status Riset</t>
  </si>
  <si>
    <t>Publikasi</t>
  </si>
  <si>
    <t>Pendanaan</t>
  </si>
  <si>
    <t>Hankam</t>
  </si>
  <si>
    <t>Sumber Dana</t>
  </si>
  <si>
    <t>Skema Pembiayaan</t>
  </si>
  <si>
    <t>Besaran Dana</t>
  </si>
  <si>
    <t>Koordinator Penelitian</t>
  </si>
  <si>
    <t>Sosial Humaniora</t>
  </si>
  <si>
    <t>Nama</t>
  </si>
  <si>
    <t>Kebencanaan dan Lingkungan</t>
  </si>
  <si>
    <t>Lainnya</t>
  </si>
  <si>
    <t>Lembaga</t>
  </si>
  <si>
    <t>INDIKATOR TKT BIDANG SOFTWARE</t>
  </si>
  <si>
    <t>TKT 1</t>
  </si>
  <si>
    <t>No</t>
  </si>
  <si>
    <t>Indikator</t>
  </si>
  <si>
    <t>Pengukuran</t>
  </si>
  <si>
    <t xml:space="preserve">Keterangan </t>
  </si>
  <si>
    <t>NILAI TKT</t>
  </si>
  <si>
    <t xml:space="preserve">Merupakan tingkat terendah dari kesiapan teknologi perangkat lunak </t>
  </si>
  <si>
    <t>Merupakan ranah baru dalam perangkat lunak yang sedang didalami oleh komunitas riset dasar</t>
  </si>
  <si>
    <t>Mencakup juga pengembangan dari penggunaan tingkat dasar, sifat dasar dari arsitektur perangkat lunak, formulasi matematika, dan algoritma umum</t>
  </si>
  <si>
    <t>Nilai Rata-rata</t>
  </si>
  <si>
    <t>TKT 2</t>
  </si>
  <si>
    <t>Setelah prinsip dasar teramati, berlanjut pada pembuatan aplikasi yang bersifat praktis</t>
  </si>
  <si>
    <t>Aplikasi bersifat spekulatif, dan terdapat kemungkinan tidak memiliki bukti atau analisis rinci untuk mendukung asumsi yang ada/dilakukan</t>
  </si>
  <si>
    <t>Contoh-contoh dibatasi pada studi analitik dengan menggunakan data sintetis (buatan)</t>
  </si>
  <si>
    <t>TKT 3</t>
  </si>
  <si>
    <t>Terdapat inisiasi proses penelitian dan pengembangan yang dilakukan secara aktif</t>
  </si>
  <si>
    <t>Kelayakan ilmiah ditunjukkan melalui studi analitik dan laboratorium</t>
  </si>
  <si>
    <t>Mencakup juga pengembangan dari lingkungan fungsi terbatas untuk memvalidasi sifat kritis dan prediksi analitis menggunakan : (1) komponen perangkat lunak yang  tidak terintegrasi dan (2) sebagian data yang mewakili</t>
  </si>
  <si>
    <t>TKT 4</t>
  </si>
  <si>
    <t>Komponen dasar dari perangkat lunak dasar terintegrasi bekerja secara bersama-sama</t>
  </si>
  <si>
    <t>Relatif primitif bila sisi efisiensi dan kehandalan (robustness) dibandingkan dengan sistem/produk akhirnya</t>
  </si>
  <si>
    <t>Pengembangan arsitektur dimulai dengan cakupan isu-isu terkait interoperabilitas, kehandalan, kemudahan pemeliharaan, kemampuan peningkatan, skalabilitas, dan keamanan</t>
  </si>
  <si>
    <t>Terdapat usaha penyesuaian dengan elemen (teknologi) terkini</t>
  </si>
  <si>
    <t>Prototipe yang ada dikembangkan untuk menunjukkan aspek yang berbeda pada sistem/produk akhirnya</t>
  </si>
  <si>
    <t>TKT 5</t>
  </si>
  <si>
    <t>Merupakan tingkatan dimana teknologi perangkat lunak yang dikembangkan siap untuk diintegrasikan dengan sistem eksisting</t>
  </si>
  <si>
    <t>Implementasi prototipe yang sesuai/patuh dengan lingkungan/antarmuka dari target</t>
  </si>
  <si>
    <t>Dilakukan eksperimen terhadap permasalahan yang sesungguhnya (real)</t>
  </si>
  <si>
    <t>Melakukan simulasi terhadap antarmuka dari sistem eksisting</t>
  </si>
  <si>
    <t>Arsitektur perangkat lunak sistem selesai</t>
  </si>
  <si>
    <t xml:space="preserve">Algoritma berjalan pada (multi) prosesor di lingkungan operasional dengan karakteristik yang sesuai ekspektasi </t>
  </si>
  <si>
    <t>TKT 6</t>
  </si>
  <si>
    <t>Merupakan tingkatan dimana kelayakan rekayasa dari teknologi perangkat lunak ditunjukkan</t>
  </si>
  <si>
    <t>Mencakup juga implementasi prototipe laboratorium dengan permasalahan realistik skala penuh, dimana teknologi perangkat lunak terintegrasi secara parsial dengan perangkat keras/lunak dari sistem eksisting</t>
  </si>
  <si>
    <t>TKT 7</t>
  </si>
  <si>
    <t>Merupakan tingkatan dimana kelayakan program dari teknologi perangkat lunak ditunjukkan</t>
  </si>
  <si>
    <t>Mencakup juga implementasi prototipe lingkungan operasional, dimana fungsi risiko teknis yang bersifat kritikal tersedia untuk ditunjukkan dan diuji dalam kondisi teknologi perangkat lunak tersebut terintegrasi secara baik dengan perangkat keras/lunak dari sistem operasional</t>
  </si>
  <si>
    <t>TKT 8</t>
  </si>
  <si>
    <t>Merupakan tingkatan dimana teknologi perangkat lunak terintegrasi sepenuhnya dengan perangkat keras dan lunak dari sistem operasional</t>
  </si>
  <si>
    <t>Dokumentasi pengembangan perangkat lunak lengkap</t>
  </si>
  <si>
    <t>Semua fungsi diuji baik dalam skenario simulasi maupun operasional</t>
  </si>
  <si>
    <t>TKT 9</t>
  </si>
  <si>
    <t>Merupakan tingkatan dimana teknologi perangkat lunak tersebut siap untuk dikembangkan maupun dipakai secara berulang (rapid development/re-use)</t>
  </si>
  <si>
    <t>Perangkat lunak berbasis teknologi yang sepenuhnya terintegrasi dengan perangkat keras/lunak dari sistem operasional</t>
  </si>
  <si>
    <t>Semua dokumentasi perangkat lunak telah diverifikasi</t>
  </si>
  <si>
    <t>Memiliki pengalaman sukses dari sisi operasional</t>
  </si>
  <si>
    <t>Terdapat dukungan berkelanjutan terhadap rekayasa perangkat lunak</t>
  </si>
  <si>
    <t>Sistem bersifat aktual (benar-benar ada dan dipergunakan)</t>
  </si>
  <si>
    <t>KEMENTERIAN RISET, TEKNOLOGI DAN PENDIDIKAN TINGGI</t>
  </si>
  <si>
    <t>DIREKTORAT JENDERAL PENGUATAN RISET DAN PENGEMBANGAN</t>
  </si>
  <si>
    <t>Jl. M. H. Thamrin No. 8 Jakarta Pusat 10340-Gedung II BPPT Lantai 19</t>
  </si>
  <si>
    <t>Telepon 021 3169758 Faksimile 021 3102156/31023902</t>
  </si>
  <si>
    <t>Homepage : www.ristekdikti.go.id</t>
  </si>
  <si>
    <t>RINGKASAN HASIL</t>
  </si>
  <si>
    <t>PENGUKURAN TINGKAT KESIAPTERAPAN TEKNOLOGI (TKT)</t>
  </si>
  <si>
    <t>No:</t>
  </si>
  <si>
    <t>Nama/Judul Teknologi</t>
  </si>
  <si>
    <t xml:space="preserve">Pimpinan Program / Kegiatan      </t>
  </si>
  <si>
    <t>Lembaga / Unit Pelaksana</t>
  </si>
  <si>
    <t>Alamat / Kontak</t>
  </si>
  <si>
    <t>Telp/Fax</t>
  </si>
  <si>
    <t>Tanggal Pengukuran TKT</t>
  </si>
  <si>
    <t>Level TKT yang dicapai    :</t>
  </si>
  <si>
    <t>(dari 9 level)</t>
  </si>
  <si>
    <t>% Komplit Indikator =</t>
  </si>
  <si>
    <t xml:space="preserve"> </t>
  </si>
  <si>
    <t>TKT-Meter</t>
  </si>
  <si>
    <t>TKT</t>
  </si>
  <si>
    <t>=</t>
  </si>
  <si>
    <t>% Set Point</t>
  </si>
  <si>
    <t>(default)</t>
  </si>
  <si>
    <t>TRL yang dicapai adalah = TRL tertinggi yang indikatornya terpenuhi</t>
  </si>
  <si>
    <t>Atikah Nurfadia</t>
  </si>
  <si>
    <t>Politeknik Statistika STIS</t>
  </si>
  <si>
    <t xml:space="preserve">Penyusunan Model Simulasi Spatial Spillover Effects Sektor Pariwisata Menggunakan Interregional Input-Output Network dan Gospatial Big Data </t>
  </si>
  <si>
    <t>Web Story Dashboard Simulasi Spillover Pariwisata Bali</t>
  </si>
  <si>
    <t>Web story interaktif berbasis HTML/JS untuk memvisualisasikan hasil simulasi IRIO spillover pariwisata Bali</t>
  </si>
  <si>
    <t>Pendidikan Tinggi</t>
  </si>
  <si>
    <t>Mahasiswa</t>
  </si>
  <si>
    <t>NIM</t>
  </si>
  <si>
    <t>Skripsi</t>
  </si>
  <si>
    <t>Mandiri</t>
  </si>
  <si>
    <t xml:space="preserve">Dr. Eng. Arie Wahyu Wijayanto, SST., MT. </t>
  </si>
  <si>
    <t>085890363680</t>
  </si>
  <si>
    <t>ariewahyu@stis.ac.id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</si>
</sst>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mmdd"/>
    <numFmt numFmtId="166" formatCode="\-000"/>
    <numFmt numFmtId="167" formatCode="[$-409]dd\-mmm\-yy"/>
  </numFmts>
  <fonts count="47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rial"/>
    </font>
    <font>
      <sz val="11"/>
      <name val="Calibri"/>
    </font>
    <font>
      <sz val="12"/>
      <color theme="1"/>
      <name val="Arial"/>
    </font>
    <font>
      <b/>
      <sz val="12"/>
      <color theme="1"/>
      <name val="Arial"/>
    </font>
    <font>
      <sz val="11"/>
      <color theme="1"/>
      <name val="Calibri"/>
      <scheme val="minor"/>
    </font>
    <font>
      <b/>
      <sz val="16"/>
      <color theme="0"/>
      <name val="Arial"/>
    </font>
    <font>
      <b/>
      <sz val="12"/>
      <color rgb="FFFF0000"/>
      <name val="Arial"/>
    </font>
    <font>
      <sz val="8"/>
      <color rgb="FF444444"/>
      <name val="Arial"/>
    </font>
    <font>
      <sz val="8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21"/>
      <color theme="1"/>
      <name val="Vogel"/>
    </font>
    <font>
      <b/>
      <sz val="10"/>
      <color theme="1"/>
      <name val="Vogel"/>
    </font>
    <font>
      <b/>
      <sz val="14"/>
      <color theme="1"/>
      <name val="Vogel"/>
    </font>
    <font>
      <b/>
      <sz val="14"/>
      <color rgb="FFFF0000"/>
      <name val="Vogel"/>
    </font>
    <font>
      <b/>
      <sz val="12"/>
      <color theme="1"/>
      <name val="Vogel"/>
    </font>
    <font>
      <b/>
      <sz val="20"/>
      <color theme="1"/>
      <name val="VogelCondensed"/>
    </font>
    <font>
      <b/>
      <sz val="36"/>
      <color theme="1"/>
      <name val="VogelWide"/>
    </font>
    <font>
      <b/>
      <sz val="16"/>
      <color theme="1"/>
      <name val="VogelCondensed"/>
    </font>
    <font>
      <sz val="12"/>
      <color theme="1"/>
      <name val="Vogel"/>
    </font>
    <font>
      <b/>
      <sz val="10"/>
      <color theme="1"/>
      <name val="VogelCondensed"/>
    </font>
    <font>
      <sz val="16"/>
      <color theme="1"/>
      <name val="Libre Baskerville"/>
    </font>
    <font>
      <sz val="10"/>
      <color rgb="FFFF0000"/>
      <name val="Arial"/>
    </font>
    <font>
      <b/>
      <sz val="36"/>
      <color rgb="FFFF0000"/>
      <name val="Calibri"/>
    </font>
    <font>
      <b/>
      <sz val="12"/>
      <color rgb="FFFF0000"/>
      <name val="VogelWide"/>
    </font>
    <font>
      <sz val="10"/>
      <color rgb="FF0000FF"/>
      <name val="Arial"/>
    </font>
    <font>
      <sz val="12"/>
      <color rgb="FFFF0000"/>
      <name val="Hanzel"/>
    </font>
    <font>
      <b/>
      <sz val="14"/>
      <color theme="1"/>
      <name val="Antiqua101Condensed"/>
    </font>
    <font>
      <sz val="14"/>
      <color rgb="FF0000FF"/>
      <name val="Antiqua101Condensed"/>
    </font>
    <font>
      <b/>
      <sz val="40"/>
      <color theme="1"/>
      <name val="Calibri"/>
    </font>
    <font>
      <b/>
      <sz val="18"/>
      <color theme="1"/>
      <name val="Arial"/>
    </font>
    <font>
      <sz val="36"/>
      <color rgb="FF008000"/>
      <name val="VogelWide"/>
    </font>
    <font>
      <sz val="18"/>
      <color theme="1"/>
      <name val="Antiqua101"/>
    </font>
    <font>
      <b/>
      <sz val="10"/>
      <color rgb="FF008000"/>
      <name val="Cupid"/>
    </font>
    <font>
      <b/>
      <sz val="10"/>
      <color theme="1"/>
      <name val="Cupid"/>
    </font>
    <font>
      <b/>
      <sz val="10"/>
      <color theme="1"/>
      <name val="Arial"/>
    </font>
    <font>
      <sz val="10"/>
      <color rgb="FFFF0000"/>
      <name val="Cupid"/>
    </font>
    <font>
      <sz val="10"/>
      <color theme="1"/>
      <name val="Antiqua101"/>
    </font>
    <font>
      <sz val="10"/>
      <color theme="1"/>
      <name val="Ameretto"/>
    </font>
    <font>
      <b/>
      <sz val="10"/>
      <color rgb="FFFF0000"/>
      <name val="Arial"/>
    </font>
    <font>
      <sz val="26"/>
      <color rgb="FF0000FF"/>
      <name val="Arial"/>
    </font>
    <font>
      <b/>
      <sz val="18"/>
      <color theme="1"/>
      <name val="Vogel"/>
    </font>
    <font>
      <u/>
      <sz val="11"/>
      <color theme="10"/>
      <name val="Calibri"/>
      <scheme val="minor"/>
    </font>
    <font>
      <sz val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76923C"/>
        <bgColor rgb="FF76923C"/>
      </patternFill>
    </fill>
    <fill>
      <patternFill patternType="solid">
        <fgColor rgb="FF4F6128"/>
        <bgColor rgb="FF4F6128"/>
      </patternFill>
    </fill>
    <fill>
      <patternFill patternType="solid">
        <fgColor rgb="FF000080"/>
        <bgColor rgb="FF000080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99CC00"/>
        <bgColor rgb="FF99CC00"/>
      </patternFill>
    </fill>
    <fill>
      <patternFill patternType="solid">
        <fgColor rgb="FFFFCC99"/>
        <bgColor rgb="FFFFCC99"/>
      </patternFill>
    </fill>
    <fill>
      <patternFill patternType="solid">
        <fgColor rgb="FF00FFFF"/>
        <bgColor rgb="FF00FFFF"/>
      </patternFill>
    </fill>
    <fill>
      <patternFill patternType="solid">
        <fgColor theme="0" tint="-0.14999847407452621"/>
        <bgColor theme="0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45" fillId="0" borderId="0" applyNumberFormat="0" applyFill="0" applyBorder="0" applyAlignment="0" applyProtection="0"/>
  </cellStyleXfs>
  <cellXfs count="222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 vertical="center"/>
    </xf>
    <xf numFmtId="0" fontId="4" fillId="3" borderId="5" xfId="0" applyFont="1" applyFill="1" applyBorder="1"/>
    <xf numFmtId="0" fontId="4" fillId="3" borderId="6" xfId="0" applyFont="1" applyFill="1" applyBorder="1"/>
    <xf numFmtId="0" fontId="6" fillId="0" borderId="0" xfId="0" applyFont="1"/>
    <xf numFmtId="0" fontId="4" fillId="3" borderId="8" xfId="0" applyFont="1" applyFill="1" applyBorder="1"/>
    <xf numFmtId="0" fontId="4" fillId="0" borderId="0" xfId="0" applyFont="1"/>
    <xf numFmtId="0" fontId="4" fillId="3" borderId="1" xfId="0" applyFont="1" applyFill="1" applyBorder="1"/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/>
    <xf numFmtId="0" fontId="4" fillId="3" borderId="10" xfId="0" applyFont="1" applyFill="1" applyBorder="1" applyAlignment="1">
      <alignment horizontal="center" vertical="center"/>
    </xf>
    <xf numFmtId="9" fontId="4" fillId="3" borderId="10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/>
    <xf numFmtId="164" fontId="5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" fillId="13" borderId="22" xfId="0" applyFont="1" applyFill="1" applyBorder="1" applyAlignment="1">
      <alignment horizontal="left" vertical="top" wrapText="1"/>
    </xf>
    <xf numFmtId="0" fontId="1" fillId="13" borderId="23" xfId="0" applyFont="1" applyFill="1" applyBorder="1" applyAlignment="1">
      <alignment horizontal="left" vertical="top" wrapText="1"/>
    </xf>
    <xf numFmtId="0" fontId="25" fillId="13" borderId="23" xfId="0" applyFont="1" applyFill="1" applyBorder="1" applyAlignment="1">
      <alignment horizontal="center" vertical="top" wrapText="1"/>
    </xf>
    <xf numFmtId="0" fontId="1" fillId="13" borderId="24" xfId="0" applyFont="1" applyFill="1" applyBorder="1" applyAlignment="1">
      <alignment horizontal="left" vertical="top" wrapText="1"/>
    </xf>
    <xf numFmtId="0" fontId="1" fillId="13" borderId="25" xfId="0" applyFont="1" applyFill="1" applyBorder="1" applyAlignment="1">
      <alignment horizontal="left" vertical="top" wrapText="1"/>
    </xf>
    <xf numFmtId="0" fontId="1" fillId="13" borderId="26" xfId="0" applyFont="1" applyFill="1" applyBorder="1" applyAlignment="1">
      <alignment horizontal="left" vertical="top" wrapText="1"/>
    </xf>
    <xf numFmtId="0" fontId="31" fillId="17" borderId="27" xfId="0" applyFont="1" applyFill="1" applyBorder="1" applyAlignment="1">
      <alignment horizontal="left" vertical="center" wrapText="1"/>
    </xf>
    <xf numFmtId="10" fontId="31" fillId="17" borderId="28" xfId="0" applyNumberFormat="1" applyFont="1" applyFill="1" applyBorder="1" applyAlignment="1">
      <alignment horizontal="left" vertical="center" wrapText="1"/>
    </xf>
    <xf numFmtId="10" fontId="31" fillId="17" borderId="29" xfId="0" applyNumberFormat="1" applyFont="1" applyFill="1" applyBorder="1" applyAlignment="1">
      <alignment horizontal="left" vertical="center" wrapText="1"/>
    </xf>
    <xf numFmtId="10" fontId="31" fillId="17" borderId="31" xfId="0" applyNumberFormat="1" applyFont="1" applyFill="1" applyBorder="1" applyAlignment="1">
      <alignment horizontal="left" vertical="center" wrapText="1"/>
    </xf>
    <xf numFmtId="0" fontId="34" fillId="3" borderId="32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top" wrapText="1"/>
    </xf>
    <xf numFmtId="0" fontId="41" fillId="13" borderId="33" xfId="0" applyFont="1" applyFill="1" applyBorder="1" applyAlignment="1">
      <alignment horizontal="center" vertical="top" wrapText="1"/>
    </xf>
    <xf numFmtId="0" fontId="41" fillId="13" borderId="34" xfId="0" applyFont="1" applyFill="1" applyBorder="1" applyAlignment="1">
      <alignment horizontal="center" vertical="top" wrapText="1"/>
    </xf>
    <xf numFmtId="0" fontId="1" fillId="13" borderId="34" xfId="0" applyFont="1" applyFill="1" applyBorder="1" applyAlignment="1">
      <alignment horizontal="left" vertical="top" wrapText="1"/>
    </xf>
    <xf numFmtId="0" fontId="1" fillId="13" borderId="34" xfId="0" applyFont="1" applyFill="1" applyBorder="1" applyAlignment="1">
      <alignment horizontal="right" vertical="top" wrapText="1"/>
    </xf>
    <xf numFmtId="0" fontId="1" fillId="13" borderId="35" xfId="0" applyFont="1" applyFill="1" applyBorder="1" applyAlignment="1">
      <alignment horizontal="left" vertical="top" wrapText="1"/>
    </xf>
    <xf numFmtId="0" fontId="12" fillId="19" borderId="10" xfId="0" applyFont="1" applyFill="1" applyBorder="1" applyAlignment="1">
      <alignment vertical="top"/>
    </xf>
    <xf numFmtId="0" fontId="42" fillId="16" borderId="10" xfId="0" applyFont="1" applyFill="1" applyBorder="1" applyAlignment="1">
      <alignment horizontal="center" vertical="top" wrapText="1"/>
    </xf>
    <xf numFmtId="164" fontId="41" fillId="0" borderId="10" xfId="0" applyNumberFormat="1" applyFont="1" applyBorder="1" applyAlignment="1">
      <alignment horizontal="left" vertical="top" wrapText="1"/>
    </xf>
    <xf numFmtId="0" fontId="4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43" fillId="0" borderId="0" xfId="0" applyFont="1" applyAlignment="1">
      <alignment horizontal="center" vertical="top" wrapText="1"/>
    </xf>
    <xf numFmtId="164" fontId="12" fillId="20" borderId="36" xfId="0" applyNumberFormat="1" applyFont="1" applyFill="1" applyBorder="1" applyAlignment="1">
      <alignment horizontal="right"/>
    </xf>
    <xf numFmtId="0" fontId="1" fillId="0" borderId="0" xfId="0" quotePrefix="1" applyFont="1" applyAlignment="1">
      <alignment horizontal="left" vertical="top" wrapText="1"/>
    </xf>
    <xf numFmtId="0" fontId="4" fillId="2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21" borderId="6" xfId="0" applyFont="1" applyFill="1" applyBorder="1"/>
    <xf numFmtId="0" fontId="4" fillId="3" borderId="6" xfId="0" quotePrefix="1" applyFont="1" applyFill="1" applyBorder="1" applyAlignment="1">
      <alignment horizontal="left"/>
    </xf>
    <xf numFmtId="0" fontId="46" fillId="3" borderId="7" xfId="1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4" fillId="2" borderId="40" xfId="0" applyFont="1" applyFill="1" applyBorder="1"/>
    <xf numFmtId="0" fontId="4" fillId="2" borderId="30" xfId="0" applyFont="1" applyFill="1" applyBorder="1"/>
    <xf numFmtId="0" fontId="1" fillId="2" borderId="41" xfId="0" applyFont="1" applyFill="1" applyBorder="1"/>
    <xf numFmtId="0" fontId="5" fillId="2" borderId="30" xfId="0" applyFont="1" applyFill="1" applyBorder="1" applyAlignment="1">
      <alignment horizontal="left"/>
    </xf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4" xfId="0" applyFont="1" applyFill="1" applyBorder="1"/>
    <xf numFmtId="0" fontId="4" fillId="2" borderId="40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vertical="center"/>
    </xf>
    <xf numFmtId="0" fontId="4" fillId="3" borderId="6" xfId="0" quotePrefix="1" applyFont="1" applyFill="1" applyBorder="1" applyAlignment="1">
      <alignment horizontal="left" vertical="center"/>
    </xf>
    <xf numFmtId="0" fontId="46" fillId="3" borderId="7" xfId="1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/>
    </xf>
    <xf numFmtId="0" fontId="4" fillId="21" borderId="7" xfId="0" applyFont="1" applyFill="1" applyBorder="1" applyAlignment="1">
      <alignment vertical="center"/>
    </xf>
    <xf numFmtId="0" fontId="4" fillId="21" borderId="8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4" fillId="0" borderId="40" xfId="0" applyFont="1" applyBorder="1"/>
    <xf numFmtId="0" fontId="4" fillId="0" borderId="30" xfId="0" applyFont="1" applyBorder="1"/>
    <xf numFmtId="0" fontId="4" fillId="0" borderId="41" xfId="0" applyFont="1" applyBorder="1"/>
    <xf numFmtId="0" fontId="4" fillId="3" borderId="40" xfId="0" applyFont="1" applyFill="1" applyBorder="1"/>
    <xf numFmtId="0" fontId="4" fillId="3" borderId="30" xfId="0" applyFont="1" applyFill="1" applyBorder="1"/>
    <xf numFmtId="0" fontId="4" fillId="3" borderId="41" xfId="0" applyFont="1" applyFill="1" applyBorder="1"/>
    <xf numFmtId="0" fontId="8" fillId="3" borderId="30" xfId="0" applyFont="1" applyFill="1" applyBorder="1" applyAlignment="1">
      <alignment vertical="center"/>
    </xf>
    <xf numFmtId="0" fontId="4" fillId="0" borderId="42" xfId="0" applyFont="1" applyBorder="1"/>
    <xf numFmtId="0" fontId="4" fillId="0" borderId="43" xfId="0" applyFont="1" applyBorder="1"/>
    <xf numFmtId="0" fontId="4" fillId="0" borderId="44" xfId="0" applyFont="1" applyBorder="1"/>
    <xf numFmtId="0" fontId="5" fillId="3" borderId="10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5" fillId="3" borderId="1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1" fillId="0" borderId="30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righ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right" vertical="top" wrapText="1"/>
    </xf>
    <xf numFmtId="0" fontId="1" fillId="0" borderId="46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top" wrapText="1"/>
    </xf>
    <xf numFmtId="0" fontId="15" fillId="0" borderId="30" xfId="0" applyFont="1" applyBorder="1" applyAlignment="1">
      <alignment horizontal="left" vertical="top" wrapText="1"/>
    </xf>
    <xf numFmtId="0" fontId="15" fillId="0" borderId="41" xfId="0" applyFont="1" applyBorder="1" applyAlignment="1">
      <alignment horizontal="left" vertical="top" wrapText="1"/>
    </xf>
    <xf numFmtId="0" fontId="15" fillId="0" borderId="30" xfId="0" applyFont="1" applyBorder="1" applyAlignment="1">
      <alignment horizontal="right" vertical="top" wrapText="1"/>
    </xf>
    <xf numFmtId="0" fontId="16" fillId="0" borderId="30" xfId="0" applyFont="1" applyBorder="1" applyAlignment="1">
      <alignment horizontal="left" vertical="top" wrapText="1"/>
    </xf>
    <xf numFmtId="0" fontId="18" fillId="0" borderId="30" xfId="0" applyFont="1" applyBorder="1" applyAlignment="1">
      <alignment horizontal="left" vertical="top" wrapText="1"/>
    </xf>
    <xf numFmtId="0" fontId="18" fillId="0" borderId="41" xfId="0" applyFont="1" applyBorder="1" applyAlignment="1">
      <alignment horizontal="left" vertical="top" wrapText="1"/>
    </xf>
    <xf numFmtId="0" fontId="18" fillId="0" borderId="30" xfId="0" applyFont="1" applyBorder="1" applyAlignment="1">
      <alignment vertical="top" wrapText="1"/>
    </xf>
    <xf numFmtId="0" fontId="18" fillId="0" borderId="41" xfId="0" applyFont="1" applyBorder="1" applyAlignment="1">
      <alignment vertical="center" wrapText="1"/>
    </xf>
    <xf numFmtId="0" fontId="23" fillId="0" borderId="30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" fillId="14" borderId="30" xfId="0" applyFont="1" applyFill="1" applyBorder="1" applyAlignment="1">
      <alignment horizontal="left" vertical="top" wrapText="1"/>
    </xf>
    <xf numFmtId="0" fontId="25" fillId="14" borderId="30" xfId="0" applyFont="1" applyFill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27" fillId="14" borderId="30" xfId="0" applyFont="1" applyFill="1" applyBorder="1" applyAlignment="1">
      <alignment horizontal="center" vertical="center" wrapText="1"/>
    </xf>
    <xf numFmtId="0" fontId="4" fillId="14" borderId="30" xfId="0" applyFont="1" applyFill="1" applyBorder="1" applyAlignment="1">
      <alignment horizontal="left" vertical="top" wrapText="1"/>
    </xf>
    <xf numFmtId="0" fontId="1" fillId="16" borderId="30" xfId="0" applyFont="1" applyFill="1" applyBorder="1" applyAlignment="1">
      <alignment horizontal="left" vertical="top" wrapText="1"/>
    </xf>
    <xf numFmtId="0" fontId="1" fillId="16" borderId="30" xfId="0" applyFont="1" applyFill="1" applyBorder="1" applyAlignment="1">
      <alignment horizontal="right" vertical="top" wrapText="1"/>
    </xf>
    <xf numFmtId="0" fontId="28" fillId="16" borderId="30" xfId="0" applyFont="1" applyFill="1" applyBorder="1" applyAlignment="1">
      <alignment horizontal="center" vertical="top" wrapText="1"/>
    </xf>
    <xf numFmtId="0" fontId="29" fillId="16" borderId="30" xfId="0" applyFont="1" applyFill="1" applyBorder="1" applyAlignment="1">
      <alignment horizontal="center" vertical="center" textRotation="255" wrapText="1"/>
    </xf>
    <xf numFmtId="0" fontId="30" fillId="17" borderId="30" xfId="0" applyFont="1" applyFill="1" applyBorder="1" applyAlignment="1">
      <alignment horizontal="right" vertical="top" wrapText="1"/>
    </xf>
    <xf numFmtId="0" fontId="30" fillId="17" borderId="30" xfId="0" applyFont="1" applyFill="1" applyBorder="1" applyAlignment="1">
      <alignment horizontal="left" vertical="center" wrapText="1"/>
    </xf>
    <xf numFmtId="0" fontId="33" fillId="16" borderId="30" xfId="0" applyFont="1" applyFill="1" applyBorder="1" applyAlignment="1">
      <alignment horizontal="left" vertical="center" wrapText="1"/>
    </xf>
    <xf numFmtId="0" fontId="35" fillId="16" borderId="30" xfId="0" applyFont="1" applyFill="1" applyBorder="1" applyAlignment="1">
      <alignment vertical="top" wrapText="1"/>
    </xf>
    <xf numFmtId="0" fontId="1" fillId="18" borderId="30" xfId="0" applyFont="1" applyFill="1" applyBorder="1" applyAlignment="1">
      <alignment horizontal="left" vertical="top" wrapText="1"/>
    </xf>
    <xf numFmtId="0" fontId="36" fillId="18" borderId="30" xfId="0" applyFont="1" applyFill="1" applyBorder="1" applyAlignment="1">
      <alignment horizontal="right" vertical="center" wrapText="1"/>
    </xf>
    <xf numFmtId="0" fontId="37" fillId="18" borderId="30" xfId="0" applyFont="1" applyFill="1" applyBorder="1" applyAlignment="1">
      <alignment horizontal="right" vertical="center" wrapText="1"/>
    </xf>
    <xf numFmtId="0" fontId="38" fillId="18" borderId="30" xfId="0" applyFont="1" applyFill="1" applyBorder="1" applyAlignment="1">
      <alignment horizontal="left" vertical="center" wrapText="1"/>
    </xf>
    <xf numFmtId="0" fontId="39" fillId="18" borderId="30" xfId="0" applyFont="1" applyFill="1" applyBorder="1" applyAlignment="1">
      <alignment horizontal="center" vertical="center" wrapText="1"/>
    </xf>
    <xf numFmtId="0" fontId="40" fillId="18" borderId="30" xfId="0" applyFont="1" applyFill="1" applyBorder="1" applyAlignment="1">
      <alignment vertical="top" wrapText="1"/>
    </xf>
    <xf numFmtId="0" fontId="41" fillId="0" borderId="40" xfId="0" applyFont="1" applyBorder="1" applyAlignment="1">
      <alignment horizontal="center" vertical="top" wrapText="1"/>
    </xf>
    <xf numFmtId="0" fontId="41" fillId="0" borderId="42" xfId="0" applyFont="1" applyBorder="1" applyAlignment="1">
      <alignment horizontal="center" vertical="top" wrapText="1"/>
    </xf>
    <xf numFmtId="0" fontId="41" fillId="0" borderId="43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left" vertical="top" wrapText="1"/>
    </xf>
    <xf numFmtId="0" fontId="1" fillId="0" borderId="43" xfId="0" applyFont="1" applyBorder="1" applyAlignment="1">
      <alignment horizontal="right" vertical="top" wrapText="1"/>
    </xf>
    <xf numFmtId="0" fontId="1" fillId="0" borderId="44" xfId="0" applyFont="1" applyBorder="1" applyAlignment="1">
      <alignment horizontal="left" vertical="top" wrapText="1"/>
    </xf>
    <xf numFmtId="0" fontId="5" fillId="2" borderId="40" xfId="0" applyFont="1" applyFill="1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2" fillId="3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4" fillId="2" borderId="30" xfId="0" applyFont="1" applyFill="1" applyBorder="1" applyAlignment="1">
      <alignment horizontal="left" vertical="center"/>
    </xf>
    <xf numFmtId="0" fontId="5" fillId="2" borderId="40" xfId="0" applyFont="1" applyFill="1" applyBorder="1" applyAlignment="1">
      <alignment horizontal="left"/>
    </xf>
    <xf numFmtId="0" fontId="3" fillId="0" borderId="30" xfId="0" applyFont="1" applyBorder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11" borderId="9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5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5" fillId="12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/>
    </xf>
    <xf numFmtId="0" fontId="3" fillId="0" borderId="38" xfId="0" applyFont="1" applyBorder="1"/>
    <xf numFmtId="0" fontId="3" fillId="0" borderId="39" xfId="0" applyFont="1" applyBorder="1"/>
    <xf numFmtId="0" fontId="5" fillId="4" borderId="9" xfId="0" applyFont="1" applyFill="1" applyBorder="1" applyAlignment="1">
      <alignment horizontal="center" vertical="center"/>
    </xf>
    <xf numFmtId="0" fontId="29" fillId="16" borderId="30" xfId="0" applyFont="1" applyFill="1" applyBorder="1" applyAlignment="1">
      <alignment horizontal="center" vertical="center" textRotation="255" wrapText="1"/>
    </xf>
    <xf numFmtId="0" fontId="32" fillId="16" borderId="30" xfId="0" applyFont="1" applyFill="1" applyBorder="1" applyAlignment="1">
      <alignment horizontal="right" vertical="center" wrapText="1"/>
    </xf>
    <xf numFmtId="0" fontId="41" fillId="0" borderId="0" xfId="0" applyFont="1" applyAlignment="1">
      <alignment horizontal="center" vertical="top" wrapText="1"/>
    </xf>
    <xf numFmtId="0" fontId="0" fillId="0" borderId="0" xfId="0"/>
    <xf numFmtId="0" fontId="44" fillId="0" borderId="0" xfId="0" applyFont="1" applyAlignment="1">
      <alignment horizontal="center" vertical="top" wrapText="1"/>
    </xf>
    <xf numFmtId="0" fontId="16" fillId="0" borderId="13" xfId="0" applyFont="1" applyBorder="1" applyAlignment="1">
      <alignment horizontal="left" vertical="top" wrapText="1"/>
    </xf>
    <xf numFmtId="0" fontId="3" fillId="0" borderId="27" xfId="0" applyFont="1" applyBorder="1"/>
    <xf numFmtId="0" fontId="3" fillId="0" borderId="14" xfId="0" applyFont="1" applyBorder="1"/>
    <xf numFmtId="0" fontId="17" fillId="0" borderId="30" xfId="0" applyFont="1" applyBorder="1" applyAlignment="1">
      <alignment horizontal="left" vertical="top" wrapText="1"/>
    </xf>
    <xf numFmtId="0" fontId="0" fillId="0" borderId="30" xfId="0" applyBorder="1"/>
    <xf numFmtId="0" fontId="19" fillId="0" borderId="17" xfId="0" applyFont="1" applyBorder="1" applyAlignment="1">
      <alignment horizontal="left" vertical="center" wrapText="1"/>
    </xf>
    <xf numFmtId="0" fontId="3" fillId="0" borderId="18" xfId="0" applyFont="1" applyBorder="1"/>
    <xf numFmtId="0" fontId="18" fillId="0" borderId="13" xfId="0" applyFont="1" applyBorder="1" applyAlignment="1">
      <alignment horizontal="left" vertical="top" wrapText="1"/>
    </xf>
    <xf numFmtId="0" fontId="3" fillId="0" borderId="47" xfId="0" applyFont="1" applyBorder="1"/>
    <xf numFmtId="0" fontId="21" fillId="0" borderId="18" xfId="0" quotePrefix="1" applyFont="1" applyBorder="1" applyAlignment="1">
      <alignment horizontal="center" vertical="center" wrapText="1"/>
    </xf>
    <xf numFmtId="0" fontId="26" fillId="15" borderId="33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3" fillId="0" borderId="35" xfId="0" applyFont="1" applyBorder="1"/>
    <xf numFmtId="0" fontId="18" fillId="0" borderId="15" xfId="0" applyFont="1" applyBorder="1" applyAlignment="1">
      <alignment horizontal="left" vertical="top" wrapText="1"/>
    </xf>
    <xf numFmtId="0" fontId="3" fillId="0" borderId="16" xfId="0" applyFont="1" applyBorder="1"/>
    <xf numFmtId="0" fontId="3" fillId="0" borderId="48" xfId="0" applyFont="1" applyBorder="1"/>
    <xf numFmtId="167" fontId="18" fillId="0" borderId="30" xfId="0" applyNumberFormat="1" applyFont="1" applyBorder="1" applyAlignment="1">
      <alignment horizontal="left" vertical="top" wrapText="1"/>
    </xf>
    <xf numFmtId="0" fontId="22" fillId="0" borderId="17" xfId="0" applyFont="1" applyBorder="1" applyAlignment="1">
      <alignment horizontal="left" vertical="center" wrapText="1"/>
    </xf>
    <xf numFmtId="9" fontId="18" fillId="0" borderId="18" xfId="0" applyNumberFormat="1" applyFont="1" applyBorder="1" applyAlignment="1">
      <alignment horizontal="center" vertical="center" wrapText="1"/>
    </xf>
    <xf numFmtId="0" fontId="3" fillId="0" borderId="21" xfId="0" applyFont="1" applyBorder="1"/>
    <xf numFmtId="0" fontId="20" fillId="0" borderId="19" xfId="0" applyFont="1" applyBorder="1" applyAlignment="1">
      <alignment horizontal="center" vertical="center" wrapText="1"/>
    </xf>
    <xf numFmtId="0" fontId="3" fillId="0" borderId="20" xfId="0" applyFont="1" applyBorder="1"/>
    <xf numFmtId="0" fontId="14" fillId="0" borderId="30" xfId="0" applyFont="1" applyBorder="1" applyAlignment="1">
      <alignment horizontal="left" vertical="top" wrapText="1"/>
    </xf>
    <xf numFmtId="0" fontId="3" fillId="0" borderId="41" xfId="0" applyFont="1" applyBorder="1"/>
    <xf numFmtId="165" fontId="16" fillId="0" borderId="27" xfId="0" applyNumberFormat="1" applyFont="1" applyBorder="1" applyAlignment="1">
      <alignment horizontal="right" vertical="top" wrapText="1"/>
    </xf>
    <xf numFmtId="166" fontId="16" fillId="0" borderId="27" xfId="0" applyNumberFormat="1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5"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8000"/>
          <bgColor rgb="FF0080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6600"/>
          <bgColor rgb="FFFF6600"/>
        </patternFill>
      </fill>
    </dxf>
    <dxf>
      <font>
        <b/>
        <color rgb="FF000000"/>
      </font>
      <fill>
        <patternFill patternType="solid">
          <fgColor rgb="FF008000"/>
          <bgColor rgb="FF0080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6600"/>
          <bgColor rgb="FFFF6600"/>
        </patternFill>
      </fill>
    </dxf>
    <dxf>
      <font>
        <b/>
        <color rgb="FF000000"/>
      </font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8000"/>
          <bgColor rgb="FF008000"/>
        </patternFill>
      </fill>
    </dxf>
    <dxf>
      <font>
        <b/>
      </font>
      <fill>
        <patternFill patternType="solid">
          <fgColor rgb="FF008000"/>
          <bgColor rgb="FF008000"/>
        </patternFill>
      </fill>
    </dxf>
    <dxf>
      <font>
        <b/>
        <color rgb="FF000000"/>
      </font>
      <fill>
        <patternFill patternType="solid">
          <fgColor rgb="FFFF6600"/>
          <bgColor rgb="FFFF66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8000"/>
          <bgColor rgb="FF008000"/>
        </patternFill>
      </fill>
    </dxf>
    <dxf>
      <font>
        <b/>
        <color rgb="FF000000"/>
      </font>
      <fill>
        <patternFill patternType="solid">
          <fgColor rgb="FFFF6600"/>
          <bgColor rgb="FFFF66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27</xdr:row>
      <xdr:rowOff>123825</xdr:rowOff>
    </xdr:from>
    <xdr:ext cx="1209675" cy="4905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-5400000">
          <a:off x="2893313" y="3175163"/>
          <a:ext cx="4905375" cy="1209675"/>
        </a:xfrm>
        <a:custGeom>
          <a:avLst/>
          <a:gdLst/>
          <a:ahLst/>
          <a:cxnLst/>
          <a:rect l="l" t="t" r="r" b="b"/>
          <a:pathLst>
            <a:path w="21600" h="21600" extrusionOk="0">
              <a:moveTo>
                <a:pt x="18325" y="0"/>
              </a:moveTo>
              <a:lnTo>
                <a:pt x="18325" y="4603"/>
              </a:lnTo>
              <a:lnTo>
                <a:pt x="3375" y="4603"/>
              </a:lnTo>
              <a:lnTo>
                <a:pt x="3375" y="16997"/>
              </a:lnTo>
              <a:lnTo>
                <a:pt x="18325" y="16997"/>
              </a:lnTo>
              <a:lnTo>
                <a:pt x="18325" y="21600"/>
              </a:lnTo>
              <a:lnTo>
                <a:pt x="21600" y="10800"/>
              </a:lnTo>
              <a:close/>
            </a:path>
            <a:path w="21600" h="21600" extrusionOk="0">
              <a:moveTo>
                <a:pt x="1350" y="4603"/>
              </a:moveTo>
              <a:lnTo>
                <a:pt x="1350" y="16997"/>
              </a:lnTo>
              <a:lnTo>
                <a:pt x="2700" y="16997"/>
              </a:lnTo>
              <a:lnTo>
                <a:pt x="2700" y="4603"/>
              </a:lnTo>
              <a:close/>
            </a:path>
            <a:path w="21600" h="21600" extrusionOk="0">
              <a:moveTo>
                <a:pt x="0" y="4603"/>
              </a:moveTo>
              <a:lnTo>
                <a:pt x="0" y="16997"/>
              </a:lnTo>
              <a:lnTo>
                <a:pt x="675" y="16997"/>
              </a:lnTo>
              <a:lnTo>
                <a:pt x="675" y="4603"/>
              </a:lnTo>
              <a:close/>
            </a:path>
          </a:pathLst>
        </a:custGeom>
        <a:gradFill>
          <a:gsLst>
            <a:gs pos="0">
              <a:srgbClr val="FF0000">
                <a:alpha val="79607"/>
              </a:srgbClr>
            </a:gs>
            <a:gs pos="100000">
              <a:srgbClr val="006600"/>
            </a:gs>
          </a:gsLst>
          <a:lin ang="0" scaled="0"/>
        </a:gra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  <a:effectLst>
          <a:outerShdw blurRad="76200" sy="23000" kx="-12000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508000</xdr:colOff>
          <xdr:row>1</xdr:row>
          <xdr:rowOff>63500</xdr:rowOff>
        </xdr:from>
        <xdr:to>
          <xdr:col>6</xdr:col>
          <xdr:colOff>1327150</xdr:colOff>
          <xdr:row>7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wahyu\Penelitian\TKT\PROPOSED%20TKT\02-Penghitungan%20TKT_farmas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T Farmasi"/>
      <sheetName val="Display TKT"/>
      <sheetName val="Penjelasan TK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iewahyu@stis.ac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riewahyu@stis.ac.i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topLeftCell="A8" workbookViewId="0">
      <selection activeCell="AC7" sqref="AC7"/>
    </sheetView>
  </sheetViews>
  <sheetFormatPr defaultColWidth="14.453125" defaultRowHeight="15" customHeight="1"/>
  <cols>
    <col min="1" max="1" width="3.90625" customWidth="1"/>
    <col min="2" max="2" width="9.08984375" customWidth="1"/>
    <col min="3" max="3" width="34.36328125" customWidth="1"/>
    <col min="4" max="4" width="4.08984375" customWidth="1"/>
    <col min="5" max="5" width="65.08984375" customWidth="1"/>
    <col min="6" max="6" width="9.08984375" customWidth="1"/>
    <col min="7" max="27" width="9.08984375" hidden="1" customWidth="1"/>
  </cols>
  <sheetData>
    <row r="1" spans="1:27" ht="15" customHeight="1">
      <c r="A1" s="78"/>
      <c r="B1" s="79"/>
      <c r="C1" s="79"/>
      <c r="D1" s="79"/>
      <c r="E1" s="79"/>
      <c r="F1" s="80"/>
    </row>
    <row r="2" spans="1:27" ht="20">
      <c r="A2" s="156" t="s">
        <v>0</v>
      </c>
      <c r="B2" s="155"/>
      <c r="C2" s="155"/>
      <c r="D2" s="155"/>
      <c r="E2" s="155"/>
      <c r="F2" s="157"/>
    </row>
    <row r="3" spans="1:27" ht="15.5">
      <c r="A3" s="72"/>
      <c r="B3" s="73"/>
      <c r="C3" s="73"/>
      <c r="D3" s="73"/>
      <c r="E3" s="73"/>
      <c r="F3" s="81"/>
    </row>
    <row r="4" spans="1:27" ht="16" thickBot="1">
      <c r="A4" s="154"/>
      <c r="B4" s="155"/>
      <c r="C4" s="155"/>
      <c r="D4" s="82"/>
      <c r="E4" s="73"/>
      <c r="F4" s="81"/>
    </row>
    <row r="5" spans="1:27" ht="16" thickBot="1">
      <c r="A5" s="72">
        <v>1</v>
      </c>
      <c r="B5" s="158" t="s">
        <v>1</v>
      </c>
      <c r="C5" s="155"/>
      <c r="D5" s="74" t="s">
        <v>2</v>
      </c>
      <c r="E5" s="57" t="s">
        <v>120</v>
      </c>
      <c r="F5" s="81"/>
    </row>
    <row r="6" spans="1:27" ht="16" thickBot="1">
      <c r="A6" s="72">
        <v>2</v>
      </c>
      <c r="B6" s="73" t="s">
        <v>3</v>
      </c>
      <c r="C6" s="73"/>
      <c r="D6" s="74" t="s">
        <v>2</v>
      </c>
      <c r="E6" s="56" t="s">
        <v>125</v>
      </c>
      <c r="F6" s="81"/>
    </row>
    <row r="7" spans="1:27" ht="16" thickBot="1">
      <c r="A7" s="72">
        <v>3</v>
      </c>
      <c r="B7" s="73" t="s">
        <v>4</v>
      </c>
      <c r="C7" s="73"/>
      <c r="D7" s="74" t="s">
        <v>2</v>
      </c>
      <c r="E7" s="83" t="s">
        <v>121</v>
      </c>
      <c r="F7" s="81"/>
      <c r="L7" s="7" t="s">
        <v>5</v>
      </c>
      <c r="W7" s="7" t="s">
        <v>6</v>
      </c>
      <c r="AA7" s="7" t="s">
        <v>7</v>
      </c>
    </row>
    <row r="8" spans="1:27" ht="15.75" customHeight="1" thickBot="1">
      <c r="A8" s="72">
        <v>4</v>
      </c>
      <c r="B8" s="73" t="s">
        <v>8</v>
      </c>
      <c r="C8" s="73"/>
      <c r="D8" s="74" t="s">
        <v>2</v>
      </c>
      <c r="E8" s="56" t="s">
        <v>126</v>
      </c>
      <c r="F8" s="81"/>
      <c r="L8" s="7" t="s">
        <v>9</v>
      </c>
      <c r="W8" s="7" t="s">
        <v>10</v>
      </c>
      <c r="AA8" s="7" t="s">
        <v>11</v>
      </c>
    </row>
    <row r="9" spans="1:27" ht="16" thickBot="1">
      <c r="A9" s="72">
        <v>5</v>
      </c>
      <c r="B9" s="73" t="s">
        <v>127</v>
      </c>
      <c r="C9" s="73"/>
      <c r="D9" s="74" t="s">
        <v>2</v>
      </c>
      <c r="E9" s="84">
        <v>222212522</v>
      </c>
      <c r="F9" s="81"/>
      <c r="L9" s="7" t="s">
        <v>12</v>
      </c>
      <c r="W9" s="7" t="s">
        <v>13</v>
      </c>
      <c r="AA9" s="7" t="s">
        <v>14</v>
      </c>
    </row>
    <row r="10" spans="1:27" ht="16" thickBot="1">
      <c r="A10" s="72">
        <v>6</v>
      </c>
      <c r="B10" s="73" t="s">
        <v>15</v>
      </c>
      <c r="C10" s="73"/>
      <c r="D10" s="74" t="s">
        <v>2</v>
      </c>
      <c r="E10" s="75"/>
      <c r="F10" s="81"/>
      <c r="L10" s="7" t="s">
        <v>16</v>
      </c>
      <c r="W10" s="7" t="s">
        <v>17</v>
      </c>
    </row>
    <row r="11" spans="1:27" ht="32.25" customHeight="1" thickBot="1">
      <c r="A11" s="72">
        <v>7</v>
      </c>
      <c r="B11" s="73" t="s">
        <v>18</v>
      </c>
      <c r="C11" s="73"/>
      <c r="D11" s="74" t="s">
        <v>2</v>
      </c>
      <c r="E11" s="85"/>
      <c r="F11" s="81"/>
      <c r="L11" s="7" t="s">
        <v>19</v>
      </c>
      <c r="W11" s="7" t="s">
        <v>20</v>
      </c>
    </row>
    <row r="12" spans="1:27" ht="16" thickBot="1">
      <c r="A12" s="72">
        <v>8</v>
      </c>
      <c r="B12" s="73" t="s">
        <v>21</v>
      </c>
      <c r="C12" s="73"/>
      <c r="D12" s="74" t="s">
        <v>2</v>
      </c>
      <c r="E12" s="75"/>
      <c r="F12" s="81"/>
      <c r="L12" s="7" t="s">
        <v>22</v>
      </c>
      <c r="W12" s="7" t="s">
        <v>23</v>
      </c>
    </row>
    <row r="13" spans="1:27" ht="16" thickBot="1">
      <c r="A13" s="72">
        <v>9</v>
      </c>
      <c r="B13" s="73" t="s">
        <v>24</v>
      </c>
      <c r="C13" s="73"/>
      <c r="D13" s="74" t="s">
        <v>2</v>
      </c>
      <c r="E13" s="75"/>
      <c r="F13" s="81"/>
      <c r="W13" s="7" t="s">
        <v>25</v>
      </c>
    </row>
    <row r="14" spans="1:27" ht="16" thickBot="1">
      <c r="A14" s="72">
        <v>10</v>
      </c>
      <c r="B14" s="73" t="s">
        <v>26</v>
      </c>
      <c r="C14" s="73"/>
      <c r="D14" s="74" t="s">
        <v>2</v>
      </c>
      <c r="E14" s="86"/>
      <c r="F14" s="81"/>
      <c r="W14" s="7" t="s">
        <v>27</v>
      </c>
    </row>
    <row r="15" spans="1:27" thickBot="1">
      <c r="A15" s="87"/>
      <c r="B15" s="88"/>
      <c r="C15" s="88"/>
      <c r="D15" s="88"/>
      <c r="E15" s="88"/>
      <c r="F15" s="89"/>
    </row>
    <row r="16" spans="1:27" ht="11.5" customHeight="1"/>
    <row r="17" spans="1:6" ht="11.5" customHeight="1" thickBot="1"/>
    <row r="18" spans="1:6" ht="15" customHeight="1">
      <c r="A18" s="62"/>
      <c r="B18" s="63"/>
      <c r="C18" s="63"/>
      <c r="D18" s="63"/>
      <c r="E18" s="63"/>
      <c r="F18" s="64"/>
    </row>
    <row r="19" spans="1:6" ht="25" customHeight="1">
      <c r="A19" s="156" t="s">
        <v>28</v>
      </c>
      <c r="B19" s="155"/>
      <c r="C19" s="155"/>
      <c r="D19" s="155"/>
      <c r="E19" s="155"/>
      <c r="F19" s="157"/>
    </row>
    <row r="20" spans="1:6" ht="15" customHeight="1">
      <c r="A20" s="65"/>
      <c r="B20" s="66"/>
      <c r="C20" s="66"/>
      <c r="D20" s="66"/>
      <c r="E20" s="66"/>
      <c r="F20" s="67"/>
    </row>
    <row r="21" spans="1:6" ht="15.75" customHeight="1" thickBot="1">
      <c r="A21" s="159" t="s">
        <v>29</v>
      </c>
      <c r="B21" s="160"/>
      <c r="C21" s="160"/>
      <c r="D21" s="68"/>
      <c r="E21" s="66"/>
      <c r="F21" s="67"/>
    </row>
    <row r="22" spans="1:6" ht="48" customHeight="1" thickBot="1">
      <c r="A22" s="72">
        <v>1</v>
      </c>
      <c r="B22" s="73" t="s">
        <v>30</v>
      </c>
      <c r="C22" s="73"/>
      <c r="D22" s="74" t="s">
        <v>2</v>
      </c>
      <c r="E22" s="55" t="s">
        <v>122</v>
      </c>
      <c r="F22" s="67"/>
    </row>
    <row r="23" spans="1:6" ht="17" customHeight="1" thickBot="1">
      <c r="A23" s="72">
        <v>2</v>
      </c>
      <c r="B23" s="73" t="s">
        <v>31</v>
      </c>
      <c r="C23" s="73"/>
      <c r="D23" s="74" t="s">
        <v>2</v>
      </c>
      <c r="E23" s="56" t="s">
        <v>123</v>
      </c>
      <c r="F23" s="67"/>
    </row>
    <row r="24" spans="1:6" ht="15.75" customHeight="1" thickBot="1">
      <c r="A24" s="72">
        <v>3</v>
      </c>
      <c r="B24" s="73" t="s">
        <v>32</v>
      </c>
      <c r="C24" s="73"/>
      <c r="D24" s="74" t="s">
        <v>2</v>
      </c>
      <c r="E24" s="57" t="s">
        <v>17</v>
      </c>
      <c r="F24" s="67"/>
    </row>
    <row r="25" spans="1:6" ht="32.5" customHeight="1" thickBot="1">
      <c r="A25" s="72">
        <v>4</v>
      </c>
      <c r="B25" s="73" t="s">
        <v>33</v>
      </c>
      <c r="C25" s="73"/>
      <c r="D25" s="74" t="s">
        <v>2</v>
      </c>
      <c r="E25" s="55" t="s">
        <v>124</v>
      </c>
      <c r="F25" s="67"/>
    </row>
    <row r="26" spans="1:6" ht="15.75" customHeight="1" thickBot="1">
      <c r="A26" s="72">
        <v>5</v>
      </c>
      <c r="B26" s="73" t="s">
        <v>34</v>
      </c>
      <c r="C26" s="73"/>
      <c r="D26" s="74" t="s">
        <v>2</v>
      </c>
      <c r="E26" s="56" t="s">
        <v>14</v>
      </c>
      <c r="F26" s="67"/>
    </row>
    <row r="27" spans="1:6" ht="15.75" customHeight="1" thickBot="1">
      <c r="A27" s="72">
        <v>6</v>
      </c>
      <c r="B27" s="73" t="s">
        <v>35</v>
      </c>
      <c r="C27" s="73"/>
      <c r="D27" s="74" t="s">
        <v>2</v>
      </c>
      <c r="E27" s="58" t="s">
        <v>128</v>
      </c>
      <c r="F27" s="67"/>
    </row>
    <row r="28" spans="1:6" ht="15.75" customHeight="1" thickBot="1">
      <c r="A28" s="154" t="s">
        <v>36</v>
      </c>
      <c r="B28" s="155"/>
      <c r="C28" s="155"/>
      <c r="D28" s="74"/>
      <c r="E28" s="73"/>
      <c r="F28" s="67"/>
    </row>
    <row r="29" spans="1:6" ht="15.75" customHeight="1" thickBot="1">
      <c r="A29" s="72">
        <v>7</v>
      </c>
      <c r="B29" s="73" t="s">
        <v>38</v>
      </c>
      <c r="C29" s="73"/>
      <c r="D29" s="74" t="s">
        <v>2</v>
      </c>
      <c r="E29" s="56" t="s">
        <v>129</v>
      </c>
      <c r="F29" s="67"/>
    </row>
    <row r="30" spans="1:6" ht="15.75" customHeight="1" thickBot="1">
      <c r="A30" s="72">
        <v>8</v>
      </c>
      <c r="B30" s="73" t="s">
        <v>39</v>
      </c>
      <c r="C30" s="73"/>
      <c r="D30" s="74" t="s">
        <v>2</v>
      </c>
      <c r="E30" s="75"/>
      <c r="F30" s="67"/>
    </row>
    <row r="31" spans="1:6" ht="15.75" customHeight="1" thickBot="1">
      <c r="A31" s="72">
        <v>9</v>
      </c>
      <c r="B31" s="73" t="s">
        <v>40</v>
      </c>
      <c r="C31" s="73"/>
      <c r="D31" s="74" t="s">
        <v>2</v>
      </c>
      <c r="E31" s="75"/>
      <c r="F31" s="67"/>
    </row>
    <row r="32" spans="1:6" ht="15.75" customHeight="1" thickBot="1">
      <c r="A32" s="154" t="s">
        <v>41</v>
      </c>
      <c r="B32" s="155"/>
      <c r="C32" s="155"/>
      <c r="D32" s="74"/>
      <c r="E32" s="73"/>
      <c r="F32" s="67"/>
    </row>
    <row r="33" spans="1:6" ht="15.75" customHeight="1" thickBot="1">
      <c r="A33" s="72">
        <v>10</v>
      </c>
      <c r="B33" s="73" t="s">
        <v>43</v>
      </c>
      <c r="C33" s="73"/>
      <c r="D33" s="74" t="s">
        <v>2</v>
      </c>
      <c r="E33" s="57" t="s">
        <v>130</v>
      </c>
      <c r="F33" s="67"/>
    </row>
    <row r="34" spans="1:6" ht="15.75" customHeight="1" thickBot="1">
      <c r="A34" s="72">
        <v>11</v>
      </c>
      <c r="B34" s="73" t="s">
        <v>24</v>
      </c>
      <c r="C34" s="73"/>
      <c r="D34" s="74" t="s">
        <v>2</v>
      </c>
      <c r="E34" s="76" t="s">
        <v>131</v>
      </c>
      <c r="F34" s="67"/>
    </row>
    <row r="35" spans="1:6" ht="15.75" customHeight="1" thickBot="1">
      <c r="A35" s="72">
        <v>12</v>
      </c>
      <c r="B35" s="73" t="s">
        <v>26</v>
      </c>
      <c r="C35" s="73"/>
      <c r="D35" s="74" t="s">
        <v>2</v>
      </c>
      <c r="E35" s="77" t="s">
        <v>132</v>
      </c>
      <c r="F35" s="67"/>
    </row>
    <row r="36" spans="1:6" ht="15.75" customHeight="1" thickBot="1">
      <c r="A36" s="72">
        <v>13</v>
      </c>
      <c r="B36" s="73" t="s">
        <v>18</v>
      </c>
      <c r="C36" s="73"/>
      <c r="D36" s="74" t="s">
        <v>2</v>
      </c>
      <c r="E36" s="75"/>
      <c r="F36" s="67"/>
    </row>
    <row r="37" spans="1:6" ht="15.75" customHeight="1" thickBot="1">
      <c r="A37" s="72">
        <v>14</v>
      </c>
      <c r="B37" s="73" t="s">
        <v>46</v>
      </c>
      <c r="C37" s="73"/>
      <c r="D37" s="74" t="s">
        <v>2</v>
      </c>
      <c r="E37" s="58" t="s">
        <v>121</v>
      </c>
      <c r="F37" s="67"/>
    </row>
    <row r="38" spans="1:6" ht="15.75" customHeight="1" thickBot="1">
      <c r="A38" s="69"/>
      <c r="B38" s="70"/>
      <c r="C38" s="70"/>
      <c r="D38" s="70"/>
      <c r="E38" s="70"/>
      <c r="F38" s="71"/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8:C28"/>
    <mergeCell ref="A32:C32"/>
    <mergeCell ref="A2:F2"/>
    <mergeCell ref="A4:C4"/>
    <mergeCell ref="B5:C5"/>
    <mergeCell ref="A19:F19"/>
    <mergeCell ref="A21:C21"/>
  </mergeCells>
  <dataValidations count="3">
    <dataValidation type="custom" allowBlank="1" showInputMessage="1" showErrorMessage="1" prompt="Peringatan - Isian tidak sesuai dengan ketentuan (angka 10 digit)" sqref="E10" xr:uid="{00000000-0002-0000-0000-000000000000}">
      <formula1>AND(GTE(LEN(E10),MIN((10),(10))),LTE(LEN(E10),MAX((10),(10))))</formula1>
    </dataValidation>
    <dataValidation type="list" allowBlank="1" showErrorMessage="1" sqref="E26" xr:uid="{32555628-CC2A-46D9-971F-501D34C7A1D3}">
      <formula1>$AA$7:$AA$9</formula1>
    </dataValidation>
    <dataValidation type="list" allowBlank="1" showErrorMessage="1" sqref="E24" xr:uid="{2AC1D735-5BB3-4F5B-AA4F-737B2FE11F09}">
      <formula1>$W$7:$W$18</formula1>
    </dataValidation>
  </dataValidations>
  <hyperlinks>
    <hyperlink ref="E35" r:id="rId1" xr:uid="{3F547A5F-2D0B-4918-918D-660325896BCC}"/>
  </hyperlinks>
  <pageMargins left="0.7" right="0.7" top="0.75" bottom="0.75" header="0.3" footer="0.3"/>
  <pageSetup paperSize="9" scale="7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A8" workbookViewId="0">
      <selection activeCell="E11" sqref="E11"/>
    </sheetView>
  </sheetViews>
  <sheetFormatPr defaultColWidth="14.453125" defaultRowHeight="15" customHeight="1"/>
  <cols>
    <col min="1" max="1" width="3.90625" customWidth="1"/>
    <col min="2" max="2" width="9.08984375" customWidth="1"/>
    <col min="3" max="3" width="34.36328125" customWidth="1"/>
    <col min="4" max="4" width="3" customWidth="1"/>
    <col min="5" max="5" width="65.08984375" customWidth="1"/>
    <col min="6" max="6" width="9.08984375" customWidth="1"/>
    <col min="7" max="27" width="9.08984375" hidden="1" customWidth="1"/>
  </cols>
  <sheetData>
    <row r="1" spans="1:27" ht="14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>
      <c r="A2" s="161" t="s">
        <v>28</v>
      </c>
      <c r="B2" s="162"/>
      <c r="C2" s="162"/>
      <c r="D2" s="162"/>
      <c r="E2" s="162"/>
      <c r="F2" s="163"/>
    </row>
    <row r="3" spans="1:27" ht="15.5">
      <c r="A3" s="2"/>
      <c r="B3" s="2"/>
      <c r="C3" s="2"/>
      <c r="D3" s="2"/>
      <c r="E3" s="2"/>
      <c r="F3" s="1"/>
    </row>
    <row r="4" spans="1:27" ht="15.5">
      <c r="A4" s="164" t="s">
        <v>29</v>
      </c>
      <c r="B4" s="162"/>
      <c r="C4" s="163"/>
      <c r="D4" s="3"/>
      <c r="E4" s="2"/>
      <c r="F4" s="1"/>
    </row>
    <row r="5" spans="1:27" ht="46.5">
      <c r="A5" s="54">
        <v>1</v>
      </c>
      <c r="B5" s="54" t="s">
        <v>30</v>
      </c>
      <c r="C5" s="54"/>
      <c r="D5" s="4" t="s">
        <v>2</v>
      </c>
      <c r="E5" s="55" t="s">
        <v>122</v>
      </c>
      <c r="F5" s="1"/>
    </row>
    <row r="6" spans="1:27" ht="15.5">
      <c r="A6" s="54">
        <v>2</v>
      </c>
      <c r="B6" s="54" t="s">
        <v>31</v>
      </c>
      <c r="C6" s="54"/>
      <c r="D6" s="4" t="s">
        <v>2</v>
      </c>
      <c r="E6" s="56" t="s">
        <v>123</v>
      </c>
      <c r="F6" s="1"/>
    </row>
    <row r="7" spans="1:27" ht="15.5">
      <c r="A7" s="54">
        <v>3</v>
      </c>
      <c r="B7" s="54" t="s">
        <v>32</v>
      </c>
      <c r="C7" s="54"/>
      <c r="D7" s="4" t="s">
        <v>2</v>
      </c>
      <c r="E7" s="57" t="s">
        <v>17</v>
      </c>
      <c r="F7" s="1"/>
      <c r="W7" s="7" t="s">
        <v>6</v>
      </c>
      <c r="AA7" s="7" t="s">
        <v>7</v>
      </c>
    </row>
    <row r="8" spans="1:27" ht="34.5" customHeight="1">
      <c r="A8" s="54">
        <v>4</v>
      </c>
      <c r="B8" s="54" t="s">
        <v>33</v>
      </c>
      <c r="C8" s="54"/>
      <c r="D8" s="4" t="s">
        <v>2</v>
      </c>
      <c r="E8" s="55" t="s">
        <v>124</v>
      </c>
      <c r="F8" s="1"/>
      <c r="W8" s="7" t="s">
        <v>10</v>
      </c>
      <c r="AA8" s="7" t="s">
        <v>11</v>
      </c>
    </row>
    <row r="9" spans="1:27" ht="15.5">
      <c r="A9" s="54">
        <v>5</v>
      </c>
      <c r="B9" s="54" t="s">
        <v>34</v>
      </c>
      <c r="C9" s="54"/>
      <c r="D9" s="4" t="s">
        <v>2</v>
      </c>
      <c r="E9" s="56" t="s">
        <v>14</v>
      </c>
      <c r="F9" s="1"/>
      <c r="W9" s="7" t="s">
        <v>13</v>
      </c>
      <c r="AA9" s="7" t="s">
        <v>14</v>
      </c>
    </row>
    <row r="10" spans="1:27" ht="15.5">
      <c r="A10" s="54">
        <v>6</v>
      </c>
      <c r="B10" s="54" t="s">
        <v>35</v>
      </c>
      <c r="C10" s="54"/>
      <c r="D10" s="4" t="s">
        <v>2</v>
      </c>
      <c r="E10" s="58" t="s">
        <v>128</v>
      </c>
      <c r="F10" s="1"/>
      <c r="W10" s="7" t="s">
        <v>17</v>
      </c>
    </row>
    <row r="11" spans="1:27" ht="15.5">
      <c r="A11" s="165" t="s">
        <v>36</v>
      </c>
      <c r="B11" s="166"/>
      <c r="C11" s="167"/>
      <c r="D11" s="3"/>
      <c r="E11" s="2"/>
      <c r="F11" s="1"/>
      <c r="W11" s="7" t="s">
        <v>37</v>
      </c>
    </row>
    <row r="12" spans="1:27" ht="15.5">
      <c r="A12" s="54">
        <v>7</v>
      </c>
      <c r="B12" s="54" t="s">
        <v>38</v>
      </c>
      <c r="C12" s="54"/>
      <c r="D12" s="4" t="s">
        <v>2</v>
      </c>
      <c r="E12" s="6" t="s">
        <v>129</v>
      </c>
      <c r="F12" s="1"/>
      <c r="W12" s="7" t="s">
        <v>20</v>
      </c>
    </row>
    <row r="13" spans="1:27" ht="15.5">
      <c r="A13" s="54">
        <v>8</v>
      </c>
      <c r="B13" s="54" t="s">
        <v>39</v>
      </c>
      <c r="C13" s="54"/>
      <c r="D13" s="4" t="s">
        <v>2</v>
      </c>
      <c r="E13" s="59"/>
      <c r="F13" s="1"/>
      <c r="W13" s="7" t="s">
        <v>23</v>
      </c>
    </row>
    <row r="14" spans="1:27" ht="15.5">
      <c r="A14" s="54">
        <v>9</v>
      </c>
      <c r="B14" s="54" t="s">
        <v>40</v>
      </c>
      <c r="C14" s="54"/>
      <c r="D14" s="4" t="s">
        <v>2</v>
      </c>
      <c r="E14" s="59"/>
      <c r="F14" s="1"/>
      <c r="W14" s="7" t="s">
        <v>25</v>
      </c>
    </row>
    <row r="15" spans="1:27" ht="15.5">
      <c r="A15" s="165" t="s">
        <v>41</v>
      </c>
      <c r="B15" s="166"/>
      <c r="C15" s="167"/>
      <c r="D15" s="3"/>
      <c r="E15" s="2"/>
      <c r="F15" s="1"/>
      <c r="W15" s="7" t="s">
        <v>42</v>
      </c>
    </row>
    <row r="16" spans="1:27" ht="15.5">
      <c r="A16" s="54">
        <v>10</v>
      </c>
      <c r="B16" s="54" t="s">
        <v>43</v>
      </c>
      <c r="C16" s="54"/>
      <c r="D16" s="4" t="s">
        <v>2</v>
      </c>
      <c r="E16" s="5" t="s">
        <v>130</v>
      </c>
      <c r="F16" s="1"/>
      <c r="W16" s="7" t="s">
        <v>27</v>
      </c>
    </row>
    <row r="17" spans="1:23" ht="15.5">
      <c r="A17" s="54">
        <v>11</v>
      </c>
      <c r="B17" s="54" t="s">
        <v>24</v>
      </c>
      <c r="C17" s="54"/>
      <c r="D17" s="4" t="s">
        <v>2</v>
      </c>
      <c r="E17" s="60" t="s">
        <v>131</v>
      </c>
      <c r="F17" s="1"/>
      <c r="W17" s="7" t="s">
        <v>44</v>
      </c>
    </row>
    <row r="18" spans="1:23" ht="15.5">
      <c r="A18" s="54">
        <v>12</v>
      </c>
      <c r="B18" s="54" t="s">
        <v>26</v>
      </c>
      <c r="C18" s="54"/>
      <c r="D18" s="4" t="s">
        <v>2</v>
      </c>
      <c r="E18" s="61" t="s">
        <v>132</v>
      </c>
      <c r="F18" s="1"/>
      <c r="W18" s="7" t="s">
        <v>45</v>
      </c>
    </row>
    <row r="19" spans="1:23" ht="15.5">
      <c r="A19" s="54">
        <v>13</v>
      </c>
      <c r="B19" s="54" t="s">
        <v>18</v>
      </c>
      <c r="C19" s="54"/>
      <c r="D19" s="4" t="s">
        <v>2</v>
      </c>
      <c r="E19" s="59"/>
      <c r="F19" s="1"/>
    </row>
    <row r="20" spans="1:23" ht="15.5">
      <c r="A20" s="54">
        <v>14</v>
      </c>
      <c r="B20" s="54" t="s">
        <v>46</v>
      </c>
      <c r="C20" s="54"/>
      <c r="D20" s="4" t="s">
        <v>2</v>
      </c>
      <c r="E20" s="8" t="s">
        <v>121</v>
      </c>
      <c r="F20" s="1"/>
    </row>
    <row r="21" spans="1:23" ht="15.75" customHeight="1">
      <c r="A21" s="1"/>
      <c r="B21" s="1"/>
      <c r="C21" s="1"/>
      <c r="D21" s="1"/>
      <c r="E21" s="1"/>
      <c r="F21" s="1"/>
    </row>
    <row r="22" spans="1:23" ht="15.75" customHeight="1"/>
    <row r="23" spans="1:23" ht="15.75" customHeight="1"/>
    <row r="24" spans="1:23" ht="15.75" customHeight="1"/>
    <row r="25" spans="1:23" ht="15.75" customHeight="1"/>
    <row r="26" spans="1:23" ht="15.75" customHeight="1"/>
    <row r="27" spans="1:23" ht="15.75" customHeight="1"/>
    <row r="28" spans="1:23" ht="15.75" customHeight="1"/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F2"/>
    <mergeCell ref="A4:C4"/>
    <mergeCell ref="A11:C11"/>
    <mergeCell ref="A15:C15"/>
  </mergeCells>
  <dataValidations count="2">
    <dataValidation type="list" allowBlank="1" showErrorMessage="1" sqref="E7" xr:uid="{00000000-0002-0000-0100-000000000000}">
      <formula1>$W$7:$W$18</formula1>
    </dataValidation>
    <dataValidation type="list" allowBlank="1" showErrorMessage="1" sqref="E9" xr:uid="{00000000-0002-0000-0100-000001000000}">
      <formula1>$AA$7:$AA$9</formula1>
    </dataValidation>
  </dataValidations>
  <hyperlinks>
    <hyperlink ref="E18" r:id="rId1" xr:uid="{F9E271B8-43EB-4704-9729-1B9FF97BEB88}"/>
  </hyperlink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E43" zoomScale="70" zoomScaleNormal="70" zoomScalePageLayoutView="57" workbookViewId="0">
      <selection activeCell="AB66" sqref="AB66"/>
    </sheetView>
  </sheetViews>
  <sheetFormatPr defaultColWidth="14.453125" defaultRowHeight="15" customHeight="1"/>
  <cols>
    <col min="1" max="1" width="6.54296875" customWidth="1"/>
    <col min="2" max="3" width="9.08984375" customWidth="1"/>
    <col min="4" max="4" width="223.453125" customWidth="1"/>
    <col min="5" max="5" width="28.81640625" customWidth="1"/>
    <col min="6" max="6" width="9.08984375" customWidth="1"/>
    <col min="7" max="7" width="39.453125" customWidth="1"/>
    <col min="8" max="8" width="12.36328125" customWidth="1"/>
    <col min="9" max="9" width="9.08984375" customWidth="1"/>
    <col min="10" max="11" width="9.08984375" hidden="1" customWidth="1"/>
    <col min="12" max="12" width="21.6328125" hidden="1" customWidth="1"/>
    <col min="13" max="14" width="8.6328125" hidden="1" customWidth="1"/>
    <col min="15" max="15" width="55.7265625" hidden="1" customWidth="1"/>
    <col min="16" max="26" width="8.6328125" customWidth="1"/>
  </cols>
  <sheetData>
    <row r="1" spans="1:26" ht="15.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6" thickBot="1"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0">
      <c r="A3" s="182" t="s">
        <v>47</v>
      </c>
      <c r="B3" s="183"/>
      <c r="C3" s="183"/>
      <c r="D3" s="183"/>
      <c r="E3" s="183"/>
      <c r="F3" s="183"/>
      <c r="G3" s="183"/>
      <c r="H3" s="183"/>
      <c r="I3" s="184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5">
      <c r="A4" s="90"/>
      <c r="B4" s="91"/>
      <c r="C4" s="91"/>
      <c r="D4" s="91"/>
      <c r="E4" s="91"/>
      <c r="F4" s="91"/>
      <c r="G4" s="91"/>
      <c r="H4" s="91"/>
      <c r="I4" s="9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93"/>
      <c r="B5" s="185" t="s">
        <v>48</v>
      </c>
      <c r="C5" s="11" t="s">
        <v>49</v>
      </c>
      <c r="D5" s="102" t="s">
        <v>50</v>
      </c>
      <c r="E5" s="100" t="s">
        <v>51</v>
      </c>
      <c r="F5" s="94"/>
      <c r="G5" s="12" t="s">
        <v>52</v>
      </c>
      <c r="H5" s="12" t="s">
        <v>53</v>
      </c>
      <c r="I5" s="95"/>
      <c r="J5" s="10"/>
      <c r="K5" s="10"/>
      <c r="L5" s="10"/>
      <c r="M5" s="10"/>
      <c r="N5" s="10"/>
      <c r="O5" s="10">
        <v>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5">
      <c r="A6" s="93"/>
      <c r="B6" s="169"/>
      <c r="C6" s="13">
        <v>1</v>
      </c>
      <c r="D6" s="103" t="s">
        <v>54</v>
      </c>
      <c r="E6" s="14">
        <v>1</v>
      </c>
      <c r="F6" s="94"/>
      <c r="G6" s="178" t="str">
        <f t="array" ref="G6">LOOKUP(E9,{0,0.79},{"PENGUKURAN BERHENTI DI SINI","PENGUKURAN DILANJUTKAN KE TKT BERIKUTNYA"})</f>
        <v>PENGUKURAN DILANJUTKAN KE TKT BERIKUTNYA</v>
      </c>
      <c r="H6" s="179" t="str">
        <f t="array" ref="H6">LOOKUP(E9,{0,0.79},{"0","LANJUT"})</f>
        <v>LANJUT</v>
      </c>
      <c r="I6" s="95"/>
      <c r="J6" s="10"/>
      <c r="K6" s="10"/>
      <c r="L6" s="10"/>
      <c r="M6" s="10"/>
      <c r="N6" s="10"/>
      <c r="O6" s="15">
        <v>0.2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5">
      <c r="A7" s="93"/>
      <c r="B7" s="169"/>
      <c r="C7" s="13">
        <v>2</v>
      </c>
      <c r="D7" s="103" t="s">
        <v>55</v>
      </c>
      <c r="E7" s="14">
        <v>1</v>
      </c>
      <c r="F7" s="94"/>
      <c r="G7" s="169"/>
      <c r="H7" s="169"/>
      <c r="I7" s="95"/>
      <c r="J7" s="10"/>
      <c r="K7" s="10"/>
      <c r="L7" s="10"/>
      <c r="M7" s="10"/>
      <c r="N7" s="10"/>
      <c r="O7" s="15">
        <v>0.4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93"/>
      <c r="B8" s="169"/>
      <c r="C8" s="13">
        <v>3</v>
      </c>
      <c r="D8" s="17" t="s">
        <v>56</v>
      </c>
      <c r="E8" s="14">
        <v>1</v>
      </c>
      <c r="F8" s="94"/>
      <c r="G8" s="169"/>
      <c r="H8" s="169"/>
      <c r="I8" s="95"/>
      <c r="J8" s="10"/>
      <c r="K8" s="10"/>
      <c r="L8" s="10"/>
      <c r="M8" s="10"/>
      <c r="N8" s="10"/>
      <c r="O8" s="15">
        <v>0.6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5">
      <c r="A9" s="93"/>
      <c r="B9" s="170"/>
      <c r="C9" s="171" t="s">
        <v>57</v>
      </c>
      <c r="D9" s="172"/>
      <c r="E9" s="16">
        <f>SUM(E6:E8)/3</f>
        <v>1</v>
      </c>
      <c r="F9" s="94"/>
      <c r="G9" s="170"/>
      <c r="H9" s="170"/>
      <c r="I9" s="95"/>
      <c r="J9" s="10"/>
      <c r="K9" s="10"/>
      <c r="L9" s="10"/>
      <c r="M9" s="10"/>
      <c r="N9" s="10"/>
      <c r="O9" s="15">
        <v>0.8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5">
      <c r="A10" s="93"/>
      <c r="B10" s="94"/>
      <c r="C10" s="104"/>
      <c r="D10" s="104"/>
      <c r="E10" s="101"/>
      <c r="F10" s="94"/>
      <c r="G10" s="94"/>
      <c r="H10" s="94"/>
      <c r="I10" s="95"/>
      <c r="J10" s="10"/>
      <c r="K10" s="10"/>
      <c r="L10" s="10"/>
      <c r="M10" s="10"/>
      <c r="N10" s="10"/>
      <c r="O10" s="15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93"/>
      <c r="B11" s="180" t="s">
        <v>58</v>
      </c>
      <c r="C11" s="11" t="s">
        <v>49</v>
      </c>
      <c r="D11" s="102" t="s">
        <v>50</v>
      </c>
      <c r="E11" s="100" t="s">
        <v>51</v>
      </c>
      <c r="F11" s="94"/>
      <c r="G11" s="12" t="s">
        <v>52</v>
      </c>
      <c r="H11" s="12" t="s">
        <v>53</v>
      </c>
      <c r="I11" s="95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5" customHeight="1">
      <c r="A12" s="93"/>
      <c r="B12" s="169"/>
      <c r="C12" s="13">
        <v>1</v>
      </c>
      <c r="D12" s="17" t="s">
        <v>59</v>
      </c>
      <c r="E12" s="14">
        <v>1</v>
      </c>
      <c r="F12" s="94"/>
      <c r="G12" s="178" t="str">
        <f t="array" ref="G12">LOOKUP(E15,{0,0.79},{"PENGUKURAN BERHENTI DI SINI","PENGUKURAN DILANJUTKAN KE TKT BERIKUTNYA"})</f>
        <v>PENGUKURAN DILANJUTKAN KE TKT BERIKUTNYA</v>
      </c>
      <c r="H12" s="179" t="str">
        <f t="array" ref="H12">LOOKUP(E15,{0,0.79},{"1","LANJUT"})</f>
        <v>LANJUT</v>
      </c>
      <c r="I12" s="9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5">
      <c r="A13" s="93"/>
      <c r="B13" s="169"/>
      <c r="C13" s="13">
        <v>2</v>
      </c>
      <c r="D13" s="17" t="s">
        <v>60</v>
      </c>
      <c r="E13" s="14">
        <v>1</v>
      </c>
      <c r="F13" s="94"/>
      <c r="G13" s="169"/>
      <c r="H13" s="169"/>
      <c r="I13" s="9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5">
      <c r="A14" s="93"/>
      <c r="B14" s="169"/>
      <c r="C14" s="13">
        <v>3</v>
      </c>
      <c r="D14" s="17" t="s">
        <v>61</v>
      </c>
      <c r="E14" s="14">
        <v>1</v>
      </c>
      <c r="F14" s="94"/>
      <c r="G14" s="169"/>
      <c r="H14" s="169"/>
      <c r="I14" s="95"/>
      <c r="J14" s="10"/>
      <c r="K14" s="18"/>
      <c r="L14" s="19"/>
      <c r="M14" s="2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>
      <c r="A15" s="93"/>
      <c r="B15" s="170"/>
      <c r="C15" s="171" t="s">
        <v>57</v>
      </c>
      <c r="D15" s="172"/>
      <c r="E15" s="16">
        <f>SUM(E12:E14)/3</f>
        <v>1</v>
      </c>
      <c r="F15" s="94"/>
      <c r="G15" s="170"/>
      <c r="H15" s="170"/>
      <c r="I15" s="95"/>
      <c r="J15" s="10"/>
      <c r="K15" s="18"/>
      <c r="L15" s="19"/>
      <c r="M15" s="2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5">
      <c r="A16" s="93"/>
      <c r="B16" s="94"/>
      <c r="C16" s="104"/>
      <c r="D16" s="104"/>
      <c r="E16" s="101"/>
      <c r="F16" s="94"/>
      <c r="G16" s="94"/>
      <c r="H16" s="96"/>
      <c r="I16" s="95"/>
      <c r="J16" s="10"/>
      <c r="K16" s="18"/>
      <c r="L16" s="19"/>
      <c r="M16" s="2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>
      <c r="A17" s="93"/>
      <c r="B17" s="181" t="s">
        <v>62</v>
      </c>
      <c r="C17" s="11" t="s">
        <v>49</v>
      </c>
      <c r="D17" s="102" t="s">
        <v>50</v>
      </c>
      <c r="E17" s="100" t="s">
        <v>51</v>
      </c>
      <c r="F17" s="94"/>
      <c r="G17" s="12" t="s">
        <v>52</v>
      </c>
      <c r="H17" s="12" t="s">
        <v>53</v>
      </c>
      <c r="I17" s="95"/>
      <c r="J17" s="10"/>
      <c r="K17" s="18"/>
      <c r="L17" s="19"/>
      <c r="M17" s="2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5">
      <c r="A18" s="93"/>
      <c r="B18" s="169"/>
      <c r="C18" s="13">
        <v>1</v>
      </c>
      <c r="D18" s="17" t="s">
        <v>63</v>
      </c>
      <c r="E18" s="14">
        <v>1</v>
      </c>
      <c r="F18" s="94"/>
      <c r="G18" s="178" t="str">
        <f t="array" ref="G18">LOOKUP(E21,{0,0.79},{"PENGUKURAN BERHENTI DI SINI","PENGUKURAN DILANJUTKAN KE TKT BERIKUTNYA"})</f>
        <v>PENGUKURAN DILANJUTKAN KE TKT BERIKUTNYA</v>
      </c>
      <c r="H18" s="179" t="str">
        <f t="array" ref="H18">LOOKUP(E21,{0,0.79},{"2","LANJUT"})</f>
        <v>LANJUT</v>
      </c>
      <c r="I18" s="95"/>
      <c r="J18" s="10"/>
      <c r="K18" s="18"/>
      <c r="L18" s="19"/>
      <c r="M18" s="2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7.5" customHeight="1">
      <c r="A19" s="93"/>
      <c r="B19" s="169"/>
      <c r="C19" s="13">
        <v>2</v>
      </c>
      <c r="D19" s="17" t="s">
        <v>64</v>
      </c>
      <c r="E19" s="14">
        <v>1</v>
      </c>
      <c r="F19" s="94"/>
      <c r="G19" s="169"/>
      <c r="H19" s="169"/>
      <c r="I19" s="95"/>
      <c r="J19" s="10"/>
      <c r="K19" s="18"/>
      <c r="L19" s="19"/>
      <c r="M19" s="19"/>
      <c r="N19" s="2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1">
      <c r="A20" s="93"/>
      <c r="B20" s="169"/>
      <c r="C20" s="13">
        <v>3</v>
      </c>
      <c r="D20" s="17" t="s">
        <v>65</v>
      </c>
      <c r="E20" s="14">
        <v>1</v>
      </c>
      <c r="F20" s="94"/>
      <c r="G20" s="169"/>
      <c r="H20" s="169"/>
      <c r="I20" s="9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>
      <c r="A21" s="93"/>
      <c r="B21" s="170"/>
      <c r="C21" s="171" t="s">
        <v>57</v>
      </c>
      <c r="D21" s="172"/>
      <c r="E21" s="16">
        <f>SUM(E18:E20)/3</f>
        <v>1</v>
      </c>
      <c r="F21" s="94"/>
      <c r="G21" s="170"/>
      <c r="H21" s="170"/>
      <c r="I21" s="95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93"/>
      <c r="B22" s="94"/>
      <c r="C22" s="104"/>
      <c r="D22" s="104"/>
      <c r="E22" s="101"/>
      <c r="F22" s="94"/>
      <c r="G22" s="96"/>
      <c r="H22" s="94"/>
      <c r="I22" s="95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>
      <c r="A23" s="93"/>
      <c r="B23" s="174" t="s">
        <v>66</v>
      </c>
      <c r="C23" s="11" t="s">
        <v>49</v>
      </c>
      <c r="D23" s="102" t="s">
        <v>50</v>
      </c>
      <c r="E23" s="100" t="s">
        <v>51</v>
      </c>
      <c r="F23" s="94"/>
      <c r="G23" s="12" t="s">
        <v>52</v>
      </c>
      <c r="H23" s="12" t="s">
        <v>53</v>
      </c>
      <c r="I23" s="95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93"/>
      <c r="B24" s="169"/>
      <c r="C24" s="13">
        <v>1</v>
      </c>
      <c r="D24" s="17" t="s">
        <v>67</v>
      </c>
      <c r="E24" s="14">
        <v>1</v>
      </c>
      <c r="F24" s="94"/>
      <c r="G24" s="178" t="str">
        <f t="array" ref="G24">LOOKUP(E29,{0,0.79},{"PENGUKURAN BERHENTI DI SINI","PENGUKURAN DILANJUTKAN KE TKT BERIKUTNYA"})</f>
        <v>PENGUKURAN DILANJUTKAN KE TKT BERIKUTNYA</v>
      </c>
      <c r="H24" s="179" t="str">
        <f t="array" ref="H24">LOOKUP(E29,{0,0.79},{"3","LANJUT"})</f>
        <v>LANJUT</v>
      </c>
      <c r="I24" s="95"/>
      <c r="J24" s="10"/>
      <c r="K24" s="10"/>
      <c r="L24" s="19"/>
      <c r="M24" s="19"/>
      <c r="N24" s="21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93"/>
      <c r="B25" s="169"/>
      <c r="C25" s="13">
        <v>2</v>
      </c>
      <c r="D25" s="17" t="s">
        <v>68</v>
      </c>
      <c r="E25" s="14">
        <v>1</v>
      </c>
      <c r="F25" s="94"/>
      <c r="G25" s="169"/>
      <c r="H25" s="169"/>
      <c r="I25" s="95"/>
      <c r="J25" s="10"/>
      <c r="K25" s="10"/>
      <c r="L25" s="18"/>
      <c r="M25" s="19"/>
      <c r="N25" s="2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>
      <c r="A26" s="93"/>
      <c r="B26" s="169"/>
      <c r="C26" s="13">
        <v>3</v>
      </c>
      <c r="D26" s="17" t="s">
        <v>69</v>
      </c>
      <c r="E26" s="14">
        <v>1</v>
      </c>
      <c r="F26" s="94"/>
      <c r="G26" s="169"/>
      <c r="H26" s="169"/>
      <c r="I26" s="95"/>
      <c r="J26" s="10"/>
      <c r="K26" s="10"/>
      <c r="L26" s="18"/>
      <c r="M26" s="19"/>
      <c r="N26" s="2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>
      <c r="A27" s="93"/>
      <c r="B27" s="169"/>
      <c r="C27" s="13">
        <v>4</v>
      </c>
      <c r="D27" s="17" t="s">
        <v>70</v>
      </c>
      <c r="E27" s="14">
        <v>1</v>
      </c>
      <c r="F27" s="94"/>
      <c r="G27" s="169"/>
      <c r="H27" s="169"/>
      <c r="I27" s="95"/>
      <c r="J27" s="10"/>
      <c r="K27" s="10"/>
      <c r="L27" s="18"/>
      <c r="M27" s="19"/>
      <c r="N27" s="2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93"/>
      <c r="B28" s="169"/>
      <c r="C28" s="13">
        <v>5</v>
      </c>
      <c r="D28" s="17" t="s">
        <v>71</v>
      </c>
      <c r="E28" s="14">
        <v>1</v>
      </c>
      <c r="F28" s="94"/>
      <c r="G28" s="169"/>
      <c r="H28" s="169"/>
      <c r="I28" s="95"/>
      <c r="J28" s="10"/>
      <c r="K28" s="10"/>
      <c r="L28" s="18"/>
      <c r="M28" s="19"/>
      <c r="N28" s="2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>
      <c r="A29" s="93"/>
      <c r="B29" s="170"/>
      <c r="C29" s="171" t="s">
        <v>57</v>
      </c>
      <c r="D29" s="172"/>
      <c r="E29" s="16">
        <f>SUM(E24:E28)/5</f>
        <v>1</v>
      </c>
      <c r="F29" s="94"/>
      <c r="G29" s="170"/>
      <c r="H29" s="170"/>
      <c r="I29" s="95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93"/>
      <c r="B30" s="94"/>
      <c r="C30" s="104"/>
      <c r="D30" s="104"/>
      <c r="E30" s="101"/>
      <c r="F30" s="94"/>
      <c r="G30" s="96"/>
      <c r="H30" s="94"/>
      <c r="I30" s="95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6.5" customHeight="1">
      <c r="A31" s="93"/>
      <c r="B31" s="175" t="s">
        <v>72</v>
      </c>
      <c r="C31" s="11" t="s">
        <v>49</v>
      </c>
      <c r="D31" s="102" t="s">
        <v>50</v>
      </c>
      <c r="E31" s="100" t="s">
        <v>51</v>
      </c>
      <c r="F31" s="94"/>
      <c r="G31" s="12" t="s">
        <v>52</v>
      </c>
      <c r="H31" s="12" t="s">
        <v>53</v>
      </c>
      <c r="I31" s="9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93"/>
      <c r="B32" s="169"/>
      <c r="C32" s="13">
        <v>1</v>
      </c>
      <c r="D32" s="17" t="s">
        <v>73</v>
      </c>
      <c r="E32" s="14">
        <v>1</v>
      </c>
      <c r="F32" s="94"/>
      <c r="G32" s="178" t="str">
        <f t="array" ref="G32">LOOKUP(E38,{0,0.79},{"PENGUKURAN BERHENTI DI SINI","PENGUKURAN DILANJUTKAN KE TKT BERIKUTNYA"})</f>
        <v>PENGUKURAN DILANJUTKAN KE TKT BERIKUTNYA</v>
      </c>
      <c r="H32" s="179" t="str">
        <f t="array" ref="H32">LOOKUP(E38,{0,0.79},{"4","LANJUT"})</f>
        <v>LANJUT</v>
      </c>
      <c r="I32" s="95"/>
      <c r="J32" s="10"/>
      <c r="K32" s="10"/>
      <c r="L32" s="19"/>
      <c r="M32" s="19"/>
      <c r="N32" s="21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93"/>
      <c r="B33" s="169"/>
      <c r="C33" s="13">
        <v>2</v>
      </c>
      <c r="D33" s="17" t="s">
        <v>74</v>
      </c>
      <c r="E33" s="14">
        <v>1</v>
      </c>
      <c r="F33" s="94"/>
      <c r="G33" s="169"/>
      <c r="H33" s="169"/>
      <c r="I33" s="95"/>
      <c r="J33" s="10"/>
      <c r="K33" s="10"/>
      <c r="L33" s="18"/>
      <c r="M33" s="19"/>
      <c r="N33" s="2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93"/>
      <c r="B34" s="169"/>
      <c r="C34" s="13">
        <v>3</v>
      </c>
      <c r="D34" s="17" t="s">
        <v>75</v>
      </c>
      <c r="E34" s="14">
        <v>1</v>
      </c>
      <c r="F34" s="94"/>
      <c r="G34" s="169"/>
      <c r="H34" s="169"/>
      <c r="I34" s="95"/>
      <c r="J34" s="10"/>
      <c r="K34" s="10"/>
      <c r="L34" s="18"/>
      <c r="M34" s="19"/>
      <c r="N34" s="2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93"/>
      <c r="B35" s="169"/>
      <c r="C35" s="13">
        <v>4</v>
      </c>
      <c r="D35" s="17" t="s">
        <v>76</v>
      </c>
      <c r="E35" s="14">
        <v>1</v>
      </c>
      <c r="F35" s="94"/>
      <c r="G35" s="169"/>
      <c r="H35" s="169"/>
      <c r="I35" s="95"/>
      <c r="J35" s="10"/>
      <c r="K35" s="10"/>
      <c r="L35" s="18"/>
      <c r="M35" s="19"/>
      <c r="N35" s="2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93"/>
      <c r="B36" s="169"/>
      <c r="C36" s="13">
        <v>5</v>
      </c>
      <c r="D36" s="17" t="s">
        <v>77</v>
      </c>
      <c r="E36" s="14">
        <v>1</v>
      </c>
      <c r="F36" s="94"/>
      <c r="G36" s="169"/>
      <c r="H36" s="169"/>
      <c r="I36" s="95"/>
      <c r="J36" s="10"/>
      <c r="K36" s="10"/>
      <c r="L36" s="18"/>
      <c r="M36" s="19"/>
      <c r="N36" s="2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93"/>
      <c r="B37" s="169"/>
      <c r="C37" s="13">
        <v>6</v>
      </c>
      <c r="D37" s="17" t="s">
        <v>78</v>
      </c>
      <c r="E37" s="14">
        <v>1</v>
      </c>
      <c r="F37" s="94"/>
      <c r="G37" s="169"/>
      <c r="H37" s="169"/>
      <c r="I37" s="95"/>
      <c r="J37" s="10"/>
      <c r="K37" s="10"/>
      <c r="L37" s="18"/>
      <c r="M37" s="19"/>
      <c r="N37" s="2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93"/>
      <c r="B38" s="170"/>
      <c r="C38" s="171" t="s">
        <v>57</v>
      </c>
      <c r="D38" s="172"/>
      <c r="E38" s="16">
        <f>SUM(E32:E37)/6</f>
        <v>1</v>
      </c>
      <c r="F38" s="94"/>
      <c r="G38" s="170"/>
      <c r="H38" s="170"/>
      <c r="I38" s="95"/>
      <c r="J38" s="10"/>
      <c r="K38" s="10"/>
      <c r="L38" s="19"/>
      <c r="M38" s="19"/>
      <c r="N38" s="2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93"/>
      <c r="B39" s="94"/>
      <c r="C39" s="104"/>
      <c r="D39" s="104"/>
      <c r="E39" s="101"/>
      <c r="F39" s="94"/>
      <c r="G39" s="94"/>
      <c r="H39" s="94"/>
      <c r="I39" s="95"/>
      <c r="J39" s="10"/>
      <c r="K39" s="10"/>
      <c r="L39" s="18"/>
      <c r="M39" s="19"/>
      <c r="N39" s="2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93"/>
      <c r="B40" s="176" t="s">
        <v>79</v>
      </c>
      <c r="C40" s="11" t="s">
        <v>49</v>
      </c>
      <c r="D40" s="102" t="s">
        <v>50</v>
      </c>
      <c r="E40" s="100" t="s">
        <v>51</v>
      </c>
      <c r="F40" s="94"/>
      <c r="G40" s="12" t="s">
        <v>52</v>
      </c>
      <c r="H40" s="12" t="s">
        <v>53</v>
      </c>
      <c r="I40" s="95"/>
      <c r="J40" s="10"/>
      <c r="K40" s="10"/>
      <c r="L40" s="18"/>
      <c r="M40" s="19"/>
      <c r="N40" s="2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93"/>
      <c r="B41" s="169"/>
      <c r="C41" s="13">
        <v>1</v>
      </c>
      <c r="D41" s="17" t="s">
        <v>80</v>
      </c>
      <c r="E41" s="14">
        <v>0</v>
      </c>
      <c r="F41" s="94"/>
      <c r="G41" s="178" t="str">
        <f t="array" ref="G41">LOOKUP(E43,{0,0.79},{"PENGUKURAN BERHENTI DI SINI","PENGUKURAN DILANJUTKAN KE TKT BERIKUTNYA"})</f>
        <v>PENGUKURAN BERHENTI DI SINI</v>
      </c>
      <c r="H41" s="179" t="str">
        <f t="array" ref="H41">LOOKUP(E43,{0,0.79},{"5","LANJUT"})</f>
        <v>5</v>
      </c>
      <c r="I41" s="95"/>
      <c r="J41" s="10"/>
      <c r="K41" s="10"/>
      <c r="L41" s="18"/>
      <c r="M41" s="19"/>
      <c r="N41" s="2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93"/>
      <c r="B42" s="169"/>
      <c r="C42" s="13">
        <v>2</v>
      </c>
      <c r="D42" s="17" t="s">
        <v>81</v>
      </c>
      <c r="E42" s="14">
        <v>0</v>
      </c>
      <c r="F42" s="94"/>
      <c r="G42" s="169"/>
      <c r="H42" s="169"/>
      <c r="I42" s="9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93"/>
      <c r="B43" s="170"/>
      <c r="C43" s="171" t="s">
        <v>57</v>
      </c>
      <c r="D43" s="172"/>
      <c r="E43" s="16">
        <f>SUM(E41:E42)/2</f>
        <v>0</v>
      </c>
      <c r="F43" s="94"/>
      <c r="G43" s="170"/>
      <c r="H43" s="170"/>
      <c r="I43" s="9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93"/>
      <c r="B44" s="94"/>
      <c r="C44" s="104"/>
      <c r="D44" s="104"/>
      <c r="E44" s="101"/>
      <c r="F44" s="94"/>
      <c r="G44" s="94"/>
      <c r="H44" s="94"/>
      <c r="I44" s="95"/>
      <c r="J44" s="10"/>
      <c r="K44" s="10"/>
      <c r="L44" s="19"/>
      <c r="M44" s="19"/>
      <c r="N44" s="21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93"/>
      <c r="B45" s="177" t="s">
        <v>82</v>
      </c>
      <c r="C45" s="11" t="s">
        <v>49</v>
      </c>
      <c r="D45" s="102" t="s">
        <v>50</v>
      </c>
      <c r="E45" s="100" t="s">
        <v>51</v>
      </c>
      <c r="F45" s="94"/>
      <c r="G45" s="12" t="s">
        <v>52</v>
      </c>
      <c r="H45" s="12" t="s">
        <v>53</v>
      </c>
      <c r="I45" s="95"/>
      <c r="J45" s="10"/>
      <c r="K45" s="10"/>
      <c r="L45" s="18"/>
      <c r="M45" s="19"/>
      <c r="N45" s="2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93"/>
      <c r="B46" s="169"/>
      <c r="C46" s="13">
        <v>1</v>
      </c>
      <c r="D46" s="17" t="s">
        <v>83</v>
      </c>
      <c r="E46" s="14">
        <v>0</v>
      </c>
      <c r="F46" s="94"/>
      <c r="G46" s="178" t="str">
        <f t="array" ref="G46">LOOKUP(E48,{0,0.79},{"PENGUKURAN BERHENTI DI SINI","PENGUKURAN DILANJUTKAN KE TKT BERIKUTNYA"})</f>
        <v>PENGUKURAN BERHENTI DI SINI</v>
      </c>
      <c r="H46" s="179" t="str">
        <f t="array" ref="H46">LOOKUP(E48,{0,0.79},{"6","LANJUT"})</f>
        <v>6</v>
      </c>
      <c r="I46" s="95"/>
      <c r="J46" s="10"/>
      <c r="K46" s="10"/>
      <c r="L46" s="18"/>
      <c r="M46" s="19"/>
      <c r="N46" s="2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93"/>
      <c r="B47" s="169"/>
      <c r="C47" s="13">
        <v>2</v>
      </c>
      <c r="D47" s="17" t="s">
        <v>84</v>
      </c>
      <c r="E47" s="14">
        <v>0</v>
      </c>
      <c r="F47" s="94"/>
      <c r="G47" s="169"/>
      <c r="H47" s="169"/>
      <c r="I47" s="95"/>
      <c r="J47" s="10"/>
      <c r="K47" s="10"/>
      <c r="L47" s="18"/>
      <c r="M47" s="19"/>
      <c r="N47" s="2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93"/>
      <c r="B48" s="170"/>
      <c r="C48" s="171" t="s">
        <v>57</v>
      </c>
      <c r="D48" s="172"/>
      <c r="E48" s="16">
        <f>SUM(E46:E47)/2</f>
        <v>0</v>
      </c>
      <c r="F48" s="94"/>
      <c r="G48" s="170"/>
      <c r="H48" s="170"/>
      <c r="I48" s="95"/>
      <c r="J48" s="10"/>
      <c r="K48" s="10"/>
      <c r="L48" s="18"/>
      <c r="M48" s="19"/>
      <c r="N48" s="2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93"/>
      <c r="B49" s="94"/>
      <c r="C49" s="104"/>
      <c r="D49" s="104"/>
      <c r="E49" s="101"/>
      <c r="F49" s="94"/>
      <c r="G49" s="94"/>
      <c r="H49" s="94"/>
      <c r="I49" s="95"/>
      <c r="J49" s="10"/>
      <c r="K49" s="10"/>
      <c r="L49" s="18"/>
      <c r="M49" s="19"/>
      <c r="N49" s="2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93"/>
      <c r="B50" s="168" t="s">
        <v>85</v>
      </c>
      <c r="C50" s="11" t="s">
        <v>49</v>
      </c>
      <c r="D50" s="102" t="s">
        <v>50</v>
      </c>
      <c r="E50" s="100" t="s">
        <v>51</v>
      </c>
      <c r="F50" s="94"/>
      <c r="G50" s="12" t="s">
        <v>52</v>
      </c>
      <c r="H50" s="12" t="s">
        <v>53</v>
      </c>
      <c r="I50" s="95"/>
      <c r="J50" s="10"/>
      <c r="K50" s="10"/>
      <c r="L50" s="18"/>
      <c r="M50" s="19"/>
      <c r="N50" s="2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93"/>
      <c r="B51" s="169"/>
      <c r="C51" s="13">
        <v>1</v>
      </c>
      <c r="D51" s="17" t="s">
        <v>86</v>
      </c>
      <c r="E51" s="14">
        <v>0</v>
      </c>
      <c r="F51" s="94"/>
      <c r="G51" s="178" t="str">
        <f t="array" ref="G51">LOOKUP(E54,{0,0.79},{"PENGUKURAN BERHENTI DI SINI","PENGUKURAN DILANJUTKAN KE TKT BERIKUTNYA"})</f>
        <v>PENGUKURAN BERHENTI DI SINI</v>
      </c>
      <c r="H51" s="179" t="str">
        <f t="array" ref="H51">LOOKUP(O53,{0,0.79},{"7","LANJUT"})</f>
        <v>7</v>
      </c>
      <c r="I51" s="95"/>
      <c r="J51" s="10"/>
      <c r="K51" s="10"/>
      <c r="L51" s="18"/>
      <c r="M51" s="19"/>
      <c r="N51" s="2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93"/>
      <c r="B52" s="169"/>
      <c r="C52" s="13">
        <v>2</v>
      </c>
      <c r="D52" s="17" t="s">
        <v>87</v>
      </c>
      <c r="E52" s="14">
        <v>0</v>
      </c>
      <c r="F52" s="94"/>
      <c r="G52" s="169"/>
      <c r="H52" s="169"/>
      <c r="I52" s="9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93"/>
      <c r="B53" s="169"/>
      <c r="C53" s="13">
        <v>3</v>
      </c>
      <c r="D53" s="17" t="s">
        <v>88</v>
      </c>
      <c r="E53" s="14">
        <v>0</v>
      </c>
      <c r="F53" s="94"/>
      <c r="G53" s="169"/>
      <c r="H53" s="169"/>
      <c r="I53" s="9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93"/>
      <c r="B54" s="170"/>
      <c r="C54" s="171" t="s">
        <v>57</v>
      </c>
      <c r="D54" s="172"/>
      <c r="E54" s="16">
        <f>SUM(E51:E53)/3</f>
        <v>0</v>
      </c>
      <c r="F54" s="94"/>
      <c r="G54" s="170"/>
      <c r="H54" s="170"/>
      <c r="I54" s="9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93"/>
      <c r="B55" s="94"/>
      <c r="C55" s="104"/>
      <c r="D55" s="104"/>
      <c r="E55" s="101"/>
      <c r="F55" s="94"/>
      <c r="G55" s="94"/>
      <c r="H55" s="94"/>
      <c r="I55" s="95"/>
      <c r="J55" s="10"/>
      <c r="K55" s="10"/>
      <c r="L55" s="19"/>
      <c r="M55" s="19"/>
      <c r="N55" s="21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93"/>
      <c r="B56" s="173" t="s">
        <v>89</v>
      </c>
      <c r="C56" s="11" t="s">
        <v>49</v>
      </c>
      <c r="D56" s="102" t="s">
        <v>50</v>
      </c>
      <c r="E56" s="100" t="s">
        <v>51</v>
      </c>
      <c r="F56" s="94"/>
      <c r="G56" s="12" t="s">
        <v>52</v>
      </c>
      <c r="H56" s="12" t="s">
        <v>53</v>
      </c>
      <c r="I56" s="95"/>
      <c r="J56" s="10"/>
      <c r="K56" s="10"/>
      <c r="L56" s="18"/>
      <c r="M56" s="19"/>
      <c r="N56" s="2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93"/>
      <c r="B57" s="169"/>
      <c r="C57" s="13">
        <v>1</v>
      </c>
      <c r="D57" s="17" t="s">
        <v>90</v>
      </c>
      <c r="E57" s="14">
        <v>0</v>
      </c>
      <c r="F57" s="94"/>
      <c r="G57" s="178" t="str">
        <f t="array" ref="G57">LOOKUP(E63,{0,0.79},{"PENGUKURAN BERHENTI DI SINI","PENGUKURAN BERHENTI DI SINI"})</f>
        <v>PENGUKURAN BERHENTI DI SINI</v>
      </c>
      <c r="H57" s="179" t="str">
        <f t="array" ref="H57">LOOKUP(E63,{0,0.79},{"8","9"})</f>
        <v>8</v>
      </c>
      <c r="I57" s="95"/>
      <c r="J57" s="10"/>
      <c r="K57" s="10"/>
      <c r="L57" s="18"/>
      <c r="M57" s="19"/>
      <c r="N57" s="2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93"/>
      <c r="B58" s="169"/>
      <c r="C58" s="13">
        <v>2</v>
      </c>
      <c r="D58" s="17" t="s">
        <v>91</v>
      </c>
      <c r="E58" s="14">
        <v>0</v>
      </c>
      <c r="F58" s="94"/>
      <c r="G58" s="169"/>
      <c r="H58" s="169"/>
      <c r="I58" s="95"/>
      <c r="J58" s="10"/>
      <c r="K58" s="10"/>
      <c r="L58" s="18"/>
      <c r="M58" s="19"/>
      <c r="N58" s="2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93"/>
      <c r="B59" s="169"/>
      <c r="C59" s="13">
        <v>3</v>
      </c>
      <c r="D59" s="17" t="s">
        <v>92</v>
      </c>
      <c r="E59" s="14">
        <v>0</v>
      </c>
      <c r="F59" s="94"/>
      <c r="G59" s="169"/>
      <c r="H59" s="169"/>
      <c r="I59" s="95"/>
      <c r="J59" s="10"/>
      <c r="K59" s="10"/>
      <c r="L59" s="18"/>
      <c r="M59" s="19"/>
      <c r="N59" s="2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93"/>
      <c r="B60" s="169"/>
      <c r="C60" s="13">
        <v>4</v>
      </c>
      <c r="D60" s="17" t="s">
        <v>93</v>
      </c>
      <c r="E60" s="14">
        <v>0</v>
      </c>
      <c r="F60" s="94"/>
      <c r="G60" s="169"/>
      <c r="H60" s="169"/>
      <c r="I60" s="95"/>
      <c r="J60" s="10"/>
      <c r="K60" s="10"/>
      <c r="L60" s="18"/>
      <c r="M60" s="19"/>
      <c r="N60" s="2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93"/>
      <c r="B61" s="169"/>
      <c r="C61" s="13">
        <v>5</v>
      </c>
      <c r="D61" s="17" t="s">
        <v>94</v>
      </c>
      <c r="E61" s="14">
        <v>0</v>
      </c>
      <c r="F61" s="94"/>
      <c r="G61" s="169"/>
      <c r="H61" s="169"/>
      <c r="I61" s="95"/>
      <c r="J61" s="10"/>
      <c r="K61" s="10"/>
      <c r="L61" s="18"/>
      <c r="M61" s="19"/>
      <c r="N61" s="2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93"/>
      <c r="B62" s="169"/>
      <c r="C62" s="13">
        <v>6</v>
      </c>
      <c r="D62" s="17" t="s">
        <v>95</v>
      </c>
      <c r="E62" s="14">
        <v>0</v>
      </c>
      <c r="F62" s="94"/>
      <c r="G62" s="169"/>
      <c r="H62" s="169"/>
      <c r="I62" s="9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93"/>
      <c r="B63" s="170"/>
      <c r="C63" s="171" t="s">
        <v>57</v>
      </c>
      <c r="D63" s="172"/>
      <c r="E63" s="16">
        <f>SUM(E57:E62)/6</f>
        <v>0</v>
      </c>
      <c r="F63" s="94"/>
      <c r="G63" s="170"/>
      <c r="H63" s="170"/>
      <c r="I63" s="9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0"/>
      <c r="B64" s="91"/>
      <c r="C64" s="91"/>
      <c r="D64" s="91"/>
      <c r="E64" s="91"/>
      <c r="F64" s="91"/>
      <c r="G64" s="91"/>
      <c r="H64" s="91"/>
      <c r="I64" s="9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thickBot="1">
      <c r="A65" s="97"/>
      <c r="B65" s="98"/>
      <c r="C65" s="98"/>
      <c r="D65" s="98"/>
      <c r="E65" s="98"/>
      <c r="F65" s="98"/>
      <c r="G65" s="98"/>
      <c r="H65" s="98"/>
      <c r="I65" s="9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7">
    <mergeCell ref="A3:I3"/>
    <mergeCell ref="B5:B9"/>
    <mergeCell ref="G6:G9"/>
    <mergeCell ref="H6:H9"/>
    <mergeCell ref="C9:D9"/>
    <mergeCell ref="G12:G15"/>
    <mergeCell ref="H12:H15"/>
    <mergeCell ref="B11:B15"/>
    <mergeCell ref="C15:D15"/>
    <mergeCell ref="B17:B21"/>
    <mergeCell ref="G18:G21"/>
    <mergeCell ref="H18:H21"/>
    <mergeCell ref="C21:D21"/>
    <mergeCell ref="G24:G29"/>
    <mergeCell ref="H24:H29"/>
    <mergeCell ref="G32:G38"/>
    <mergeCell ref="H32:H38"/>
    <mergeCell ref="G41:G43"/>
    <mergeCell ref="H41:H43"/>
    <mergeCell ref="G46:G48"/>
    <mergeCell ref="G51:G54"/>
    <mergeCell ref="H51:H54"/>
    <mergeCell ref="G57:G63"/>
    <mergeCell ref="H57:H63"/>
    <mergeCell ref="H46:H48"/>
    <mergeCell ref="B50:B54"/>
    <mergeCell ref="C54:D54"/>
    <mergeCell ref="B56:B63"/>
    <mergeCell ref="C63:D63"/>
    <mergeCell ref="B23:B29"/>
    <mergeCell ref="B31:B38"/>
    <mergeCell ref="C38:D38"/>
    <mergeCell ref="B40:B43"/>
    <mergeCell ref="C43:D43"/>
    <mergeCell ref="B45:B48"/>
    <mergeCell ref="C48:D48"/>
    <mergeCell ref="C29:D29"/>
  </mergeCells>
  <dataValidations disablePrompts="1" count="1">
    <dataValidation type="list" allowBlank="1" showErrorMessage="1" sqref="E6:E8 E12:E14 E18:E20 E24:E28 E32:E37 E41:E42 E46:E47 E51:E53 E57:E62" xr:uid="{00000000-0002-0000-0200-000000000000}">
      <formula1>$O$5:$O$10</formula1>
    </dataValidation>
  </dataValidations>
  <pageMargins left="0.7" right="0.7" top="0.75" bottom="0.75" header="0.3" footer="0.3"/>
  <pageSetup paperSize="9" scale="3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1000"/>
  <sheetViews>
    <sheetView topLeftCell="F1" zoomScaleNormal="100" workbookViewId="0">
      <selection activeCell="G9" sqref="G9:V9"/>
    </sheetView>
  </sheetViews>
  <sheetFormatPr defaultColWidth="14.453125" defaultRowHeight="15" customHeight="1"/>
  <cols>
    <col min="1" max="1" width="11" hidden="1" customWidth="1"/>
    <col min="2" max="2" width="4.6328125" hidden="1" customWidth="1"/>
    <col min="3" max="3" width="7.6328125" hidden="1" customWidth="1"/>
    <col min="4" max="4" width="7.54296875" hidden="1" customWidth="1"/>
    <col min="5" max="5" width="4.6328125" hidden="1" customWidth="1"/>
    <col min="6" max="6" width="4.36328125" customWidth="1"/>
    <col min="7" max="7" width="30.36328125" customWidth="1"/>
    <col min="8" max="8" width="6" customWidth="1"/>
    <col min="9" max="9" width="4.08984375" customWidth="1"/>
    <col min="10" max="10" width="2.90625" customWidth="1"/>
    <col min="11" max="11" width="6.6328125" customWidth="1"/>
    <col min="12" max="12" width="2.54296875" customWidth="1"/>
    <col min="13" max="13" width="1.453125" customWidth="1"/>
    <col min="14" max="14" width="4.90625" customWidth="1"/>
    <col min="15" max="15" width="4.36328125" customWidth="1"/>
    <col min="16" max="16" width="10.54296875" customWidth="1"/>
    <col min="17" max="17" width="2.36328125" customWidth="1"/>
    <col min="18" max="18" width="6.6328125" customWidth="1"/>
    <col min="19" max="19" width="13" customWidth="1"/>
    <col min="20" max="20" width="3.453125" customWidth="1"/>
    <col min="21" max="21" width="4.08984375" customWidth="1"/>
    <col min="22" max="22" width="11.6328125" customWidth="1"/>
    <col min="23" max="23" width="9.08984375" customWidth="1"/>
    <col min="24" max="24" width="9.08984375" hidden="1" customWidth="1"/>
    <col min="25" max="25" width="8.6328125" customWidth="1"/>
  </cols>
  <sheetData>
    <row r="1" spans="1:25" thickBo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" customHeight="1">
      <c r="A2" s="22"/>
      <c r="B2" s="22"/>
      <c r="C2" s="22"/>
      <c r="D2" s="22"/>
      <c r="E2" s="22"/>
      <c r="F2" s="108"/>
      <c r="G2" s="109"/>
      <c r="H2" s="109"/>
      <c r="I2" s="109"/>
      <c r="J2" s="109"/>
      <c r="K2" s="109"/>
      <c r="L2" s="109"/>
      <c r="M2" s="109"/>
      <c r="N2" s="110"/>
      <c r="O2" s="109"/>
      <c r="P2" s="109"/>
      <c r="Q2" s="109"/>
      <c r="R2" s="109"/>
      <c r="S2" s="109"/>
      <c r="T2" s="109"/>
      <c r="U2" s="109"/>
      <c r="V2" s="111"/>
      <c r="W2" s="22"/>
      <c r="X2" s="22"/>
      <c r="Y2" s="22"/>
    </row>
    <row r="3" spans="1:25" ht="21" customHeight="1">
      <c r="A3" s="22"/>
      <c r="B3" s="22"/>
      <c r="C3" s="22"/>
      <c r="D3" s="22"/>
      <c r="E3" s="22"/>
      <c r="F3" s="112"/>
      <c r="G3" s="106"/>
      <c r="H3" s="218" t="s">
        <v>96</v>
      </c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214"/>
      <c r="W3" s="22"/>
      <c r="X3" s="22"/>
      <c r="Y3" s="22"/>
    </row>
    <row r="4" spans="1:25" ht="20.25" customHeight="1">
      <c r="A4" s="22"/>
      <c r="B4" s="22"/>
      <c r="C4" s="22"/>
      <c r="D4" s="22"/>
      <c r="E4" s="22"/>
      <c r="F4" s="112"/>
      <c r="G4" s="106"/>
      <c r="H4" s="219" t="s">
        <v>97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214"/>
      <c r="W4" s="22"/>
      <c r="X4" s="22"/>
      <c r="Y4" s="22"/>
    </row>
    <row r="5" spans="1:25" ht="12" customHeight="1">
      <c r="A5" s="22"/>
      <c r="B5" s="22"/>
      <c r="C5" s="22"/>
      <c r="D5" s="22"/>
      <c r="E5" s="22"/>
      <c r="F5" s="112"/>
      <c r="G5" s="106"/>
      <c r="H5" s="220" t="s">
        <v>98</v>
      </c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214"/>
      <c r="W5" s="22"/>
      <c r="X5" s="24"/>
      <c r="Y5" s="22"/>
    </row>
    <row r="6" spans="1:25" ht="12" customHeight="1">
      <c r="A6" s="22"/>
      <c r="B6" s="22"/>
      <c r="C6" s="22"/>
      <c r="D6" s="22"/>
      <c r="E6" s="22"/>
      <c r="F6" s="112"/>
      <c r="G6" s="106"/>
      <c r="H6" s="221" t="s">
        <v>99</v>
      </c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214"/>
      <c r="W6" s="22"/>
      <c r="X6" s="25"/>
      <c r="Y6" s="22"/>
    </row>
    <row r="7" spans="1:25" ht="15" customHeight="1">
      <c r="A7" s="22"/>
      <c r="B7" s="22"/>
      <c r="C7" s="22"/>
      <c r="D7" s="22"/>
      <c r="E7" s="22"/>
      <c r="F7" s="112"/>
      <c r="G7" s="106"/>
      <c r="H7" s="220" t="s">
        <v>100</v>
      </c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214"/>
      <c r="W7" s="22"/>
      <c r="X7" s="26"/>
      <c r="Y7" s="22"/>
    </row>
    <row r="8" spans="1:25" ht="12" customHeight="1" thickBot="1">
      <c r="A8" s="22"/>
      <c r="B8" s="22"/>
      <c r="C8" s="22"/>
      <c r="D8" s="22"/>
      <c r="E8" s="22"/>
      <c r="F8" s="113"/>
      <c r="G8" s="114"/>
      <c r="H8" s="114"/>
      <c r="I8" s="114"/>
      <c r="J8" s="114"/>
      <c r="K8" s="114"/>
      <c r="L8" s="114"/>
      <c r="M8" s="114"/>
      <c r="N8" s="115"/>
      <c r="O8" s="114"/>
      <c r="P8" s="114"/>
      <c r="Q8" s="114"/>
      <c r="R8" s="114"/>
      <c r="S8" s="114"/>
      <c r="T8" s="114"/>
      <c r="U8" s="114"/>
      <c r="V8" s="116"/>
      <c r="W8" s="22"/>
      <c r="X8" s="26"/>
      <c r="Y8" s="22"/>
    </row>
    <row r="9" spans="1:25" ht="23" customHeight="1">
      <c r="A9" s="22"/>
      <c r="B9" s="22"/>
      <c r="C9" s="22"/>
      <c r="D9" s="22"/>
      <c r="E9" s="22"/>
      <c r="F9" s="112"/>
      <c r="G9" s="213" t="s">
        <v>101</v>
      </c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214"/>
      <c r="W9" s="22"/>
      <c r="X9" s="22"/>
      <c r="Y9" s="22"/>
    </row>
    <row r="10" spans="1:25" ht="24.5" customHeight="1">
      <c r="A10" s="22"/>
      <c r="B10" s="22"/>
      <c r="C10" s="22"/>
      <c r="D10" s="22"/>
      <c r="E10" s="22"/>
      <c r="F10" s="112"/>
      <c r="G10" s="213" t="s">
        <v>102</v>
      </c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214"/>
      <c r="W10" s="22"/>
      <c r="X10" s="22"/>
      <c r="Y10" s="22"/>
    </row>
    <row r="11" spans="1:25" ht="14.5">
      <c r="A11" s="27"/>
      <c r="B11" s="27"/>
      <c r="C11" s="27"/>
      <c r="D11" s="27"/>
      <c r="E11" s="27"/>
      <c r="F11" s="117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9"/>
      <c r="W11" s="27"/>
      <c r="X11" s="27"/>
      <c r="Y11" s="27"/>
    </row>
    <row r="12" spans="1:25" ht="18">
      <c r="A12" s="22"/>
      <c r="B12" s="22"/>
      <c r="C12" s="22"/>
      <c r="D12" s="22"/>
      <c r="E12" s="22"/>
      <c r="F12" s="112"/>
      <c r="G12" s="118"/>
      <c r="H12" s="118"/>
      <c r="I12" s="118"/>
      <c r="J12" s="118"/>
      <c r="K12" s="118"/>
      <c r="L12" s="118"/>
      <c r="M12" s="118"/>
      <c r="N12" s="120"/>
      <c r="O12" s="118"/>
      <c r="P12" s="118"/>
      <c r="Q12" s="118"/>
      <c r="R12" s="28" t="s">
        <v>103</v>
      </c>
      <c r="S12" s="215"/>
      <c r="T12" s="192"/>
      <c r="U12" s="216"/>
      <c r="V12" s="199"/>
      <c r="W12" s="22"/>
      <c r="X12" s="22"/>
      <c r="Y12" s="22"/>
    </row>
    <row r="13" spans="1:25" ht="30.75" customHeight="1">
      <c r="A13" s="22"/>
      <c r="B13" s="22"/>
      <c r="C13" s="22"/>
      <c r="D13" s="22"/>
      <c r="E13" s="22"/>
      <c r="F13" s="112"/>
      <c r="G13" s="217" t="s">
        <v>104</v>
      </c>
      <c r="H13" s="192"/>
      <c r="I13" s="192"/>
      <c r="J13" s="193"/>
      <c r="K13" s="198" t="str">
        <f>'IDENTITAS UMUM'!E6</f>
        <v>Web Story Dashboard Simulasi Spillover Pariwisata Bali</v>
      </c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9"/>
      <c r="W13" s="22"/>
      <c r="X13" s="22"/>
      <c r="Y13" s="22"/>
    </row>
    <row r="14" spans="1:25" ht="14.5">
      <c r="A14" s="22"/>
      <c r="B14" s="22"/>
      <c r="C14" s="22"/>
      <c r="D14" s="22"/>
      <c r="E14" s="22"/>
      <c r="F14" s="112"/>
      <c r="G14" s="191" t="s">
        <v>32</v>
      </c>
      <c r="H14" s="192"/>
      <c r="I14" s="192"/>
      <c r="J14" s="193"/>
      <c r="K14" s="198" t="str">
        <f>'IDENTITAS UMUM'!E7</f>
        <v>TIK</v>
      </c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9"/>
      <c r="W14" s="22"/>
      <c r="X14" s="22"/>
      <c r="Y14" s="22"/>
    </row>
    <row r="15" spans="1:25" ht="14.5">
      <c r="A15" s="22"/>
      <c r="B15" s="22"/>
      <c r="C15" s="22"/>
      <c r="D15" s="22"/>
      <c r="E15" s="22"/>
      <c r="F15" s="112"/>
      <c r="G15" s="191" t="s">
        <v>105</v>
      </c>
      <c r="H15" s="192"/>
      <c r="I15" s="192"/>
      <c r="J15" s="193"/>
      <c r="K15" s="198" t="str">
        <f>'IDENTITAS UMUM'!E16</f>
        <v xml:space="preserve">Dr. Eng. Arie Wahyu Wijayanto, SST., MT. </v>
      </c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9"/>
      <c r="W15" s="22"/>
      <c r="X15" s="22"/>
      <c r="Y15" s="22"/>
    </row>
    <row r="16" spans="1:25" ht="14.5">
      <c r="A16" s="22"/>
      <c r="B16" s="22"/>
      <c r="C16" s="22"/>
      <c r="D16" s="22"/>
      <c r="E16" s="22"/>
      <c r="F16" s="112"/>
      <c r="G16" s="191" t="s">
        <v>106</v>
      </c>
      <c r="H16" s="192"/>
      <c r="I16" s="192"/>
      <c r="J16" s="193"/>
      <c r="K16" s="198" t="str">
        <f>'IDENTITAS UMUM'!E20</f>
        <v>Politeknik Statistika STIS</v>
      </c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9"/>
      <c r="W16" s="22"/>
      <c r="X16" s="22"/>
      <c r="Y16" s="22"/>
    </row>
    <row r="17" spans="1:25" ht="14.5">
      <c r="A17" s="22"/>
      <c r="B17" s="22"/>
      <c r="C17" s="22"/>
      <c r="D17" s="22"/>
      <c r="E17" s="22"/>
      <c r="F17" s="112"/>
      <c r="G17" s="191" t="s">
        <v>107</v>
      </c>
      <c r="H17" s="192"/>
      <c r="I17" s="192"/>
      <c r="J17" s="193"/>
      <c r="K17" s="198">
        <f>'IDENTITAS UMUM'!E19</f>
        <v>0</v>
      </c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9"/>
      <c r="W17" s="22"/>
      <c r="X17" s="22"/>
      <c r="Y17" s="22"/>
    </row>
    <row r="18" spans="1:25" ht="14.5">
      <c r="A18" s="22"/>
      <c r="B18" s="22"/>
      <c r="C18" s="22"/>
      <c r="D18" s="22"/>
      <c r="E18" s="22"/>
      <c r="F18" s="112"/>
      <c r="G18" s="191" t="s">
        <v>108</v>
      </c>
      <c r="H18" s="192"/>
      <c r="I18" s="192"/>
      <c r="J18" s="193"/>
      <c r="K18" s="204" t="str">
        <f>'IDENTITAS UMUM'!E17</f>
        <v>085890363680</v>
      </c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6"/>
      <c r="W18" s="22"/>
      <c r="X18" s="22"/>
      <c r="Y18" s="22"/>
    </row>
    <row r="19" spans="1:25" ht="14.5">
      <c r="A19" s="22"/>
      <c r="B19" s="22"/>
      <c r="C19" s="22"/>
      <c r="D19" s="22"/>
      <c r="E19" s="22"/>
      <c r="F19" s="112"/>
      <c r="G19" s="191" t="s">
        <v>26</v>
      </c>
      <c r="H19" s="192"/>
      <c r="I19" s="192"/>
      <c r="J19" s="193"/>
      <c r="K19" s="204" t="str">
        <f>'IDENTITAS UMUM'!E18</f>
        <v>ariewahyu@stis.ac.id</v>
      </c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6"/>
      <c r="W19" s="22"/>
      <c r="X19" s="22"/>
      <c r="Y19" s="22"/>
    </row>
    <row r="20" spans="1:25" ht="18">
      <c r="A20" s="22"/>
      <c r="B20" s="22"/>
      <c r="C20" s="22"/>
      <c r="D20" s="22"/>
      <c r="E20" s="22"/>
      <c r="F20" s="112"/>
      <c r="G20" s="121"/>
      <c r="H20" s="121"/>
      <c r="I20" s="121"/>
      <c r="J20" s="121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3"/>
      <c r="W20" s="22"/>
      <c r="X20" s="22"/>
      <c r="Y20" s="22"/>
    </row>
    <row r="21" spans="1:25" ht="18" customHeight="1">
      <c r="A21" s="22"/>
      <c r="B21" s="22"/>
      <c r="C21" s="22"/>
      <c r="D21" s="22"/>
      <c r="E21" s="22"/>
      <c r="F21" s="112"/>
      <c r="G21" s="194" t="s">
        <v>109</v>
      </c>
      <c r="H21" s="195"/>
      <c r="I21" s="195"/>
      <c r="J21" s="195"/>
      <c r="K21" s="124" t="s">
        <v>2</v>
      </c>
      <c r="L21" s="207"/>
      <c r="M21" s="195"/>
      <c r="N21" s="195"/>
      <c r="O21" s="195"/>
      <c r="P21" s="124"/>
      <c r="Q21" s="124"/>
      <c r="R21" s="124"/>
      <c r="S21" s="124"/>
      <c r="T21" s="124"/>
      <c r="U21" s="124"/>
      <c r="V21" s="119"/>
      <c r="W21" s="22"/>
      <c r="X21" s="22"/>
      <c r="Y21" s="22"/>
    </row>
    <row r="22" spans="1:25" ht="15.75" customHeight="1" thickBot="1">
      <c r="A22" s="22"/>
      <c r="B22" s="22"/>
      <c r="C22" s="22"/>
      <c r="D22" s="22"/>
      <c r="E22" s="22"/>
      <c r="F22" s="112"/>
      <c r="G22" s="122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9"/>
      <c r="W22" s="22"/>
      <c r="X22" s="22"/>
      <c r="Y22" s="22"/>
    </row>
    <row r="23" spans="1:25" ht="54" customHeight="1" thickBot="1">
      <c r="A23" s="22"/>
      <c r="B23" s="22"/>
      <c r="C23" s="22"/>
      <c r="D23" s="22"/>
      <c r="E23" s="22"/>
      <c r="F23" s="112"/>
      <c r="G23" s="196" t="s">
        <v>110</v>
      </c>
      <c r="H23" s="197"/>
      <c r="I23" s="197"/>
      <c r="J23" s="197"/>
      <c r="K23" s="211">
        <f>P40</f>
        <v>5</v>
      </c>
      <c r="L23" s="212"/>
      <c r="M23" s="200" t="s">
        <v>111</v>
      </c>
      <c r="N23" s="197"/>
      <c r="O23" s="197"/>
      <c r="P23" s="197"/>
      <c r="Q23" s="208" t="s">
        <v>112</v>
      </c>
      <c r="R23" s="197"/>
      <c r="S23" s="197"/>
      <c r="T23" s="209">
        <f>'[1]TKT Farmasi'!Q11</f>
        <v>0</v>
      </c>
      <c r="U23" s="210"/>
      <c r="V23" s="125"/>
      <c r="W23" s="22"/>
      <c r="X23" s="22"/>
      <c r="Y23" s="22"/>
    </row>
    <row r="24" spans="1:25" ht="15.75" customHeight="1" thickBot="1">
      <c r="A24" s="27"/>
      <c r="B24" s="27"/>
      <c r="C24" s="27"/>
      <c r="D24" s="27"/>
      <c r="E24" s="27"/>
      <c r="F24" s="117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18"/>
      <c r="R24" s="118"/>
      <c r="S24" s="118"/>
      <c r="T24" s="118"/>
      <c r="U24" s="118"/>
      <c r="V24" s="119"/>
      <c r="W24" s="27"/>
      <c r="X24" s="27"/>
      <c r="Y24" s="27"/>
    </row>
    <row r="25" spans="1:25" ht="15.75" customHeight="1">
      <c r="A25" s="22"/>
      <c r="B25" s="22"/>
      <c r="C25" s="22"/>
      <c r="D25" s="22"/>
      <c r="E25" s="22"/>
      <c r="F25" s="112"/>
      <c r="G25" s="127" t="s">
        <v>113</v>
      </c>
      <c r="H25" s="106"/>
      <c r="I25" s="29"/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0"/>
      <c r="U25" s="32"/>
      <c r="V25" s="128"/>
      <c r="W25" s="22"/>
      <c r="X25" s="22"/>
      <c r="Y25" s="22"/>
    </row>
    <row r="26" spans="1:25" ht="21" customHeight="1">
      <c r="A26" s="22"/>
      <c r="B26" s="22"/>
      <c r="C26" s="22"/>
      <c r="D26" s="22"/>
      <c r="E26" s="22"/>
      <c r="F26" s="112"/>
      <c r="G26" s="106"/>
      <c r="H26" s="106"/>
      <c r="I26" s="33"/>
      <c r="J26" s="129"/>
      <c r="K26" s="130"/>
      <c r="L26" s="130"/>
      <c r="M26" s="130"/>
      <c r="N26" s="130"/>
      <c r="O26" s="130"/>
      <c r="P26" s="130"/>
      <c r="Q26" s="130"/>
      <c r="R26" s="130"/>
      <c r="S26" s="130"/>
      <c r="T26" s="129"/>
      <c r="U26" s="34"/>
      <c r="V26" s="128"/>
      <c r="W26" s="22"/>
      <c r="X26" s="22"/>
      <c r="Y26" s="22"/>
    </row>
    <row r="27" spans="1:25" ht="92.25" customHeight="1" thickBot="1">
      <c r="A27" s="22"/>
      <c r="B27" s="22"/>
      <c r="C27" s="22"/>
      <c r="D27" s="22"/>
      <c r="E27" s="22"/>
      <c r="F27" s="112"/>
      <c r="G27" s="131" t="s">
        <v>113</v>
      </c>
      <c r="H27" s="106"/>
      <c r="I27" s="33"/>
      <c r="J27" s="129"/>
      <c r="K27" s="201" t="s">
        <v>114</v>
      </c>
      <c r="L27" s="202"/>
      <c r="M27" s="202"/>
      <c r="N27" s="202"/>
      <c r="O27" s="202"/>
      <c r="P27" s="202"/>
      <c r="Q27" s="202"/>
      <c r="R27" s="202"/>
      <c r="S27" s="203"/>
      <c r="T27" s="129"/>
      <c r="U27" s="34"/>
      <c r="V27" s="128"/>
      <c r="W27" s="22"/>
      <c r="X27" s="22"/>
      <c r="Y27" s="22"/>
    </row>
    <row r="28" spans="1:25" ht="15.75" customHeight="1">
      <c r="A28" s="22"/>
      <c r="B28" s="22"/>
      <c r="C28" s="22"/>
      <c r="D28" s="22"/>
      <c r="E28" s="22"/>
      <c r="F28" s="112"/>
      <c r="G28" s="131"/>
      <c r="H28" s="106"/>
      <c r="I28" s="33"/>
      <c r="J28" s="129"/>
      <c r="K28" s="132"/>
      <c r="L28" s="132"/>
      <c r="M28" s="132"/>
      <c r="N28" s="132"/>
      <c r="O28" s="132"/>
      <c r="P28" s="132"/>
      <c r="Q28" s="132"/>
      <c r="R28" s="132"/>
      <c r="S28" s="132"/>
      <c r="T28" s="133"/>
      <c r="U28" s="34"/>
      <c r="V28" s="128"/>
      <c r="W28" s="22"/>
      <c r="X28" s="22"/>
      <c r="Y28" s="22"/>
    </row>
    <row r="29" spans="1:25" ht="15.75" customHeight="1" thickBot="1">
      <c r="A29" s="22"/>
      <c r="B29" s="22"/>
      <c r="C29" s="22"/>
      <c r="D29" s="22"/>
      <c r="E29" s="22"/>
      <c r="F29" s="112"/>
      <c r="G29" s="131"/>
      <c r="H29" s="106"/>
      <c r="I29" s="33"/>
      <c r="J29" s="129"/>
      <c r="K29" s="134"/>
      <c r="L29" s="134"/>
      <c r="M29" s="134"/>
      <c r="N29" s="135"/>
      <c r="O29" s="134"/>
      <c r="P29" s="136"/>
      <c r="Q29" s="134"/>
      <c r="R29" s="134"/>
      <c r="S29" s="134"/>
      <c r="T29" s="129"/>
      <c r="U29" s="34"/>
      <c r="V29" s="128"/>
      <c r="W29" s="22"/>
      <c r="X29" s="22"/>
      <c r="Y29" s="22"/>
    </row>
    <row r="30" spans="1:25" ht="30" customHeight="1">
      <c r="A30" s="22"/>
      <c r="B30" s="22"/>
      <c r="C30" s="22"/>
      <c r="D30" s="22"/>
      <c r="E30" s="22"/>
      <c r="F30" s="112"/>
      <c r="G30" s="131"/>
      <c r="H30" s="106"/>
      <c r="I30" s="33"/>
      <c r="J30" s="129"/>
      <c r="K30" s="186" t="s">
        <v>113</v>
      </c>
      <c r="L30" s="137"/>
      <c r="M30" s="137"/>
      <c r="N30" s="138">
        <v>9</v>
      </c>
      <c r="O30" s="35"/>
      <c r="P30" s="36" t="s">
        <v>113</v>
      </c>
      <c r="Q30" s="35"/>
      <c r="R30" s="139">
        <v>9</v>
      </c>
      <c r="S30" s="134"/>
      <c r="T30" s="129"/>
      <c r="U30" s="34"/>
      <c r="V30" s="128"/>
      <c r="W30" s="22"/>
      <c r="X30" s="22"/>
      <c r="Y30" s="22"/>
    </row>
    <row r="31" spans="1:25" ht="30" customHeight="1">
      <c r="A31" s="22"/>
      <c r="B31" s="22"/>
      <c r="C31" s="22"/>
      <c r="D31" s="22"/>
      <c r="E31" s="22"/>
      <c r="F31" s="112"/>
      <c r="G31" s="131"/>
      <c r="H31" s="106"/>
      <c r="I31" s="33"/>
      <c r="J31" s="129"/>
      <c r="K31" s="160"/>
      <c r="L31" s="137"/>
      <c r="M31" s="137"/>
      <c r="N31" s="138">
        <v>8</v>
      </c>
      <c r="O31" s="35"/>
      <c r="P31" s="37" t="s">
        <v>113</v>
      </c>
      <c r="Q31" s="35"/>
      <c r="R31" s="139">
        <v>8</v>
      </c>
      <c r="S31" s="134"/>
      <c r="T31" s="129"/>
      <c r="U31" s="34"/>
      <c r="V31" s="128"/>
      <c r="W31" s="22"/>
      <c r="X31" s="22"/>
      <c r="Y31" s="22"/>
    </row>
    <row r="32" spans="1:25" ht="30" customHeight="1">
      <c r="A32" s="22"/>
      <c r="B32" s="22"/>
      <c r="C32" s="22"/>
      <c r="D32" s="22"/>
      <c r="E32" s="22"/>
      <c r="F32" s="112"/>
      <c r="G32" s="131"/>
      <c r="H32" s="106"/>
      <c r="I32" s="33"/>
      <c r="J32" s="129"/>
      <c r="K32" s="160"/>
      <c r="L32" s="137"/>
      <c r="M32" s="137"/>
      <c r="N32" s="138">
        <v>7</v>
      </c>
      <c r="O32" s="35"/>
      <c r="P32" s="37" t="s">
        <v>113</v>
      </c>
      <c r="Q32" s="35"/>
      <c r="R32" s="139">
        <v>7</v>
      </c>
      <c r="S32" s="134"/>
      <c r="T32" s="129"/>
      <c r="U32" s="34"/>
      <c r="V32" s="128"/>
      <c r="W32" s="22"/>
      <c r="X32" s="22"/>
      <c r="Y32" s="22"/>
    </row>
    <row r="33" spans="1:25" ht="30" customHeight="1">
      <c r="A33" s="22"/>
      <c r="B33" s="22"/>
      <c r="C33" s="22"/>
      <c r="D33" s="22"/>
      <c r="E33" s="22"/>
      <c r="F33" s="112"/>
      <c r="G33" s="131"/>
      <c r="H33" s="106"/>
      <c r="I33" s="33"/>
      <c r="J33" s="129"/>
      <c r="K33" s="160"/>
      <c r="L33" s="137"/>
      <c r="M33" s="137"/>
      <c r="N33" s="138">
        <v>6</v>
      </c>
      <c r="O33" s="35"/>
      <c r="P33" s="37" t="s">
        <v>113</v>
      </c>
      <c r="Q33" s="35"/>
      <c r="R33" s="139">
        <v>6</v>
      </c>
      <c r="S33" s="134"/>
      <c r="T33" s="129"/>
      <c r="U33" s="34"/>
      <c r="V33" s="128"/>
      <c r="W33" s="22"/>
      <c r="X33" s="22"/>
      <c r="Y33" s="22"/>
    </row>
    <row r="34" spans="1:25" ht="30" customHeight="1">
      <c r="A34" s="22"/>
      <c r="B34" s="22"/>
      <c r="C34" s="22"/>
      <c r="D34" s="22"/>
      <c r="E34" s="22"/>
      <c r="F34" s="112"/>
      <c r="G34" s="131"/>
      <c r="H34" s="106"/>
      <c r="I34" s="33"/>
      <c r="J34" s="129"/>
      <c r="K34" s="160"/>
      <c r="L34" s="137"/>
      <c r="M34" s="137"/>
      <c r="N34" s="138">
        <v>5</v>
      </c>
      <c r="O34" s="35"/>
      <c r="P34" s="37" t="s">
        <v>113</v>
      </c>
      <c r="Q34" s="35"/>
      <c r="R34" s="139">
        <v>5</v>
      </c>
      <c r="S34" s="134"/>
      <c r="T34" s="129"/>
      <c r="U34" s="34"/>
      <c r="V34" s="128"/>
      <c r="W34" s="22"/>
      <c r="X34" s="22"/>
      <c r="Y34" s="22"/>
    </row>
    <row r="35" spans="1:25" ht="30" customHeight="1">
      <c r="A35" s="22"/>
      <c r="B35" s="22"/>
      <c r="C35" s="22"/>
      <c r="D35" s="22"/>
      <c r="E35" s="22"/>
      <c r="F35" s="112"/>
      <c r="G35" s="106"/>
      <c r="H35" s="106"/>
      <c r="I35" s="33"/>
      <c r="J35" s="129"/>
      <c r="K35" s="160"/>
      <c r="L35" s="137"/>
      <c r="M35" s="137"/>
      <c r="N35" s="138">
        <v>4</v>
      </c>
      <c r="O35" s="35"/>
      <c r="P35" s="37" t="s">
        <v>113</v>
      </c>
      <c r="Q35" s="35"/>
      <c r="R35" s="139">
        <v>4</v>
      </c>
      <c r="S35" s="134"/>
      <c r="T35" s="129"/>
      <c r="U35" s="34"/>
      <c r="V35" s="128"/>
      <c r="W35" s="22"/>
      <c r="X35" s="22"/>
      <c r="Y35" s="22"/>
    </row>
    <row r="36" spans="1:25" ht="30" customHeight="1">
      <c r="A36" s="22"/>
      <c r="B36" s="22"/>
      <c r="C36" s="22"/>
      <c r="D36" s="22"/>
      <c r="E36" s="22"/>
      <c r="F36" s="112"/>
      <c r="G36" s="106"/>
      <c r="H36" s="106"/>
      <c r="I36" s="33"/>
      <c r="J36" s="129"/>
      <c r="K36" s="160"/>
      <c r="L36" s="137"/>
      <c r="M36" s="137"/>
      <c r="N36" s="138">
        <v>3</v>
      </c>
      <c r="O36" s="35"/>
      <c r="P36" s="37" t="s">
        <v>113</v>
      </c>
      <c r="Q36" s="35"/>
      <c r="R36" s="139">
        <v>3</v>
      </c>
      <c r="S36" s="134"/>
      <c r="T36" s="129"/>
      <c r="U36" s="34"/>
      <c r="V36" s="128"/>
      <c r="W36" s="22"/>
      <c r="X36" s="22"/>
      <c r="Y36" s="22"/>
    </row>
    <row r="37" spans="1:25" ht="30" customHeight="1">
      <c r="A37" s="22"/>
      <c r="B37" s="22"/>
      <c r="C37" s="22"/>
      <c r="D37" s="22"/>
      <c r="E37" s="22"/>
      <c r="F37" s="112"/>
      <c r="G37" s="106"/>
      <c r="H37" s="106"/>
      <c r="I37" s="33"/>
      <c r="J37" s="129"/>
      <c r="K37" s="160"/>
      <c r="L37" s="137"/>
      <c r="M37" s="137"/>
      <c r="N37" s="138">
        <v>2</v>
      </c>
      <c r="O37" s="35"/>
      <c r="P37" s="37" t="s">
        <v>113</v>
      </c>
      <c r="Q37" s="35"/>
      <c r="R37" s="139">
        <v>2</v>
      </c>
      <c r="S37" s="134"/>
      <c r="T37" s="129"/>
      <c r="U37" s="34"/>
      <c r="V37" s="128"/>
      <c r="W37" s="22"/>
      <c r="X37" s="22"/>
      <c r="Y37" s="22"/>
    </row>
    <row r="38" spans="1:25" ht="30" customHeight="1" thickBot="1">
      <c r="A38" s="22"/>
      <c r="B38" s="22"/>
      <c r="C38" s="22"/>
      <c r="D38" s="22"/>
      <c r="E38" s="22"/>
      <c r="F38" s="112"/>
      <c r="G38" s="106"/>
      <c r="H38" s="106"/>
      <c r="I38" s="33"/>
      <c r="J38" s="129"/>
      <c r="K38" s="160"/>
      <c r="L38" s="137"/>
      <c r="M38" s="137"/>
      <c r="N38" s="138">
        <v>1</v>
      </c>
      <c r="O38" s="35"/>
      <c r="P38" s="38" t="s">
        <v>113</v>
      </c>
      <c r="Q38" s="35"/>
      <c r="R38" s="139">
        <v>1</v>
      </c>
      <c r="S38" s="134"/>
      <c r="T38" s="129"/>
      <c r="U38" s="34"/>
      <c r="V38" s="128"/>
      <c r="W38" s="22"/>
      <c r="X38" s="22"/>
      <c r="Y38" s="22"/>
    </row>
    <row r="39" spans="1:25" ht="15.75" customHeight="1" thickBot="1">
      <c r="A39" s="22"/>
      <c r="B39" s="22"/>
      <c r="C39" s="22"/>
      <c r="D39" s="22"/>
      <c r="E39" s="22"/>
      <c r="F39" s="112" t="s">
        <v>113</v>
      </c>
      <c r="G39" s="106"/>
      <c r="H39" s="106"/>
      <c r="I39" s="33"/>
      <c r="J39" s="129"/>
      <c r="K39" s="134"/>
      <c r="L39" s="134"/>
      <c r="M39" s="134"/>
      <c r="N39" s="135"/>
      <c r="O39" s="134"/>
      <c r="P39" s="134"/>
      <c r="Q39" s="134"/>
      <c r="R39" s="134"/>
      <c r="S39" s="134"/>
      <c r="T39" s="129"/>
      <c r="U39" s="34"/>
      <c r="V39" s="128"/>
      <c r="W39" s="22"/>
      <c r="X39" s="22"/>
      <c r="Y39" s="22"/>
    </row>
    <row r="40" spans="1:25" ht="51.75" customHeight="1" thickTop="1" thickBot="1">
      <c r="A40" s="22"/>
      <c r="B40" s="22"/>
      <c r="C40" s="22"/>
      <c r="D40" s="22"/>
      <c r="E40" s="22"/>
      <c r="F40" s="112"/>
      <c r="G40" s="106"/>
      <c r="H40" s="106"/>
      <c r="I40" s="33"/>
      <c r="J40" s="129"/>
      <c r="K40" s="187" t="s">
        <v>115</v>
      </c>
      <c r="L40" s="160"/>
      <c r="M40" s="160"/>
      <c r="N40" s="160"/>
      <c r="O40" s="140" t="s">
        <v>116</v>
      </c>
      <c r="P40" s="39">
        <f>+MAX(C46:C54)</f>
        <v>5</v>
      </c>
      <c r="Q40" s="141"/>
      <c r="R40" s="141"/>
      <c r="S40" s="134"/>
      <c r="T40" s="129"/>
      <c r="U40" s="34"/>
      <c r="V40" s="128"/>
      <c r="W40" s="22"/>
      <c r="X40" s="22"/>
      <c r="Y40" s="22"/>
    </row>
    <row r="41" spans="1:25" ht="15.75" customHeight="1" thickTop="1">
      <c r="A41" s="22"/>
      <c r="B41" s="22"/>
      <c r="C41" s="22"/>
      <c r="D41" s="22"/>
      <c r="E41" s="22"/>
      <c r="F41" s="112"/>
      <c r="G41" s="106"/>
      <c r="H41" s="106"/>
      <c r="I41" s="33"/>
      <c r="J41" s="142"/>
      <c r="K41" s="143"/>
      <c r="L41" s="144"/>
      <c r="M41" s="144"/>
      <c r="N41" s="144"/>
      <c r="O41" s="145"/>
      <c r="P41" s="146"/>
      <c r="Q41" s="147"/>
      <c r="R41" s="147"/>
      <c r="S41" s="142"/>
      <c r="T41" s="142"/>
      <c r="U41" s="34"/>
      <c r="V41" s="128"/>
      <c r="W41" s="22"/>
      <c r="X41" s="22"/>
      <c r="Y41" s="22"/>
    </row>
    <row r="42" spans="1:25" ht="15.75" customHeight="1" thickBot="1">
      <c r="A42" s="22"/>
      <c r="B42" s="22"/>
      <c r="C42" s="22"/>
      <c r="D42" s="188" t="s">
        <v>113</v>
      </c>
      <c r="E42" s="189"/>
      <c r="F42" s="148"/>
      <c r="G42" s="105"/>
      <c r="H42" s="105"/>
      <c r="I42" s="41"/>
      <c r="J42" s="42"/>
      <c r="K42" s="43"/>
      <c r="L42" s="43"/>
      <c r="M42" s="43"/>
      <c r="N42" s="44"/>
      <c r="O42" s="43"/>
      <c r="P42" s="43"/>
      <c r="Q42" s="43"/>
      <c r="R42" s="43"/>
      <c r="S42" s="43"/>
      <c r="T42" s="43"/>
      <c r="U42" s="45"/>
      <c r="V42" s="128"/>
      <c r="W42" s="22"/>
      <c r="X42" s="22"/>
      <c r="Y42" s="22"/>
    </row>
    <row r="43" spans="1:25" ht="15.75" customHeight="1">
      <c r="A43" s="22"/>
      <c r="B43" s="22"/>
      <c r="C43" s="22"/>
      <c r="D43" s="40"/>
      <c r="E43" s="40"/>
      <c r="F43" s="148"/>
      <c r="G43" s="105"/>
      <c r="H43" s="105"/>
      <c r="I43" s="105"/>
      <c r="J43" s="105"/>
      <c r="K43" s="106"/>
      <c r="L43" s="106"/>
      <c r="M43" s="106"/>
      <c r="N43" s="107"/>
      <c r="O43" s="106"/>
      <c r="P43" s="106"/>
      <c r="Q43" s="106"/>
      <c r="R43" s="106"/>
      <c r="S43" s="106"/>
      <c r="T43" s="106"/>
      <c r="U43" s="106"/>
      <c r="V43" s="128"/>
      <c r="W43" s="22"/>
      <c r="X43" s="22"/>
      <c r="Y43" s="22"/>
    </row>
    <row r="44" spans="1:25" ht="15.75" customHeight="1" thickBot="1">
      <c r="A44" s="22"/>
      <c r="B44" s="22"/>
      <c r="C44" s="22"/>
      <c r="D44" s="40"/>
      <c r="E44" s="40"/>
      <c r="F44" s="149"/>
      <c r="G44" s="150"/>
      <c r="H44" s="150"/>
      <c r="I44" s="150"/>
      <c r="J44" s="150"/>
      <c r="K44" s="151"/>
      <c r="L44" s="151"/>
      <c r="M44" s="151"/>
      <c r="N44" s="152"/>
      <c r="O44" s="151"/>
      <c r="P44" s="151"/>
      <c r="Q44" s="151"/>
      <c r="R44" s="151"/>
      <c r="S44" s="151"/>
      <c r="T44" s="151"/>
      <c r="U44" s="151"/>
      <c r="V44" s="153"/>
      <c r="W44" s="22"/>
      <c r="X44" s="22"/>
      <c r="Y44" s="22"/>
    </row>
    <row r="45" spans="1:25" ht="15.75" customHeight="1">
      <c r="A45" s="22"/>
      <c r="B45" s="22"/>
      <c r="C45" s="22"/>
      <c r="D45" s="40"/>
      <c r="E45" s="40"/>
      <c r="F45" s="105"/>
      <c r="G45" s="105"/>
      <c r="H45" s="105"/>
      <c r="I45" s="105"/>
      <c r="J45" s="105"/>
      <c r="K45" s="106"/>
      <c r="L45" s="106"/>
      <c r="M45" s="106"/>
      <c r="N45" s="107"/>
      <c r="O45" s="106"/>
      <c r="P45" s="106"/>
      <c r="Q45" s="106"/>
      <c r="R45" s="106"/>
      <c r="S45" s="106"/>
      <c r="T45" s="106"/>
      <c r="U45" s="106"/>
      <c r="V45" s="106"/>
      <c r="W45" s="22"/>
      <c r="X45" s="22"/>
      <c r="Y45" s="22"/>
    </row>
    <row r="46" spans="1:25" ht="15.75" hidden="1" customHeight="1">
      <c r="A46" s="22"/>
      <c r="B46" s="46">
        <f t="shared" ref="B46:B54" si="0">IF(OR(C46&gt;0,D46&gt;80%,),C46,0)</f>
        <v>0</v>
      </c>
      <c r="C46" s="47">
        <f t="shared" ref="C46:C51" si="1">IF(AND($C$58&lt;=D46,D46&lt;=100%,D47&gt;=$C$58,D48&gt;=$C$58),E46,0)</f>
        <v>0</v>
      </c>
      <c r="D46" s="48">
        <f>'PENGUKURAN TKT SOFTWARE'!E63</f>
        <v>0</v>
      </c>
      <c r="E46" s="49">
        <v>9</v>
      </c>
      <c r="F46" s="49"/>
      <c r="G46" s="49"/>
      <c r="H46" s="49"/>
      <c r="I46" s="49"/>
      <c r="J46" s="49"/>
      <c r="K46" s="22"/>
      <c r="L46" s="22"/>
      <c r="M46" s="22"/>
      <c r="N46" s="23"/>
      <c r="O46" s="22"/>
      <c r="P46" s="50" t="s">
        <v>113</v>
      </c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hidden="1" customHeight="1">
      <c r="A47" s="22"/>
      <c r="B47" s="46">
        <f t="shared" si="0"/>
        <v>0</v>
      </c>
      <c r="C47" s="47">
        <f t="shared" si="1"/>
        <v>0</v>
      </c>
      <c r="D47" s="48">
        <f>'PENGUKURAN TKT SOFTWARE'!E54</f>
        <v>0</v>
      </c>
      <c r="E47" s="49">
        <v>8</v>
      </c>
      <c r="F47" s="49"/>
      <c r="G47" s="49"/>
      <c r="H47" s="49"/>
      <c r="I47" s="49"/>
      <c r="J47" s="49"/>
      <c r="K47" s="22"/>
      <c r="L47" s="22"/>
      <c r="M47" s="22"/>
      <c r="N47" s="23"/>
      <c r="O47" s="22"/>
      <c r="P47" s="51" t="s">
        <v>113</v>
      </c>
      <c r="Q47" s="22"/>
      <c r="R47" s="22"/>
      <c r="S47" s="22"/>
      <c r="T47" s="22"/>
      <c r="U47" s="22"/>
      <c r="V47" s="22"/>
      <c r="W47" s="22" t="s">
        <v>113</v>
      </c>
      <c r="X47" s="22"/>
      <c r="Y47" s="22"/>
    </row>
    <row r="48" spans="1:25" ht="12.75" hidden="1" customHeight="1">
      <c r="A48" s="22"/>
      <c r="B48" s="46">
        <f t="shared" si="0"/>
        <v>0</v>
      </c>
      <c r="C48" s="47">
        <f t="shared" si="1"/>
        <v>0</v>
      </c>
      <c r="D48" s="48">
        <f>'PENGUKURAN TKT SOFTWARE'!E48</f>
        <v>0</v>
      </c>
      <c r="E48" s="49">
        <v>7</v>
      </c>
      <c r="F48" s="49"/>
      <c r="G48" s="49"/>
      <c r="H48" s="49"/>
      <c r="I48" s="49"/>
      <c r="J48" s="49"/>
      <c r="K48" s="22"/>
      <c r="L48" s="22"/>
      <c r="M48" s="22"/>
      <c r="N48" s="23"/>
      <c r="O48" s="22"/>
      <c r="P48" s="51" t="s">
        <v>113</v>
      </c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hidden="1" customHeight="1">
      <c r="A49" s="22"/>
      <c r="B49" s="46">
        <f t="shared" si="0"/>
        <v>0</v>
      </c>
      <c r="C49" s="47">
        <f t="shared" si="1"/>
        <v>0</v>
      </c>
      <c r="D49" s="48">
        <f>'PENGUKURAN TKT SOFTWARE'!E43</f>
        <v>0</v>
      </c>
      <c r="E49" s="49">
        <v>6</v>
      </c>
      <c r="F49" s="49"/>
      <c r="G49" s="49"/>
      <c r="H49" s="49"/>
      <c r="I49" s="49"/>
      <c r="J49" s="49"/>
      <c r="K49" s="22"/>
      <c r="L49" s="22"/>
      <c r="M49" s="22"/>
      <c r="N49" s="23"/>
      <c r="O49" s="22"/>
      <c r="P49" s="51" t="s">
        <v>113</v>
      </c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hidden="1" customHeight="1">
      <c r="A50" s="22"/>
      <c r="B50" s="46">
        <f t="shared" si="0"/>
        <v>5</v>
      </c>
      <c r="C50" s="47">
        <f t="shared" si="1"/>
        <v>5</v>
      </c>
      <c r="D50" s="48">
        <f>'PENGUKURAN TKT SOFTWARE'!E38</f>
        <v>1</v>
      </c>
      <c r="E50" s="49">
        <v>5</v>
      </c>
      <c r="F50" s="49"/>
      <c r="G50" s="49"/>
      <c r="H50" s="49"/>
      <c r="I50" s="49"/>
      <c r="J50" s="49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hidden="1" customHeight="1">
      <c r="A51" s="22"/>
      <c r="B51" s="46">
        <f t="shared" si="0"/>
        <v>4</v>
      </c>
      <c r="C51" s="47">
        <f t="shared" si="1"/>
        <v>4</v>
      </c>
      <c r="D51" s="48">
        <f>'PENGUKURAN TKT SOFTWARE'!E29</f>
        <v>1</v>
      </c>
      <c r="E51" s="49">
        <v>4</v>
      </c>
      <c r="F51" s="49"/>
      <c r="G51" s="49"/>
      <c r="H51" s="49"/>
      <c r="I51" s="49"/>
      <c r="J51" s="49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hidden="1" customHeight="1">
      <c r="A52" s="22"/>
      <c r="B52" s="46">
        <f t="shared" si="0"/>
        <v>3</v>
      </c>
      <c r="C52" s="47">
        <f>IF(AND($C$58&lt;=D52,D52&lt;= 100%),E52, 0)</f>
        <v>3</v>
      </c>
      <c r="D52" s="48">
        <f>'PENGUKURAN TKT SOFTWARE'!E21</f>
        <v>1</v>
      </c>
      <c r="E52" s="49">
        <v>3</v>
      </c>
      <c r="F52" s="49"/>
      <c r="G52" s="49"/>
      <c r="H52" s="49"/>
      <c r="I52" s="49"/>
      <c r="J52" s="49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hidden="1" customHeight="1">
      <c r="A53" s="22"/>
      <c r="B53" s="46">
        <f t="shared" si="0"/>
        <v>2</v>
      </c>
      <c r="C53" s="47">
        <f>IF(AND($C$58&lt;=D53,D53&lt;= 100%,$C$54&gt;=$C$58),E53, 0)</f>
        <v>2</v>
      </c>
      <c r="D53" s="48">
        <f>'PENGUKURAN TKT SOFTWARE'!E15</f>
        <v>1</v>
      </c>
      <c r="E53" s="49">
        <v>2</v>
      </c>
      <c r="F53" s="49"/>
      <c r="G53" s="49"/>
      <c r="H53" s="49"/>
      <c r="I53" s="49"/>
      <c r="J53" s="49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hidden="1" customHeight="1">
      <c r="A54" s="22"/>
      <c r="B54" s="46">
        <f t="shared" si="0"/>
        <v>1</v>
      </c>
      <c r="C54" s="47">
        <f>IF(AND($C$58&lt;=D54,D54&lt;=100%),E54,0)</f>
        <v>1</v>
      </c>
      <c r="D54" s="48">
        <f>'PENGUKURAN TKT SOFTWARE'!E9</f>
        <v>1</v>
      </c>
      <c r="E54" s="49">
        <v>1</v>
      </c>
      <c r="F54" s="49"/>
      <c r="G54" s="49"/>
      <c r="H54" s="49"/>
      <c r="I54" s="49"/>
      <c r="J54" s="49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hidden="1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hidden="1" customHeight="1">
      <c r="A56" s="22" t="s">
        <v>117</v>
      </c>
      <c r="B56" s="22" t="s">
        <v>113</v>
      </c>
      <c r="C56" s="52">
        <v>0.8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hidden="1" customHeight="1">
      <c r="A57" s="53" t="s">
        <v>118</v>
      </c>
      <c r="B57" s="22"/>
      <c r="C57" s="52">
        <v>1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hidden="1" customHeight="1">
      <c r="A58" s="22"/>
      <c r="B58" s="22"/>
      <c r="C58" s="52">
        <f>IF(C56=0,1,C56)</f>
        <v>0.8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3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3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3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3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3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3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3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3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3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3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3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3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3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3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3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3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3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3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3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3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3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3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3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3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3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3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3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3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3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3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3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3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3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3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3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3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3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3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3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3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3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3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3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3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3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3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3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3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3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3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3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3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3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3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3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3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3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3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3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3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3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3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3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3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3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3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3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3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3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3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3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3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3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3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3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3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3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3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3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3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3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3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3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3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3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3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3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3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3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3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3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3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3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3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3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3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3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3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3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3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3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3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3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3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3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3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3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3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3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3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3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3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3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3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3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3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3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3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3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3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3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3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3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3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3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3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3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3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3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3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3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3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3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3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3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3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3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3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23.25" hidden="1" customHeight="1">
      <c r="A204" s="22"/>
      <c r="B204" s="190" t="s">
        <v>119</v>
      </c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22"/>
      <c r="S204" s="22"/>
      <c r="T204" s="22"/>
      <c r="U204" s="22"/>
      <c r="V204" s="22"/>
      <c r="W204" s="22"/>
      <c r="X204" s="22"/>
      <c r="Y204" s="22"/>
    </row>
    <row r="205" spans="1:2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3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3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3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3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3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3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3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3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3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3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3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3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3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3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3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3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3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3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3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3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3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3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3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3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3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3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3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3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3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3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3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3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3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3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3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3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3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3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3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3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3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3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3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3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3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3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3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3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3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3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3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3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3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3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3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3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3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3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3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3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3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3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3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3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3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3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3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3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3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3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3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3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3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3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3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3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3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3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3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3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3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3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3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3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3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3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3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3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3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3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3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3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3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3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3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3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3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3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3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3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3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3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3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3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3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3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3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3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3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3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3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3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3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3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3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3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3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3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3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3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3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3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3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3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3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3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3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3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3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3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3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3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3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3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3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3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3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3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3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3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3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3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3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3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3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3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3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3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3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3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3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3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3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3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3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3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3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3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3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3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3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3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3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3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3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3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3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3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3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3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3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3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3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3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3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3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3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3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3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3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3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3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3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3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3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3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3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3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3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3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3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3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3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3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3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3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3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3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3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3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3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3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3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3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3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3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3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3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3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3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3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3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3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3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3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3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3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3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3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3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3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3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3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3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3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3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3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3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3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3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3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3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3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3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3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3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3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3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3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3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3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3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3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3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3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3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3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3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3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3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3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3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3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3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3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3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3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3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3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3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3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3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3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3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3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3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3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3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3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3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3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3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3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3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3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3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3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3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3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3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3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3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3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3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3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3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3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3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3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3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3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3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3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3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3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3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3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3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3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3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3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3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3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3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3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3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3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3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3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3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3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3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3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3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3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3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3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3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3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3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3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3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3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3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3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3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3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3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3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3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3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3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3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3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3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3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3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3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3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3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3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3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3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3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3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3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3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3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3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3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3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3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3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3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3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3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3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3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3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3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3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3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3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3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3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3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3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3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3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3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3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3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3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3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3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3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3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3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3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3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3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3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3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3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3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3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3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3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3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3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3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3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3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3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3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3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3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3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3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3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3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3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3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3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3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3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3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3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3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3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3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3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3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3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3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3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3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3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3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3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3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3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3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3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3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3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3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3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3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3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3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3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3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3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3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3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3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3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3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3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3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3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3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3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3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3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3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3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3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3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3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3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3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3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3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3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3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3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3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3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3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3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3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3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3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3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3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3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3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3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3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3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3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3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3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3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3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3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3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3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3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3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3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3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3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3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3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3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3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3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3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3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3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3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3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3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3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3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3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3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3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3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3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3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3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3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3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3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3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3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3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3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3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3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3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3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3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3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3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3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3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3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3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3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3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3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3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3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3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3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3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3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3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3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3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3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3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3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3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3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3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3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3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3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3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3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3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3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3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3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3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3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3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3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3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3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3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3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3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3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3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3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3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3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3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3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3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3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3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3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3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3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3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3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3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3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3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3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3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3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3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3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3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3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3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3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3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3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3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3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3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3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3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3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3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3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3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3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3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3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3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3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3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3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3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3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3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3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3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3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3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3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3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3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3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3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3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3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3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3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3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3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3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3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3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3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3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3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3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3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3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3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3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3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3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3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3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3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3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3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3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3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3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3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3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3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3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3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3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3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3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3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3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3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3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3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3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3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3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3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3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3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3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3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3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3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3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3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3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3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3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3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3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3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3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3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3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3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3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3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3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3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3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3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3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3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3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3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3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3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3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3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3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3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3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3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3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3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3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3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3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3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3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3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3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3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3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3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3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3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3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3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3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3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3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3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3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3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3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3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3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3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3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3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3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3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3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3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3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3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3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3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3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3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3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3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3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3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3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3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3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3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3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3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3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3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3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3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3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3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3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3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3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3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3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3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3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3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3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3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3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3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3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3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3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3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3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3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3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3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3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3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3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3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3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3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3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3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3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3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3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3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3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3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3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3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3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3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3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3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3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3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3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3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3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1:25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3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</sheetData>
  <mergeCells count="35">
    <mergeCell ref="H3:V3"/>
    <mergeCell ref="H4:V4"/>
    <mergeCell ref="H5:V5"/>
    <mergeCell ref="H6:V6"/>
    <mergeCell ref="H7:V7"/>
    <mergeCell ref="G9:V9"/>
    <mergeCell ref="G10:V10"/>
    <mergeCell ref="S12:T12"/>
    <mergeCell ref="U12:V12"/>
    <mergeCell ref="G13:J13"/>
    <mergeCell ref="K13:V13"/>
    <mergeCell ref="G14:J14"/>
    <mergeCell ref="K14:V14"/>
    <mergeCell ref="K15:V15"/>
    <mergeCell ref="M23:P23"/>
    <mergeCell ref="K27:S27"/>
    <mergeCell ref="K16:V16"/>
    <mergeCell ref="K17:V17"/>
    <mergeCell ref="K18:V18"/>
    <mergeCell ref="K19:V19"/>
    <mergeCell ref="L21:O21"/>
    <mergeCell ref="Q23:S23"/>
    <mergeCell ref="T23:U23"/>
    <mergeCell ref="K23:L23"/>
    <mergeCell ref="K30:K38"/>
    <mergeCell ref="K40:N40"/>
    <mergeCell ref="D42:E42"/>
    <mergeCell ref="B204:Q204"/>
    <mergeCell ref="G15:J15"/>
    <mergeCell ref="G16:J16"/>
    <mergeCell ref="G17:J17"/>
    <mergeCell ref="G18:J18"/>
    <mergeCell ref="G19:J19"/>
    <mergeCell ref="G21:J21"/>
    <mergeCell ref="G23:J23"/>
  </mergeCells>
  <conditionalFormatting sqref="K23:L23">
    <cfRule type="cellIs" dxfId="54" priority="1" stopIfTrue="1" operator="lessThan">
      <formula>3</formula>
    </cfRule>
  </conditionalFormatting>
  <conditionalFormatting sqref="K23:L23">
    <cfRule type="cellIs" dxfId="53" priority="2" stopIfTrue="1" operator="between">
      <formula>3</formula>
      <formula>7</formula>
    </cfRule>
  </conditionalFormatting>
  <conditionalFormatting sqref="K23:L23">
    <cfRule type="cellIs" dxfId="52" priority="3" stopIfTrue="1" operator="lessThanOrEqual">
      <formula>9</formula>
    </cfRule>
  </conditionalFormatting>
  <conditionalFormatting sqref="K23:L23">
    <cfRule type="cellIs" dxfId="51" priority="4" stopIfTrue="1" operator="lessThan">
      <formula>3</formula>
    </cfRule>
  </conditionalFormatting>
  <conditionalFormatting sqref="K23:L23">
    <cfRule type="cellIs" dxfId="50" priority="5" stopIfTrue="1" operator="between">
      <formula>3</formula>
      <formula>7</formula>
    </cfRule>
  </conditionalFormatting>
  <conditionalFormatting sqref="K23:L23">
    <cfRule type="cellIs" dxfId="49" priority="6" stopIfTrue="1" operator="lessThanOrEqual">
      <formula>9</formula>
    </cfRule>
  </conditionalFormatting>
  <conditionalFormatting sqref="P30">
    <cfRule type="expression" dxfId="48" priority="7" stopIfTrue="1">
      <formula>C46=9</formula>
    </cfRule>
  </conditionalFormatting>
  <conditionalFormatting sqref="P30">
    <cfRule type="expression" dxfId="47" priority="8" stopIfTrue="1">
      <formula>C46&lt;9</formula>
    </cfRule>
  </conditionalFormatting>
  <conditionalFormatting sqref="P30">
    <cfRule type="expression" dxfId="46" priority="9" stopIfTrue="1">
      <formula>C46=9</formula>
    </cfRule>
  </conditionalFormatting>
  <conditionalFormatting sqref="P30">
    <cfRule type="expression" dxfId="45" priority="10" stopIfTrue="1">
      <formula>C46&lt;9</formula>
    </cfRule>
  </conditionalFormatting>
  <conditionalFormatting sqref="P31">
    <cfRule type="expression" dxfId="44" priority="11" stopIfTrue="1">
      <formula>C47=8</formula>
    </cfRule>
  </conditionalFormatting>
  <conditionalFormatting sqref="P31">
    <cfRule type="expression" dxfId="43" priority="12" stopIfTrue="1">
      <formula>C47&lt;8</formula>
    </cfRule>
  </conditionalFormatting>
  <conditionalFormatting sqref="P31">
    <cfRule type="expression" dxfId="42" priority="13" stopIfTrue="1">
      <formula>C47=8</formula>
    </cfRule>
  </conditionalFormatting>
  <conditionalFormatting sqref="P31">
    <cfRule type="expression" dxfId="41" priority="14" stopIfTrue="1">
      <formula>C47&lt;8</formula>
    </cfRule>
  </conditionalFormatting>
  <conditionalFormatting sqref="P32">
    <cfRule type="expression" dxfId="40" priority="15" stopIfTrue="1">
      <formula>C48=7</formula>
    </cfRule>
  </conditionalFormatting>
  <conditionalFormatting sqref="P32">
    <cfRule type="expression" dxfId="39" priority="16" stopIfTrue="1">
      <formula>C48&lt;7</formula>
    </cfRule>
  </conditionalFormatting>
  <conditionalFormatting sqref="P32">
    <cfRule type="expression" dxfId="38" priority="17" stopIfTrue="1">
      <formula>C48=7</formula>
    </cfRule>
  </conditionalFormatting>
  <conditionalFormatting sqref="P32">
    <cfRule type="expression" dxfId="37" priority="18" stopIfTrue="1">
      <formula>C48&lt;7</formula>
    </cfRule>
  </conditionalFormatting>
  <conditionalFormatting sqref="P33">
    <cfRule type="expression" dxfId="36" priority="19" stopIfTrue="1">
      <formula>C49=6</formula>
    </cfRule>
  </conditionalFormatting>
  <conditionalFormatting sqref="P33">
    <cfRule type="expression" dxfId="35" priority="20" stopIfTrue="1">
      <formula>C49&lt;6</formula>
    </cfRule>
  </conditionalFormatting>
  <conditionalFormatting sqref="P33">
    <cfRule type="expression" dxfId="34" priority="21" stopIfTrue="1">
      <formula>C49=6</formula>
    </cfRule>
  </conditionalFormatting>
  <conditionalFormatting sqref="P33">
    <cfRule type="expression" dxfId="33" priority="22" stopIfTrue="1">
      <formula>C49&lt;6</formula>
    </cfRule>
  </conditionalFormatting>
  <conditionalFormatting sqref="P34">
    <cfRule type="expression" dxfId="32" priority="23" stopIfTrue="1">
      <formula>C50=5</formula>
    </cfRule>
  </conditionalFormatting>
  <conditionalFormatting sqref="P34">
    <cfRule type="expression" dxfId="31" priority="24" stopIfTrue="1">
      <formula>C50&lt;5</formula>
    </cfRule>
  </conditionalFormatting>
  <conditionalFormatting sqref="P34">
    <cfRule type="expression" dxfId="30" priority="25" stopIfTrue="1">
      <formula>C50=5</formula>
    </cfRule>
  </conditionalFormatting>
  <conditionalFormatting sqref="P34">
    <cfRule type="expression" dxfId="29" priority="26" stopIfTrue="1">
      <formula>C50&lt;5</formula>
    </cfRule>
  </conditionalFormatting>
  <conditionalFormatting sqref="P35">
    <cfRule type="expression" dxfId="28" priority="27" stopIfTrue="1">
      <formula>C51=4</formula>
    </cfRule>
  </conditionalFormatting>
  <conditionalFormatting sqref="P35">
    <cfRule type="expression" dxfId="27" priority="28" stopIfTrue="1">
      <formula>C51&lt;4</formula>
    </cfRule>
  </conditionalFormatting>
  <conditionalFormatting sqref="P35">
    <cfRule type="expression" dxfId="26" priority="29" stopIfTrue="1">
      <formula>C51=4</formula>
    </cfRule>
  </conditionalFormatting>
  <conditionalFormatting sqref="P35">
    <cfRule type="expression" dxfId="25" priority="30" stopIfTrue="1">
      <formula>C51&lt;4</formula>
    </cfRule>
  </conditionalFormatting>
  <conditionalFormatting sqref="P36">
    <cfRule type="expression" dxfId="24" priority="31" stopIfTrue="1">
      <formula>C52=3</formula>
    </cfRule>
  </conditionalFormatting>
  <conditionalFormatting sqref="P36">
    <cfRule type="expression" dxfId="23" priority="32" stopIfTrue="1">
      <formula>C52&lt;3</formula>
    </cfRule>
  </conditionalFormatting>
  <conditionalFormatting sqref="P36">
    <cfRule type="expression" dxfId="22" priority="33" stopIfTrue="1">
      <formula>C52=3</formula>
    </cfRule>
  </conditionalFormatting>
  <conditionalFormatting sqref="P36">
    <cfRule type="expression" dxfId="21" priority="34" stopIfTrue="1">
      <formula>C52&lt;3</formula>
    </cfRule>
  </conditionalFormatting>
  <conditionalFormatting sqref="P37">
    <cfRule type="expression" dxfId="20" priority="35" stopIfTrue="1">
      <formula>C53=2</formula>
    </cfRule>
  </conditionalFormatting>
  <conditionalFormatting sqref="P37">
    <cfRule type="expression" dxfId="19" priority="36" stopIfTrue="1">
      <formula>C53&lt;2</formula>
    </cfRule>
  </conditionalFormatting>
  <conditionalFormatting sqref="P37">
    <cfRule type="expression" dxfId="18" priority="37" stopIfTrue="1">
      <formula>C53=2</formula>
    </cfRule>
  </conditionalFormatting>
  <conditionalFormatting sqref="P37">
    <cfRule type="expression" dxfId="17" priority="38" stopIfTrue="1">
      <formula>C53&lt;2</formula>
    </cfRule>
  </conditionalFormatting>
  <conditionalFormatting sqref="P38">
    <cfRule type="expression" dxfId="16" priority="39" stopIfTrue="1">
      <formula>C54=1</formula>
    </cfRule>
  </conditionalFormatting>
  <conditionalFormatting sqref="P38">
    <cfRule type="expression" dxfId="15" priority="40" stopIfTrue="1">
      <formula>C54&lt;1</formula>
    </cfRule>
  </conditionalFormatting>
  <conditionalFormatting sqref="P38">
    <cfRule type="expression" dxfId="14" priority="41" stopIfTrue="1">
      <formula>C54=1</formula>
    </cfRule>
  </conditionalFormatting>
  <conditionalFormatting sqref="P38">
    <cfRule type="expression" dxfId="13" priority="42" stopIfTrue="1">
      <formula>C54&lt;1</formula>
    </cfRule>
  </conditionalFormatting>
  <conditionalFormatting sqref="P40">
    <cfRule type="cellIs" dxfId="12" priority="43" stopIfTrue="1" operator="between">
      <formula>7</formula>
      <formula>9</formula>
    </cfRule>
  </conditionalFormatting>
  <conditionalFormatting sqref="P40">
    <cfRule type="cellIs" dxfId="11" priority="44" stopIfTrue="1" operator="between">
      <formula>4</formula>
      <formula>6</formula>
    </cfRule>
  </conditionalFormatting>
  <conditionalFormatting sqref="P40">
    <cfRule type="cellIs" dxfId="10" priority="45" stopIfTrue="1" operator="between">
      <formula>1</formula>
      <formula>3</formula>
    </cfRule>
  </conditionalFormatting>
  <conditionalFormatting sqref="P40">
    <cfRule type="cellIs" dxfId="9" priority="46" stopIfTrue="1" operator="between">
      <formula>7</formula>
      <formula>9</formula>
    </cfRule>
  </conditionalFormatting>
  <conditionalFormatting sqref="P40">
    <cfRule type="cellIs" dxfId="8" priority="47" stopIfTrue="1" operator="between">
      <formula>4</formula>
      <formula>6</formula>
    </cfRule>
  </conditionalFormatting>
  <conditionalFormatting sqref="P40">
    <cfRule type="cellIs" dxfId="7" priority="48" stopIfTrue="1" operator="between">
      <formula>1</formula>
      <formula>3</formula>
    </cfRule>
  </conditionalFormatting>
  <conditionalFormatting sqref="P41">
    <cfRule type="cellIs" dxfId="6" priority="49" stopIfTrue="1" operator="between">
      <formula>7</formula>
      <formula>9</formula>
    </cfRule>
  </conditionalFormatting>
  <conditionalFormatting sqref="P41">
    <cfRule type="cellIs" dxfId="5" priority="50" stopIfTrue="1" operator="between">
      <formula>4</formula>
      <formula>6</formula>
    </cfRule>
  </conditionalFormatting>
  <conditionalFormatting sqref="P41">
    <cfRule type="cellIs" dxfId="4" priority="51" stopIfTrue="1" operator="between">
      <formula>1</formula>
      <formula>3</formula>
    </cfRule>
  </conditionalFormatting>
  <conditionalFormatting sqref="P41">
    <cfRule type="cellIs" dxfId="3" priority="52" stopIfTrue="1" operator="between">
      <formula>7</formula>
      <formula>9</formula>
    </cfRule>
  </conditionalFormatting>
  <conditionalFormatting sqref="P41">
    <cfRule type="cellIs" dxfId="2" priority="53" stopIfTrue="1" operator="between">
      <formula>4</formula>
      <formula>6</formula>
    </cfRule>
  </conditionalFormatting>
  <conditionalFormatting sqref="P41">
    <cfRule type="cellIs" dxfId="1" priority="54" stopIfTrue="1" operator="between">
      <formula>1</formula>
      <formula>3</formula>
    </cfRule>
  </conditionalFormatting>
  <conditionalFormatting sqref="P47:P49">
    <cfRule type="expression" dxfId="0" priority="55" stopIfTrue="1">
      <formula>#REF!&lt;56</formula>
    </cfRule>
  </conditionalFormatting>
  <pageMargins left="0.7" right="0.7" top="0.75" bottom="0.75" header="0" footer="0"/>
  <pageSetup paperSize="9" scale="72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>
              <from>
                <xdr:col>6</xdr:col>
                <xdr:colOff>508000</xdr:colOff>
                <xdr:row>1</xdr:row>
                <xdr:rowOff>63500</xdr:rowOff>
              </from>
              <to>
                <xdr:col>6</xdr:col>
                <xdr:colOff>1327150</xdr:colOff>
                <xdr:row>7</xdr:row>
                <xdr:rowOff>76200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PROFIL PENELITI</vt:lpstr>
      <vt:lpstr>IDENTITAS UMUM</vt:lpstr>
      <vt:lpstr>PENGUKURAN TKT SOFTWARE</vt:lpstr>
      <vt:lpstr>RINGKASAN</vt:lpstr>
      <vt:lpstr>'PENGUKURAN TKT SOFTWARE'!Print_Area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NB</dc:creator>
  <cp:lastModifiedBy>DELL</cp:lastModifiedBy>
  <cp:lastPrinted>2026-09-29T07:16:09Z</cp:lastPrinted>
  <dcterms:created xsi:type="dcterms:W3CDTF">2017-04-13T02:39:56Z</dcterms:created>
  <dcterms:modified xsi:type="dcterms:W3CDTF">2026-10-14T09:27:58Z</dcterms:modified>
</cp:coreProperties>
</file>