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GREGASI" sheetId="2" r:id="rId5"/>
    <sheet state="visible" name="ADHB" sheetId="3" r:id="rId6"/>
    <sheet state="visible" name="ADHK" sheetId="4" r:id="rId7"/>
    <sheet state="visible" name="ADHB 2025" sheetId="5" r:id="rId8"/>
  </sheets>
  <definedNames/>
  <calcPr/>
  <extLst>
    <ext uri="GoogleSheetsCustomDataVersion2">
      <go:sheetsCustomData xmlns:go="http://customooxmlschemas.google.com/" r:id="rId9" roundtripDataChecksum="Ixmz5iHyBUldkQMXYyoTJ0ECdW39/RQtfySN3jVpYh4="/>
    </ext>
  </extLst>
</workbook>
</file>

<file path=xl/sharedStrings.xml><?xml version="1.0" encoding="utf-8"?>
<sst xmlns="http://schemas.openxmlformats.org/spreadsheetml/2006/main" count="2317" uniqueCount="421">
  <si>
    <t>Provinsi</t>
  </si>
  <si>
    <t>Lapangan Usaha</t>
  </si>
  <si>
    <t>No</t>
  </si>
  <si>
    <t>A Pertanian, Kehutanan dan Perikanan</t>
  </si>
  <si>
    <t>Kategori</t>
  </si>
  <si>
    <t>B Pertambangan dan Penggalian</t>
  </si>
  <si>
    <t>PDRB ADHK 2023</t>
  </si>
  <si>
    <t>C Industri Pengolahan</t>
  </si>
  <si>
    <t>D Pengadaan Listrik dan Gas</t>
  </si>
  <si>
    <t>E Pengadaan Air, Pengelolaan Sampah, Limbah dan Daur Ulang</t>
  </si>
  <si>
    <t>F Konstruksi</t>
  </si>
  <si>
    <t>G Perdagangan Besar dan Eceran, Reparasi Mobil dan Sepeda Motor</t>
  </si>
  <si>
    <t>Est PDRB ADHB 2025</t>
  </si>
  <si>
    <t>H Transportasi dan Pergudangan</t>
  </si>
  <si>
    <t>PDRB ADHB 2025 (Aktual)</t>
  </si>
  <si>
    <t>I Penyediaan Akomodasi dan Makan Minum</t>
  </si>
  <si>
    <t>PDRB ADHK 2024</t>
  </si>
  <si>
    <t>J Informasi dan Komunikasi</t>
  </si>
  <si>
    <t>Error% Agregat</t>
  </si>
  <si>
    <t>K Jasa Keuangan dan Asuransi</t>
  </si>
  <si>
    <t>PDRB ADHB 2024</t>
  </si>
  <si>
    <t>MAPE Sektoral (%)</t>
  </si>
  <si>
    <t>Pertumbuhan ADHB Aktual 2024→2025 (%)</t>
  </si>
  <si>
    <t>Selisih (Est − Aktual)</t>
  </si>
  <si>
    <t>Laju Pertumbuhan</t>
  </si>
  <si>
    <t>Aceh</t>
  </si>
  <si>
    <t>Est PDRB ADHK 2025</t>
  </si>
  <si>
    <t>Indeks Harga Implisit</t>
  </si>
  <si>
    <t>254.807.907,99</t>
  </si>
  <si>
    <t>257.502.440,00</t>
  </si>
  <si>
    <t>-1,05</t>
  </si>
  <si>
    <t>5,85</t>
  </si>
  <si>
    <t>5,88</t>
  </si>
  <si>
    <t>PDRB ADHB 2025</t>
  </si>
  <si>
    <t>243.202.140,00</t>
  </si>
  <si>
    <t>2.694.532,01</t>
  </si>
  <si>
    <t>L Real Estate</t>
  </si>
  <si>
    <t>M,N Jasa Perusahaan</t>
  </si>
  <si>
    <t>SumateraUtara</t>
  </si>
  <si>
    <t>Error%</t>
  </si>
  <si>
    <t>1.204.502.659,72</t>
  </si>
  <si>
    <t>1.236.193.570,00</t>
  </si>
  <si>
    <t>O Administrasi Pemerintahan, Pertahanan dan Jaminan Sosial Wajib</t>
  </si>
  <si>
    <t>-2,56</t>
  </si>
  <si>
    <t>3,78</t>
  </si>
  <si>
    <t>P Jasa Pendidikan</t>
  </si>
  <si>
    <t>Rerata Error</t>
  </si>
  <si>
    <t>7,78</t>
  </si>
  <si>
    <t>1.146.919.760,00</t>
  </si>
  <si>
    <t>Q Jasa Kesehatan dan Kegiatan Sosial</t>
  </si>
  <si>
    <t>31.690.910,28</t>
  </si>
  <si>
    <t>R,S,T,U Jasa Lainnya</t>
  </si>
  <si>
    <t>SumateraBarat</t>
  </si>
  <si>
    <t>348.014.173,92</t>
  </si>
  <si>
    <t>352.189.380,00</t>
  </si>
  <si>
    <t>-1,19</t>
  </si>
  <si>
    <t>3,09</t>
  </si>
  <si>
    <t>5,72</t>
  </si>
  <si>
    <t>333.145.830,00</t>
  </si>
  <si>
    <t>11. Aceh</t>
  </si>
  <si>
    <t>4.175.206,08</t>
  </si>
  <si>
    <t>Riau</t>
  </si>
  <si>
    <t>[Seri 2010] PDRB Triwulanan Atas Dasar Harga Konstan Menurut Lapangan Usaha di Provinsi Seluruh Indonesia (Milyar Rupiah)</t>
  </si>
  <si>
    <t>Pertanian, Kehutanan, dan Perikanan</t>
  </si>
  <si>
    <t>1.150.066.789,14</t>
  </si>
  <si>
    <t>1.201.383.760,00</t>
  </si>
  <si>
    <t>A</t>
  </si>
  <si>
    <t>-4,27</t>
  </si>
  <si>
    <t>4,07</t>
  </si>
  <si>
    <t>7,99</t>
  </si>
  <si>
    <t>1.112.481.620,00</t>
  </si>
  <si>
    <t>51.316.970,86</t>
  </si>
  <si>
    <t>Jambi</t>
  </si>
  <si>
    <t>Tahunan</t>
  </si>
  <si>
    <t>339.522.513,11</t>
  </si>
  <si>
    <t>349.662.590,00</t>
  </si>
  <si>
    <t>-2,90</t>
  </si>
  <si>
    <t>5,18</t>
  </si>
  <si>
    <t>8,20</t>
  </si>
  <si>
    <t>323.174.310,00</t>
  </si>
  <si>
    <t>10.140.076,89</t>
  </si>
  <si>
    <t>SumateraSelatan</t>
  </si>
  <si>
    <t>697.480.639,45</t>
  </si>
  <si>
    <t>720.205.220,00</t>
  </si>
  <si>
    <t>-3,16</t>
  </si>
  <si>
    <t>2,45</t>
  </si>
  <si>
    <t>8,47</t>
  </si>
  <si>
    <t>663.961.710,00</t>
  </si>
  <si>
    <t>22.724.580,55</t>
  </si>
  <si>
    <t>Bengkulu</t>
  </si>
  <si>
    <t>108.671.651,89</t>
  </si>
  <si>
    <t>111.829.430,00</t>
  </si>
  <si>
    <t>-2,82</t>
  </si>
  <si>
    <t>3,57</t>
  </si>
  <si>
    <t>7,54</t>
  </si>
  <si>
    <t>103.991.910,00</t>
  </si>
  <si>
    <t>3.157.778,11</t>
  </si>
  <si>
    <t>Sumatera Utara</t>
  </si>
  <si>
    <t>Lampung</t>
  </si>
  <si>
    <t>506.357.378,44</t>
  </si>
  <si>
    <t>523.846.550,00</t>
  </si>
  <si>
    <t>-3,34</t>
  </si>
  <si>
    <t>Produk Domestik Regional Bruto</t>
  </si>
  <si>
    <t>3,23</t>
  </si>
  <si>
    <t>8,22</t>
  </si>
  <si>
    <t>484.042.520,00</t>
  </si>
  <si>
    <t>17.489.171,56</t>
  </si>
  <si>
    <t>KepBangkaBelitung</t>
  </si>
  <si>
    <t>Sumatera Barat</t>
  </si>
  <si>
    <t>108.535.753,59</t>
  </si>
  <si>
    <t>116.811.750,00</t>
  </si>
  <si>
    <t>-7,08</t>
  </si>
  <si>
    <t>5,09</t>
  </si>
  <si>
    <t>8,66</t>
  </si>
  <si>
    <t>107.503.190,00</t>
  </si>
  <si>
    <t>8.275.996,41</t>
  </si>
  <si>
    <t>KepRiau</t>
  </si>
  <si>
    <t>371.279.820,02</t>
  </si>
  <si>
    <t>381.729.870,00</t>
  </si>
  <si>
    <t>-2,74</t>
  </si>
  <si>
    <t>7,12</t>
  </si>
  <si>
    <t>8,31</t>
  </si>
  <si>
    <t>352.436.430,00</t>
  </si>
  <si>
    <t>10.450.049,98</t>
  </si>
  <si>
    <t>DKIJakarta</t>
  </si>
  <si>
    <t>3.862.271.534,76</t>
  </si>
  <si>
    <t>3.926.153.270,00</t>
  </si>
  <si>
    <t>-1,63</t>
  </si>
  <si>
    <t>3,27</t>
  </si>
  <si>
    <t>6,70</t>
  </si>
  <si>
    <t>3.679.708.730,00</t>
  </si>
  <si>
    <t>63.881.735,24</t>
  </si>
  <si>
    <t>JawaBarat</t>
  </si>
  <si>
    <t>2.963.735.653,65</t>
  </si>
  <si>
    <t>3.038.667.940,00</t>
  </si>
  <si>
    <t>-2,47</t>
  </si>
  <si>
    <t>3,88</t>
  </si>
  <si>
    <t>7,62</t>
  </si>
  <si>
    <t>2.823.451.790,00</t>
  </si>
  <si>
    <t>74.932.286,35</t>
  </si>
  <si>
    <t>Sumatera Selatan</t>
  </si>
  <si>
    <t>JawaTengah</t>
  </si>
  <si>
    <t>1.905.290.257,90</t>
  </si>
  <si>
    <t>1.943.187.640,00</t>
  </si>
  <si>
    <t>-1,95</t>
  </si>
  <si>
    <t>2,05</t>
  </si>
  <si>
    <t>6,90</t>
  </si>
  <si>
    <t>1.817.710.810,00</t>
  </si>
  <si>
    <t>37.897.382,10</t>
  </si>
  <si>
    <t>DIYogyakarta</t>
  </si>
  <si>
    <t>203.288.610,49</t>
  </si>
  <si>
    <t>208.133.810,00</t>
  </si>
  <si>
    <t>-2,33</t>
  </si>
  <si>
    <t>3,79</t>
  </si>
  <si>
    <t>7,53</t>
  </si>
  <si>
    <t>193.561.950,00</t>
  </si>
  <si>
    <t>4.845.199,51</t>
  </si>
  <si>
    <t>JawaTimur</t>
  </si>
  <si>
    <t>3.324.730.001,99</t>
  </si>
  <si>
    <t>3.403.166.850,00</t>
  </si>
  <si>
    <t>-2,30</t>
  </si>
  <si>
    <t>2,61</t>
  </si>
  <si>
    <t>7,41</t>
  </si>
  <si>
    <t>3.168.295.570,00</t>
  </si>
  <si>
    <t>78.436.848,01</t>
  </si>
  <si>
    <t>Banten</t>
  </si>
  <si>
    <t>916.137.256,70</t>
  </si>
  <si>
    <t>Kep. Bangka Belitung</t>
  </si>
  <si>
    <t>936.203.970,00</t>
  </si>
  <si>
    <t>-2,14</t>
  </si>
  <si>
    <t>4,45</t>
  </si>
  <si>
    <t>7,16</t>
  </si>
  <si>
    <t>873.626.260,00</t>
  </si>
  <si>
    <t>20.066.713,30</t>
  </si>
  <si>
    <t>Bali</t>
  </si>
  <si>
    <t>316.338.678,87</t>
  </si>
  <si>
    <t>324.148.970,00</t>
  </si>
  <si>
    <t>-2,41</t>
  </si>
  <si>
    <t>4,13</t>
  </si>
  <si>
    <t>8,61</t>
  </si>
  <si>
    <t>Kep. Riau</t>
  </si>
  <si>
    <t>298.439.560,00</t>
  </si>
  <si>
    <t>7.810.291,13</t>
  </si>
  <si>
    <t>NusaTenggaraBarat</t>
  </si>
  <si>
    <t>192.360.239,49</t>
  </si>
  <si>
    <t>192.951.540,00</t>
  </si>
  <si>
    <t>-0,31</t>
  </si>
  <si>
    <t>6,33</t>
  </si>
  <si>
    <t>5,86</t>
  </si>
  <si>
    <t>182.265.630,00</t>
  </si>
  <si>
    <t>591.300,51</t>
  </si>
  <si>
    <t>NusaTenggaraTimur</t>
  </si>
  <si>
    <t>142.824.411,33</t>
  </si>
  <si>
    <t>DKI Jakarta</t>
  </si>
  <si>
    <t>148.373.390,00</t>
  </si>
  <si>
    <t>-3,74</t>
  </si>
  <si>
    <t>3,65</t>
  </si>
  <si>
    <t>7,94</t>
  </si>
  <si>
    <t>137.458.490,00</t>
  </si>
  <si>
    <t>5.548.978,67</t>
  </si>
  <si>
    <t>KalimantanBarat</t>
  </si>
  <si>
    <t>314.834.219,42</t>
  </si>
  <si>
    <t>328.569.500,00</t>
  </si>
  <si>
    <t>-4,18</t>
  </si>
  <si>
    <t>3,85</t>
  </si>
  <si>
    <t>9,46</t>
  </si>
  <si>
    <t>Jawa Barat</t>
  </si>
  <si>
    <t>300.166.890,00</t>
  </si>
  <si>
    <t>13.735.280,58</t>
  </si>
  <si>
    <t>KalimantanTengah</t>
  </si>
  <si>
    <t>232.494.101,89</t>
  </si>
  <si>
    <t>241.055.710,00</t>
  </si>
  <si>
    <t>-3,55</t>
  </si>
  <si>
    <t>4,34</t>
  </si>
  <si>
    <t>8,16</t>
  </si>
  <si>
    <t>222.864.480,00</t>
  </si>
  <si>
    <t>8.561.608,11</t>
  </si>
  <si>
    <t>Jawa Tengah</t>
  </si>
  <si>
    <t>KalimantanSelatan</t>
  </si>
  <si>
    <t>301.010.094,51</t>
  </si>
  <si>
    <t>305.126.920,00</t>
  </si>
  <si>
    <t>-1,35</t>
  </si>
  <si>
    <t>3,04</t>
  </si>
  <si>
    <t>6,38</t>
  </si>
  <si>
    <t>286.840.070,00</t>
  </si>
  <si>
    <t>4.116.825,49</t>
  </si>
  <si>
    <t>KalimantanTimur</t>
  </si>
  <si>
    <t>913.566.044,97</t>
  </si>
  <si>
    <t>889.072.540,00</t>
  </si>
  <si>
    <t>2,75</t>
  </si>
  <si>
    <t>6,49</t>
  </si>
  <si>
    <t>DI Yogyakarta</t>
  </si>
  <si>
    <t>3,60</t>
  </si>
  <si>
    <t>858.193.700,00</t>
  </si>
  <si>
    <t>24.493.504,97</t>
  </si>
  <si>
    <t>KalimantanUtara</t>
  </si>
  <si>
    <t>154.106.542,16</t>
  </si>
  <si>
    <t>156.025.740,00</t>
  </si>
  <si>
    <t>-1,23</t>
  </si>
  <si>
    <t>2,63</t>
  </si>
  <si>
    <t>6,16</t>
  </si>
  <si>
    <t>146.976.700,00</t>
  </si>
  <si>
    <t>1.919.197,84</t>
  </si>
  <si>
    <t>Jawa Timur</t>
  </si>
  <si>
    <t>SulawesiUtara</t>
  </si>
  <si>
    <t>197.666.964,95</t>
  </si>
  <si>
    <t>204.747.130,00</t>
  </si>
  <si>
    <t>-3,46</t>
  </si>
  <si>
    <t>4,00</t>
  </si>
  <si>
    <t>9,27</t>
  </si>
  <si>
    <t>187.374.290,00</t>
  </si>
  <si>
    <t>7.080.165,05</t>
  </si>
  <si>
    <t>SulawesiTengah</t>
  </si>
  <si>
    <t>416.537.637,15</t>
  </si>
  <si>
    <t>415.477.210,00</t>
  </si>
  <si>
    <t>0,26</t>
  </si>
  <si>
    <t>3,25</t>
  </si>
  <si>
    <t>10,22</t>
  </si>
  <si>
    <t>376.950.310,00</t>
  </si>
  <si>
    <t>1.060.427,15</t>
  </si>
  <si>
    <t>SulawesiSelatan</t>
  </si>
  <si>
    <t>730.463.003,42</t>
  </si>
  <si>
    <t>753.077.140,00</t>
  </si>
  <si>
    <t>-3,00</t>
  </si>
  <si>
    <t>2,51</t>
  </si>
  <si>
    <t>696.252.790,00</t>
  </si>
  <si>
    <t>22.614.136,58</t>
  </si>
  <si>
    <t>SulawesiTenggara</t>
  </si>
  <si>
    <t>199.825.026,68</t>
  </si>
  <si>
    <t>204.333.560,00</t>
  </si>
  <si>
    <t>-2,21</t>
  </si>
  <si>
    <t>4,43</t>
  </si>
  <si>
    <t>7,84</t>
  </si>
  <si>
    <t>189.481.760,00</t>
  </si>
  <si>
    <t>Nusa Tenggara Barat</t>
  </si>
  <si>
    <t>4.508.533,32</t>
  </si>
  <si>
    <t>Gorontalo</t>
  </si>
  <si>
    <t>56.850.573,77</t>
  </si>
  <si>
    <t>58.977.510,00</t>
  </si>
  <si>
    <t>-3,61</t>
  </si>
  <si>
    <t>4,32</t>
  </si>
  <si>
    <t>8,10</t>
  </si>
  <si>
    <t>54.559.640,00</t>
  </si>
  <si>
    <t>2.126.936,23</t>
  </si>
  <si>
    <t>SulawesiBarat</t>
  </si>
  <si>
    <t>67.270.439,65</t>
  </si>
  <si>
    <t>Nusa Tenggara Timur</t>
  </si>
  <si>
    <t>71.162.430,00</t>
  </si>
  <si>
    <t>-5,47</t>
  </si>
  <si>
    <t>5,26</t>
  </si>
  <si>
    <t>10,82</t>
  </si>
  <si>
    <t>64.214.660,00</t>
  </si>
  <si>
    <t>3.891.990,35</t>
  </si>
  <si>
    <t>Maluku</t>
  </si>
  <si>
    <t>66.016.537,76</t>
  </si>
  <si>
    <t>66.313.130,00</t>
  </si>
  <si>
    <t>-0,45</t>
  </si>
  <si>
    <t>2,49</t>
  </si>
  <si>
    <t>Kalimantan Barat</t>
  </si>
  <si>
    <t>62.647.520,00</t>
  </si>
  <si>
    <t>296.592,24</t>
  </si>
  <si>
    <t>MalukuUtara</t>
  </si>
  <si>
    <t>111.136.951,99</t>
  </si>
  <si>
    <t>133.620.340,00</t>
  </si>
  <si>
    <t>-16,83</t>
  </si>
  <si>
    <t>7,37</t>
  </si>
  <si>
    <t>37,82</t>
  </si>
  <si>
    <t>96.949.440,00</t>
  </si>
  <si>
    <t>22.483.388,01</t>
  </si>
  <si>
    <t>PapuaBarat</t>
  </si>
  <si>
    <t>Kalimantan Tengah</t>
  </si>
  <si>
    <t>129.792.134,65</t>
  </si>
  <si>
    <t>121.027.160,00</t>
  </si>
  <si>
    <t>7,24</t>
  </si>
  <si>
    <t>4,16</t>
  </si>
  <si>
    <t>113.217.810,00</t>
  </si>
  <si>
    <t>8.764.974,65</t>
  </si>
  <si>
    <t>Papua</t>
  </si>
  <si>
    <t>335.131.129,76</t>
  </si>
  <si>
    <t>315.098.000,00</t>
  </si>
  <si>
    <t>6,36</t>
  </si>
  <si>
    <t>Kalimantan Selatan</t>
  </si>
  <si>
    <t>3,48</t>
  </si>
  <si>
    <t>-1,78</t>
  </si>
  <si>
    <t>320.822.400,00</t>
  </si>
  <si>
    <t>20.033.129,76</t>
  </si>
  <si>
    <t>INDONESIA</t>
  </si>
  <si>
    <t>Kalimantan Timur</t>
  </si>
  <si>
    <t>Kalimantan Utara</t>
  </si>
  <si>
    <t>23.142.917.335,20</t>
  </si>
  <si>
    <t>Sulawesi Utara</t>
  </si>
  <si>
    <t>23.636.025.960,00</t>
  </si>
  <si>
    <t>Sulawesi Tengah</t>
  </si>
  <si>
    <t>-2,09</t>
  </si>
  <si>
    <t>4,09</t>
  </si>
  <si>
    <t>7,32</t>
  </si>
  <si>
    <t>22.022.890.670,00</t>
  </si>
  <si>
    <t>493.108.624,80</t>
  </si>
  <si>
    <t>Sulawesi Selatan</t>
  </si>
  <si>
    <t>Sulawesi Tenggara</t>
  </si>
  <si>
    <t>Sulawesi Barat</t>
  </si>
  <si>
    <t>Maluku Utara</t>
  </si>
  <si>
    <t>Papua Barat</t>
  </si>
  <si>
    <t>Papua Barat Daya</t>
  </si>
  <si>
    <t>Papua Selatan</t>
  </si>
  <si>
    <t>Papua Tengah</t>
  </si>
  <si>
    <t>Papua Pegunungan</t>
  </si>
  <si>
    <t>Pertambangan dan Penggalian</t>
  </si>
  <si>
    <t>B</t>
  </si>
  <si>
    <t>Industri Pengolahan</t>
  </si>
  <si>
    <t>C</t>
  </si>
  <si>
    <t>Pengadaan Listrik dan Gas</t>
  </si>
  <si>
    <t>D</t>
  </si>
  <si>
    <t>Pengadaan Air, Pengelolaan Sampah, Limbah dan Daur Ulang</t>
  </si>
  <si>
    <t>E</t>
  </si>
  <si>
    <t>Konstruksi</t>
  </si>
  <si>
    <t>F</t>
  </si>
  <si>
    <t>Perdagangan Besar dan Eceran; Reparasi Mobil dan Sepeda Motor</t>
  </si>
  <si>
    <t>G</t>
  </si>
  <si>
    <t>Transportasi dan Pergudangan</t>
  </si>
  <si>
    <t>H</t>
  </si>
  <si>
    <t>Penyediaan Akomodasi dan Makan Minum</t>
  </si>
  <si>
    <t>I</t>
  </si>
  <si>
    <t>Informasi dan Komunikasi</t>
  </si>
  <si>
    <t>J</t>
  </si>
  <si>
    <t>Jasa Keuangan dan Asuransi</t>
  </si>
  <si>
    <t>K</t>
  </si>
  <si>
    <t>Real Estate</t>
  </si>
  <si>
    <t>L</t>
  </si>
  <si>
    <t>Jasa Perusahaan</t>
  </si>
  <si>
    <t>MN</t>
  </si>
  <si>
    <t>Administrasi Pemerintahan, Pertahanan dan Jaminan Sosial Wajib</t>
  </si>
  <si>
    <t>O</t>
  </si>
  <si>
    <t>Jasa Pendidikan</t>
  </si>
  <si>
    <t>P</t>
  </si>
  <si>
    <t>Jasa Kesehatan dan Kegiatan Sosial</t>
  </si>
  <si>
    <t>Q</t>
  </si>
  <si>
    <t>Jasa Lainnya</t>
  </si>
  <si>
    <t>RSTU</t>
  </si>
  <si>
    <t>12. Sumatera Utara</t>
  </si>
  <si>
    <t>[Seri 2010] PDRB Triwulanan Atas Dasar Harga Berlaku Menurut Lapangan Usaha di Provinsi Seluruh Indonesia (Milyar Rupiah)</t>
  </si>
  <si>
    <t>13. Sumatera Barat</t>
  </si>
  <si>
    <t>Catatan</t>
  </si>
  <si>
    <t>Perbedaan antara jumlah PDRB 34 Provinsi dan PDB Indonesia antara lain disebabkan oleh diskrepansi statistik.&lt;br /&gt;</t>
  </si>
  <si>
    <t>&lt;ul&gt;</t>
  </si>
  <si>
    <t>&lt;li&gt;Triwulan I–IV 2024 dan Tahun 2024: Angka sementara&lt;/li&gt;</t>
  </si>
  <si>
    <t>&lt;li&gt;Triwulan I–IV 2025 dan Tahun 2025: Angka sangat sementara&lt;/li&gt;</t>
  </si>
  <si>
    <t>&lt;li&gt;Triwulan I–II 2026 : Angka sangat sangat sementara&lt;/li&gt;</t>
  </si>
  <si>
    <t>&lt;/ul&gt;&lt;br /&gt;</t>
  </si>
  <si>
    <t>Sumber: BPS, berbagai sensus, survei, dan sumber lain.</t>
  </si>
  <si>
    <t>14. Riau</t>
  </si>
  <si>
    <t>15. Jambi</t>
  </si>
  <si>
    <t>16. Sumatera Selatan</t>
  </si>
  <si>
    <t>17. Bengkulu</t>
  </si>
  <si>
    <t>18. Lampung</t>
  </si>
  <si>
    <t>19. Kep. Bangka Belitung</t>
  </si>
  <si>
    <t>21. Kep. Riau</t>
  </si>
  <si>
    <t>31. DKI Jakarta</t>
  </si>
  <si>
    <t>32. Jawa Barat</t>
  </si>
  <si>
    <t>33. Jawa Tengah</t>
  </si>
  <si>
    <t>34. DI Yogyakarta</t>
  </si>
  <si>
    <t>35. Jawa Timur</t>
  </si>
  <si>
    <t>36. Banten</t>
  </si>
  <si>
    <t>51. Bali</t>
  </si>
  <si>
    <t>52. Nusa Tenggara Barat</t>
  </si>
  <si>
    <t>53. Nusa Tenggara Timur</t>
  </si>
  <si>
    <t>61. Kalimantan Barat</t>
  </si>
  <si>
    <t>62. Kalimantan Tengah</t>
  </si>
  <si>
    <t>63. Kalimantan Selatan</t>
  </si>
  <si>
    <t>64. Kalimantan Timur</t>
  </si>
  <si>
    <t>65. Kalimantan Utara</t>
  </si>
  <si>
    <t>71. Sulawesi Utara</t>
  </si>
  <si>
    <t>72. Sulawesi Tengah</t>
  </si>
  <si>
    <t>73. Sulawesi Selatan</t>
  </si>
  <si>
    <t>74. Sulawesi Tenggara</t>
  </si>
  <si>
    <t>75. Gorontalo</t>
  </si>
  <si>
    <t>76. Sulawesi Barat</t>
  </si>
  <si>
    <t>81. Maluku</t>
  </si>
  <si>
    <t>82. Maluku Utara</t>
  </si>
  <si>
    <t>91. Papua Barat</t>
  </si>
  <si>
    <t>94. Papua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</si>
</sst>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9">
    <font>
      <sz val="12.0"/>
      <color theme="1"/>
      <name val="Calibri"/>
      <scheme val="minor"/>
    </font>
    <font>
      <sz val="11.0"/>
      <color theme="1"/>
      <name val="Times New Roman"/>
    </font>
    <font>
      <color theme="1"/>
      <name val="Calibri"/>
      <scheme val="minor"/>
    </font>
    <font>
      <sz val="11.0"/>
      <color rgb="FF000000"/>
      <name val="Times New Roman"/>
    </font>
    <font>
      <color theme="1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/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0" fillId="2" fontId="1" numFmtId="164" xfId="0" applyAlignment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4" xfId="0" applyAlignment="1" applyFont="1" applyNumberFormat="1">
      <alignment vertical="center"/>
    </xf>
    <xf borderId="0" fillId="0" fontId="1" numFmtId="4" xfId="0" applyAlignment="1" applyFont="1" applyNumberFormat="1">
      <alignment horizontal="center" vertical="center"/>
    </xf>
    <xf borderId="0" fillId="0" fontId="5" numFmtId="4" xfId="0" applyAlignment="1" applyFont="1" applyNumberFormat="1">
      <alignment horizontal="center"/>
    </xf>
    <xf borderId="0" fillId="0" fontId="5" numFmtId="0" xfId="0" applyFont="1"/>
    <xf borderId="0" fillId="0" fontId="5" numFmtId="4" xfId="0" applyFont="1" applyNumberFormat="1"/>
    <xf borderId="0" fillId="0" fontId="6" numFmtId="4" xfId="0" applyAlignment="1" applyFont="1" applyNumberFormat="1">
      <alignment horizontal="center" shrinkToFit="0" vertical="bottom" wrapText="0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7" numFmtId="0" xfId="0" applyBorder="1" applyFont="1"/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/>
    </xf>
    <xf borderId="0" fillId="4" fontId="4" numFmtId="0" xfId="0" applyAlignment="1" applyFill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14.56"/>
    <col customWidth="1" min="2" max="2" width="56.0"/>
    <col customWidth="1" min="3" max="3" width="8.56"/>
    <col customWidth="1" min="4" max="4" width="10.11"/>
    <col customWidth="1" min="5" max="5" width="8.56"/>
    <col customWidth="1" min="6" max="6" width="10.89"/>
    <col customWidth="1" min="7" max="7" width="16.22"/>
    <col customWidth="1" min="8" max="8" width="9.78"/>
    <col customWidth="1" min="9" max="9" width="8.56"/>
    <col customWidth="1" min="10" max="10" width="11.22"/>
    <col customWidth="1" min="11" max="27" width="8.56"/>
  </cols>
  <sheetData>
    <row r="1">
      <c r="A1" s="1" t="s">
        <v>0</v>
      </c>
      <c r="B1" s="3" t="s">
        <v>1</v>
      </c>
      <c r="C1" s="3" t="s">
        <v>4</v>
      </c>
      <c r="D1" s="6" t="s">
        <v>6</v>
      </c>
      <c r="E1" s="6" t="s">
        <v>16</v>
      </c>
      <c r="F1" s="6" t="s">
        <v>20</v>
      </c>
      <c r="G1" s="8" t="s">
        <v>24</v>
      </c>
      <c r="H1" s="8" t="s">
        <v>26</v>
      </c>
      <c r="I1" s="8" t="s">
        <v>27</v>
      </c>
      <c r="J1" s="8" t="s">
        <v>12</v>
      </c>
      <c r="K1" s="10" t="s">
        <v>33</v>
      </c>
      <c r="L1" s="10" t="s">
        <v>39</v>
      </c>
      <c r="N1" s="11" t="s">
        <v>46</v>
      </c>
    </row>
    <row r="2">
      <c r="A2" s="13" t="s">
        <v>59</v>
      </c>
      <c r="B2" s="13" t="s">
        <v>63</v>
      </c>
      <c r="C2" s="14" t="s">
        <v>66</v>
      </c>
      <c r="D2" s="15">
        <v>4.162632E7</v>
      </c>
      <c r="E2" s="15">
        <v>4.212137E7</v>
      </c>
      <c r="F2" s="16">
        <v>7.531796E7</v>
      </c>
      <c r="G2" s="17">
        <f t="shared" ref="G2:G579" si="1">IFERROR((E2-D2)/D2*100,"–")</f>
        <v>1.189271595</v>
      </c>
      <c r="H2" s="17">
        <f t="shared" ref="H2:H579" si="2">IFERROR(E2*(100%+G2%),"–")</f>
        <v>42622307.49</v>
      </c>
      <c r="I2" s="18">
        <f t="shared" ref="I2:I579" si="3">IFERROR(F2/E2*100,0)</f>
        <v>178.8117528</v>
      </c>
      <c r="J2" s="19">
        <f t="shared" ref="J2:J579" si="4">IFERROR(I2*H2/100,0)</f>
        <v>76213695.1</v>
      </c>
      <c r="K2" s="20">
        <v>8.429417E7</v>
      </c>
      <c r="L2" s="18">
        <f t="shared" ref="L2:L579" si="5">(J2-K2)/K2*100</f>
        <v>-9.586042422</v>
      </c>
      <c r="N2" s="25">
        <f>average(L2:L579)</f>
        <v>-1.522140844</v>
      </c>
    </row>
    <row r="3">
      <c r="A3" s="13" t="s">
        <v>59</v>
      </c>
      <c r="B3" s="13" t="s">
        <v>347</v>
      </c>
      <c r="C3" s="14" t="s">
        <v>348</v>
      </c>
      <c r="D3" s="15">
        <v>1.033073E7</v>
      </c>
      <c r="E3" s="15">
        <v>1.148325E7</v>
      </c>
      <c r="F3" s="16">
        <v>1.714685E7</v>
      </c>
      <c r="G3" s="17">
        <f t="shared" si="1"/>
        <v>11.15623001</v>
      </c>
      <c r="H3" s="17">
        <f t="shared" si="2"/>
        <v>12764347.78</v>
      </c>
      <c r="I3" s="18">
        <f t="shared" si="3"/>
        <v>149.3205321</v>
      </c>
      <c r="J3" s="19">
        <f t="shared" si="4"/>
        <v>19059792.02</v>
      </c>
      <c r="K3" s="20">
        <v>1.545155E7</v>
      </c>
      <c r="L3" s="18">
        <f t="shared" si="5"/>
        <v>23.35197456</v>
      </c>
    </row>
    <row r="4">
      <c r="A4" s="13" t="s">
        <v>59</v>
      </c>
      <c r="B4" s="13" t="s">
        <v>349</v>
      </c>
      <c r="C4" s="14" t="s">
        <v>350</v>
      </c>
      <c r="D4" s="15">
        <v>6371280.0</v>
      </c>
      <c r="E4" s="15">
        <v>6559190.0</v>
      </c>
      <c r="F4" s="16">
        <v>1.146281E7</v>
      </c>
      <c r="G4" s="17">
        <f t="shared" si="1"/>
        <v>2.949328863</v>
      </c>
      <c r="H4" s="17">
        <f t="shared" si="2"/>
        <v>6752642.084</v>
      </c>
      <c r="I4" s="18">
        <f t="shared" si="3"/>
        <v>174.7595359</v>
      </c>
      <c r="J4" s="19">
        <f t="shared" si="4"/>
        <v>11800885.96</v>
      </c>
      <c r="K4" s="20">
        <v>1.226159E7</v>
      </c>
      <c r="L4" s="18">
        <f t="shared" si="5"/>
        <v>-3.757294414</v>
      </c>
    </row>
    <row r="5">
      <c r="A5" s="13" t="s">
        <v>59</v>
      </c>
      <c r="B5" s="13" t="s">
        <v>351</v>
      </c>
      <c r="C5" s="14" t="s">
        <v>352</v>
      </c>
      <c r="D5" s="15">
        <v>238470.0</v>
      </c>
      <c r="E5" s="15">
        <v>251690.0</v>
      </c>
      <c r="F5" s="16">
        <v>275880.0</v>
      </c>
      <c r="G5" s="17">
        <f t="shared" si="1"/>
        <v>5.543674257</v>
      </c>
      <c r="H5" s="17">
        <f t="shared" si="2"/>
        <v>265642.8737</v>
      </c>
      <c r="I5" s="18">
        <f t="shared" si="3"/>
        <v>109.6110294</v>
      </c>
      <c r="J5" s="19">
        <f t="shared" si="4"/>
        <v>291173.8885</v>
      </c>
      <c r="K5" s="20">
        <v>270120.0</v>
      </c>
      <c r="L5" s="18">
        <f t="shared" si="5"/>
        <v>7.794272375</v>
      </c>
    </row>
    <row r="6">
      <c r="A6" s="13" t="s">
        <v>59</v>
      </c>
      <c r="B6" s="13" t="s">
        <v>353</v>
      </c>
      <c r="C6" s="14" t="s">
        <v>354</v>
      </c>
      <c r="D6" s="15">
        <v>58430.0</v>
      </c>
      <c r="E6" s="15">
        <v>59540.0</v>
      </c>
      <c r="F6" s="16">
        <v>114560.0</v>
      </c>
      <c r="G6" s="17">
        <f t="shared" si="1"/>
        <v>1.899709054</v>
      </c>
      <c r="H6" s="17">
        <f t="shared" si="2"/>
        <v>60671.08677</v>
      </c>
      <c r="I6" s="18">
        <f t="shared" si="3"/>
        <v>192.4084649</v>
      </c>
      <c r="J6" s="19">
        <f t="shared" si="4"/>
        <v>116736.3067</v>
      </c>
      <c r="K6" s="20">
        <v>119790.0</v>
      </c>
      <c r="L6" s="18">
        <f t="shared" si="5"/>
        <v>-2.549205533</v>
      </c>
    </row>
    <row r="7">
      <c r="A7" s="13" t="s">
        <v>59</v>
      </c>
      <c r="B7" s="13" t="s">
        <v>355</v>
      </c>
      <c r="C7" s="14" t="s">
        <v>356</v>
      </c>
      <c r="D7" s="15">
        <v>1.402044E7</v>
      </c>
      <c r="E7" s="15">
        <v>1.463307E7</v>
      </c>
      <c r="F7" s="16">
        <v>2.139299E7</v>
      </c>
      <c r="G7" s="17">
        <f t="shared" si="1"/>
        <v>4.36954903</v>
      </c>
      <c r="H7" s="17">
        <f t="shared" si="2"/>
        <v>15272469.17</v>
      </c>
      <c r="I7" s="18">
        <f t="shared" si="3"/>
        <v>146.1961844</v>
      </c>
      <c r="J7" s="19">
        <f t="shared" si="4"/>
        <v>22327767.19</v>
      </c>
      <c r="K7" s="20">
        <v>2.115895E7</v>
      </c>
      <c r="L7" s="18">
        <f t="shared" si="5"/>
        <v>5.523984824</v>
      </c>
    </row>
    <row r="8">
      <c r="A8" s="13" t="s">
        <v>59</v>
      </c>
      <c r="B8" s="13" t="s">
        <v>357</v>
      </c>
      <c r="C8" s="14" t="s">
        <v>358</v>
      </c>
      <c r="D8" s="15">
        <v>2.325834E7</v>
      </c>
      <c r="E8" s="15">
        <v>2.385156E7</v>
      </c>
      <c r="F8" s="16">
        <v>3.646154E7</v>
      </c>
      <c r="G8" s="17">
        <f t="shared" si="1"/>
        <v>2.550568957</v>
      </c>
      <c r="H8" s="17">
        <f t="shared" si="2"/>
        <v>24459910.49</v>
      </c>
      <c r="I8" s="18">
        <f t="shared" si="3"/>
        <v>152.8685755</v>
      </c>
      <c r="J8" s="19">
        <f t="shared" si="4"/>
        <v>37391516.72</v>
      </c>
      <c r="K8" s="20">
        <v>3.887132E7</v>
      </c>
      <c r="L8" s="18">
        <f t="shared" si="5"/>
        <v>-3.806928294</v>
      </c>
    </row>
    <row r="9">
      <c r="A9" s="13" t="s">
        <v>59</v>
      </c>
      <c r="B9" s="13" t="s">
        <v>359</v>
      </c>
      <c r="C9" s="14" t="s">
        <v>360</v>
      </c>
      <c r="D9" s="15">
        <v>9720940.0</v>
      </c>
      <c r="E9" s="15">
        <v>1.135314E7</v>
      </c>
      <c r="F9" s="16">
        <v>1.691375E7</v>
      </c>
      <c r="G9" s="17">
        <f t="shared" si="1"/>
        <v>16.79055729</v>
      </c>
      <c r="H9" s="17">
        <f t="shared" si="2"/>
        <v>13259395.48</v>
      </c>
      <c r="I9" s="18">
        <f t="shared" si="3"/>
        <v>148.9786086</v>
      </c>
      <c r="J9" s="19">
        <f t="shared" si="4"/>
        <v>19753662.88</v>
      </c>
      <c r="K9" s="20">
        <v>1.793063E7</v>
      </c>
      <c r="L9" s="18">
        <f t="shared" si="5"/>
        <v>10.16714351</v>
      </c>
    </row>
    <row r="10">
      <c r="A10" s="13" t="s">
        <v>59</v>
      </c>
      <c r="B10" s="13" t="s">
        <v>361</v>
      </c>
      <c r="C10" s="14" t="s">
        <v>362</v>
      </c>
      <c r="D10" s="15">
        <v>2219940.0</v>
      </c>
      <c r="E10" s="15">
        <v>2282560.0</v>
      </c>
      <c r="F10" s="16">
        <v>4172670.0</v>
      </c>
      <c r="G10" s="17">
        <f t="shared" si="1"/>
        <v>2.820796958</v>
      </c>
      <c r="H10" s="17">
        <f t="shared" si="2"/>
        <v>2346946.383</v>
      </c>
      <c r="I10" s="18">
        <f t="shared" si="3"/>
        <v>182.8065856</v>
      </c>
      <c r="J10" s="19">
        <f t="shared" si="4"/>
        <v>4290372.548</v>
      </c>
      <c r="K10" s="20">
        <v>4469330.0</v>
      </c>
      <c r="L10" s="18">
        <f t="shared" si="5"/>
        <v>-4.004122577</v>
      </c>
    </row>
    <row r="11">
      <c r="A11" s="13" t="s">
        <v>59</v>
      </c>
      <c r="B11" s="13" t="s">
        <v>363</v>
      </c>
      <c r="C11" s="14" t="s">
        <v>364</v>
      </c>
      <c r="D11" s="15">
        <v>6509100.0</v>
      </c>
      <c r="E11" s="15">
        <v>6629650.0</v>
      </c>
      <c r="F11" s="16">
        <v>6693220.0</v>
      </c>
      <c r="G11" s="17">
        <f t="shared" si="1"/>
        <v>1.852022553</v>
      </c>
      <c r="H11" s="17">
        <f t="shared" si="2"/>
        <v>6752432.613</v>
      </c>
      <c r="I11" s="18">
        <f t="shared" si="3"/>
        <v>100.9588741</v>
      </c>
      <c r="J11" s="19">
        <f t="shared" si="4"/>
        <v>6817179.944</v>
      </c>
      <c r="K11" s="20">
        <v>6782260.0</v>
      </c>
      <c r="L11" s="18">
        <f t="shared" si="5"/>
        <v>0.5148717968</v>
      </c>
    </row>
    <row r="12">
      <c r="A12" s="13" t="s">
        <v>59</v>
      </c>
      <c r="B12" s="13" t="s">
        <v>365</v>
      </c>
      <c r="C12" s="14" t="s">
        <v>366</v>
      </c>
      <c r="D12" s="15">
        <v>1874070.0</v>
      </c>
      <c r="E12" s="15">
        <v>2287200.0</v>
      </c>
      <c r="F12" s="16">
        <v>4056990.0</v>
      </c>
      <c r="G12" s="17">
        <f t="shared" si="1"/>
        <v>22.04453409</v>
      </c>
      <c r="H12" s="17">
        <f t="shared" si="2"/>
        <v>2791402.584</v>
      </c>
      <c r="I12" s="18">
        <f t="shared" si="3"/>
        <v>177.3780168</v>
      </c>
      <c r="J12" s="19">
        <f t="shared" si="4"/>
        <v>4951334.544</v>
      </c>
      <c r="K12" s="20">
        <v>4305050.0</v>
      </c>
      <c r="L12" s="18">
        <f t="shared" si="5"/>
        <v>15.01224245</v>
      </c>
    </row>
    <row r="13">
      <c r="A13" s="13" t="s">
        <v>59</v>
      </c>
      <c r="B13" s="13" t="s">
        <v>367</v>
      </c>
      <c r="C13" s="14" t="s">
        <v>368</v>
      </c>
      <c r="D13" s="15">
        <v>6107450.0</v>
      </c>
      <c r="E13" s="15">
        <v>6323520.0</v>
      </c>
      <c r="F13" s="16">
        <v>8571830.0</v>
      </c>
      <c r="G13" s="17">
        <f t="shared" si="1"/>
        <v>3.537810379</v>
      </c>
      <c r="H13" s="17">
        <f t="shared" si="2"/>
        <v>6547234.147</v>
      </c>
      <c r="I13" s="18">
        <f t="shared" si="3"/>
        <v>135.5547227</v>
      </c>
      <c r="J13" s="19">
        <f t="shared" si="4"/>
        <v>8875085.091</v>
      </c>
      <c r="K13" s="20">
        <v>9265870.0</v>
      </c>
      <c r="L13" s="18">
        <f t="shared" si="5"/>
        <v>-4.217465911</v>
      </c>
    </row>
    <row r="14">
      <c r="A14" s="13" t="s">
        <v>59</v>
      </c>
      <c r="B14" s="13" t="s">
        <v>369</v>
      </c>
      <c r="C14" s="14" t="s">
        <v>370</v>
      </c>
      <c r="D14" s="15">
        <v>930640.0</v>
      </c>
      <c r="E14" s="15">
        <v>970860.0</v>
      </c>
      <c r="F14" s="16">
        <v>1436370.0</v>
      </c>
      <c r="G14" s="17">
        <f t="shared" si="1"/>
        <v>4.32175707</v>
      </c>
      <c r="H14" s="17">
        <f t="shared" si="2"/>
        <v>1012818.211</v>
      </c>
      <c r="I14" s="18">
        <f t="shared" si="3"/>
        <v>147.9482109</v>
      </c>
      <c r="J14" s="19">
        <f t="shared" si="4"/>
        <v>1498446.422</v>
      </c>
      <c r="K14" s="20">
        <v>1455250.0</v>
      </c>
      <c r="L14" s="18">
        <f t="shared" si="5"/>
        <v>2.968316237</v>
      </c>
    </row>
    <row r="15">
      <c r="A15" s="13" t="s">
        <v>59</v>
      </c>
      <c r="B15" s="13" t="s">
        <v>371</v>
      </c>
      <c r="C15" s="14" t="s">
        <v>372</v>
      </c>
      <c r="D15" s="15">
        <v>1.2407E7</v>
      </c>
      <c r="E15" s="15">
        <v>1.333548E7</v>
      </c>
      <c r="F15" s="16">
        <v>2.208818E7</v>
      </c>
      <c r="G15" s="17">
        <f t="shared" si="1"/>
        <v>7.483517369</v>
      </c>
      <c r="H15" s="17">
        <f t="shared" si="2"/>
        <v>14333442.96</v>
      </c>
      <c r="I15" s="18">
        <f t="shared" si="3"/>
        <v>165.6346828</v>
      </c>
      <c r="J15" s="19">
        <f t="shared" si="4"/>
        <v>23741152.79</v>
      </c>
      <c r="K15" s="20">
        <v>2.303737E7</v>
      </c>
      <c r="L15" s="18">
        <f t="shared" si="5"/>
        <v>3.054961512</v>
      </c>
    </row>
    <row r="16">
      <c r="A16" s="13" t="s">
        <v>59</v>
      </c>
      <c r="B16" s="13" t="s">
        <v>373</v>
      </c>
      <c r="C16" s="14" t="s">
        <v>374</v>
      </c>
      <c r="D16" s="15">
        <v>3907800.0</v>
      </c>
      <c r="E16" s="15">
        <v>4079450.0</v>
      </c>
      <c r="F16" s="16">
        <v>6419270.0</v>
      </c>
      <c r="G16" s="17">
        <f t="shared" si="1"/>
        <v>4.392497057</v>
      </c>
      <c r="H16" s="17">
        <f t="shared" si="2"/>
        <v>4258639.721</v>
      </c>
      <c r="I16" s="18">
        <f t="shared" si="3"/>
        <v>157.3562613</v>
      </c>
      <c r="J16" s="19">
        <f t="shared" si="4"/>
        <v>6701236.246</v>
      </c>
      <c r="K16" s="20">
        <v>6727650.0</v>
      </c>
      <c r="L16" s="18">
        <f t="shared" si="5"/>
        <v>-0.3926148679</v>
      </c>
    </row>
    <row r="17">
      <c r="A17" s="13" t="s">
        <v>59</v>
      </c>
      <c r="B17" s="13" t="s">
        <v>375</v>
      </c>
      <c r="C17" s="14" t="s">
        <v>376</v>
      </c>
      <c r="D17" s="15">
        <v>5002720.0</v>
      </c>
      <c r="E17" s="15">
        <v>5114250.0</v>
      </c>
      <c r="F17" s="16">
        <v>7301110.0</v>
      </c>
      <c r="G17" s="17">
        <f t="shared" si="1"/>
        <v>2.229387213</v>
      </c>
      <c r="H17" s="17">
        <f t="shared" si="2"/>
        <v>5228266.436</v>
      </c>
      <c r="I17" s="18">
        <f t="shared" si="3"/>
        <v>142.760131</v>
      </c>
      <c r="J17" s="19">
        <f t="shared" si="4"/>
        <v>7463880.013</v>
      </c>
      <c r="K17" s="20">
        <v>7615420.0</v>
      </c>
      <c r="L17" s="18">
        <f t="shared" si="5"/>
        <v>-1.989909778</v>
      </c>
    </row>
    <row r="18">
      <c r="A18" s="13" t="s">
        <v>59</v>
      </c>
      <c r="B18" s="13" t="s">
        <v>377</v>
      </c>
      <c r="C18" s="14" t="s">
        <v>378</v>
      </c>
      <c r="D18" s="15">
        <v>2348830.0</v>
      </c>
      <c r="E18" s="15">
        <v>2444720.0</v>
      </c>
      <c r="F18" s="16">
        <v>3376160.0</v>
      </c>
      <c r="G18" s="17">
        <f t="shared" si="1"/>
        <v>4.082458075</v>
      </c>
      <c r="H18" s="17">
        <f t="shared" si="2"/>
        <v>2544524.669</v>
      </c>
      <c r="I18" s="18">
        <f t="shared" si="3"/>
        <v>138.1000687</v>
      </c>
      <c r="J18" s="19">
        <f t="shared" si="4"/>
        <v>3513990.317</v>
      </c>
      <c r="K18" s="20">
        <v>3486120.0</v>
      </c>
      <c r="L18" s="18">
        <f t="shared" si="5"/>
        <v>0.7994652089</v>
      </c>
    </row>
    <row r="19">
      <c r="A19" s="13" t="s">
        <v>379</v>
      </c>
      <c r="B19" s="13" t="s">
        <v>63</v>
      </c>
      <c r="C19" s="14" t="s">
        <v>66</v>
      </c>
      <c r="D19" s="15">
        <v>1.5324671E8</v>
      </c>
      <c r="E19" s="16">
        <v>1.5894063E8</v>
      </c>
      <c r="F19" s="15">
        <v>2.797323E8</v>
      </c>
      <c r="G19" s="17">
        <f t="shared" si="1"/>
        <v>3.715525116</v>
      </c>
      <c r="H19" s="17">
        <f t="shared" si="2"/>
        <v>164846109</v>
      </c>
      <c r="I19" s="18">
        <f t="shared" si="3"/>
        <v>175.9979811</v>
      </c>
      <c r="J19" s="19">
        <f t="shared" si="4"/>
        <v>290125823.9</v>
      </c>
      <c r="K19" s="20">
        <v>3.130007E8</v>
      </c>
      <c r="L19" s="18">
        <f t="shared" si="5"/>
        <v>-7.308250791</v>
      </c>
    </row>
    <row r="20">
      <c r="A20" s="13" t="s">
        <v>379</v>
      </c>
      <c r="B20" s="13" t="s">
        <v>347</v>
      </c>
      <c r="C20" s="14" t="s">
        <v>348</v>
      </c>
      <c r="D20" s="15">
        <v>7510210.0</v>
      </c>
      <c r="E20" s="16">
        <v>7812280.0</v>
      </c>
      <c r="F20" s="15">
        <v>1.330837E7</v>
      </c>
      <c r="G20" s="17">
        <f t="shared" si="1"/>
        <v>4.022124548</v>
      </c>
      <c r="H20" s="17">
        <f t="shared" si="2"/>
        <v>8126499.632</v>
      </c>
      <c r="I20" s="18">
        <f t="shared" si="3"/>
        <v>170.3519331</v>
      </c>
      <c r="J20" s="19">
        <f t="shared" si="4"/>
        <v>13843649.22</v>
      </c>
      <c r="K20" s="20">
        <v>1.458205E7</v>
      </c>
      <c r="L20" s="18">
        <f t="shared" si="5"/>
        <v>-5.063765268</v>
      </c>
    </row>
    <row r="21">
      <c r="A21" s="13" t="s">
        <v>379</v>
      </c>
      <c r="B21" s="13" t="s">
        <v>349</v>
      </c>
      <c r="C21" s="14" t="s">
        <v>350</v>
      </c>
      <c r="D21" s="15">
        <v>1.0331591E8</v>
      </c>
      <c r="E21" s="16">
        <v>1.0810146E8</v>
      </c>
      <c r="F21" s="15">
        <v>2.1061869E8</v>
      </c>
      <c r="G21" s="17">
        <f t="shared" si="1"/>
        <v>4.631958427</v>
      </c>
      <c r="H21" s="17">
        <f t="shared" si="2"/>
        <v>113108674.7</v>
      </c>
      <c r="I21" s="18">
        <f t="shared" si="3"/>
        <v>194.8342696</v>
      </c>
      <c r="J21" s="19">
        <f t="shared" si="4"/>
        <v>220374460.2</v>
      </c>
      <c r="K21" s="20">
        <v>2.2737441E8</v>
      </c>
      <c r="L21" s="18">
        <f t="shared" si="5"/>
        <v>-3.078600551</v>
      </c>
    </row>
    <row r="22">
      <c r="A22" s="13" t="s">
        <v>379</v>
      </c>
      <c r="B22" s="13" t="s">
        <v>351</v>
      </c>
      <c r="C22" s="14" t="s">
        <v>352</v>
      </c>
      <c r="D22" s="15">
        <v>844760.0</v>
      </c>
      <c r="E22" s="16">
        <v>867320.0</v>
      </c>
      <c r="F22" s="15">
        <v>1125190.0</v>
      </c>
      <c r="G22" s="17">
        <f t="shared" si="1"/>
        <v>2.670580993</v>
      </c>
      <c r="H22" s="17">
        <f t="shared" si="2"/>
        <v>890482.4831</v>
      </c>
      <c r="I22" s="18">
        <f t="shared" si="3"/>
        <v>129.7318176</v>
      </c>
      <c r="J22" s="19">
        <f t="shared" si="4"/>
        <v>1155239.11</v>
      </c>
      <c r="K22" s="20">
        <v>1169700.0</v>
      </c>
      <c r="L22" s="18">
        <f t="shared" si="5"/>
        <v>-1.236290478</v>
      </c>
    </row>
    <row r="23">
      <c r="A23" s="13" t="s">
        <v>379</v>
      </c>
      <c r="B23" s="13" t="s">
        <v>353</v>
      </c>
      <c r="C23" s="14" t="s">
        <v>354</v>
      </c>
      <c r="D23" s="15">
        <v>583590.0</v>
      </c>
      <c r="E23" s="16">
        <v>598490.0</v>
      </c>
      <c r="F23" s="15">
        <v>1001630.0</v>
      </c>
      <c r="G23" s="17">
        <f t="shared" si="1"/>
        <v>2.553162323</v>
      </c>
      <c r="H23" s="17">
        <f t="shared" si="2"/>
        <v>613770.4212</v>
      </c>
      <c r="I23" s="18">
        <f t="shared" si="3"/>
        <v>167.3595215</v>
      </c>
      <c r="J23" s="19">
        <f t="shared" si="4"/>
        <v>1027203.24</v>
      </c>
      <c r="K23" s="20">
        <v>1091710.0</v>
      </c>
      <c r="L23" s="18">
        <f t="shared" si="5"/>
        <v>-5.908781657</v>
      </c>
    </row>
    <row r="24">
      <c r="A24" s="13" t="s">
        <v>379</v>
      </c>
      <c r="B24" s="13" t="s">
        <v>355</v>
      </c>
      <c r="C24" s="14" t="s">
        <v>356</v>
      </c>
      <c r="D24" s="15">
        <v>7.487064E7</v>
      </c>
      <c r="E24" s="16">
        <v>7.975279E7</v>
      </c>
      <c r="F24" s="15">
        <v>1.4906101E8</v>
      </c>
      <c r="G24" s="17">
        <f t="shared" si="1"/>
        <v>6.520780375</v>
      </c>
      <c r="H24" s="17">
        <f t="shared" si="2"/>
        <v>84953294.28</v>
      </c>
      <c r="I24" s="18">
        <f t="shared" si="3"/>
        <v>186.9038187</v>
      </c>
      <c r="J24" s="19">
        <f t="shared" si="4"/>
        <v>158780951.1</v>
      </c>
      <c r="K24" s="20">
        <v>1.4971865E8</v>
      </c>
      <c r="L24" s="18">
        <f t="shared" si="5"/>
        <v>6.052887257</v>
      </c>
    </row>
    <row r="25">
      <c r="A25" s="13" t="s">
        <v>379</v>
      </c>
      <c r="B25" s="13" t="s">
        <v>357</v>
      </c>
      <c r="C25" s="14" t="s">
        <v>358</v>
      </c>
      <c r="D25" s="15">
        <v>1.1112694E8</v>
      </c>
      <c r="E25" s="16">
        <v>1.160654E8</v>
      </c>
      <c r="F25" s="15">
        <v>2.1570894E8</v>
      </c>
      <c r="G25" s="17">
        <f t="shared" si="1"/>
        <v>4.44398091</v>
      </c>
      <c r="H25" s="17">
        <f t="shared" si="2"/>
        <v>121223324.2</v>
      </c>
      <c r="I25" s="18">
        <f t="shared" si="3"/>
        <v>185.8512011</v>
      </c>
      <c r="J25" s="19">
        <f t="shared" si="4"/>
        <v>225295004.1</v>
      </c>
      <c r="K25" s="20">
        <v>2.3450012E8</v>
      </c>
      <c r="L25" s="18">
        <f t="shared" si="5"/>
        <v>-3.925420543</v>
      </c>
    </row>
    <row r="26">
      <c r="A26" s="13" t="s">
        <v>379</v>
      </c>
      <c r="B26" s="13" t="s">
        <v>359</v>
      </c>
      <c r="C26" s="14" t="s">
        <v>360</v>
      </c>
      <c r="D26" s="15">
        <v>2.767381E7</v>
      </c>
      <c r="E26" s="16">
        <v>2.945312E7</v>
      </c>
      <c r="F26" s="15">
        <v>5.764022E7</v>
      </c>
      <c r="G26" s="17">
        <f t="shared" si="1"/>
        <v>6.429580893</v>
      </c>
      <c r="H26" s="17">
        <f t="shared" si="2"/>
        <v>31346832.18</v>
      </c>
      <c r="I26" s="18">
        <f t="shared" si="3"/>
        <v>195.7015759</v>
      </c>
      <c r="J26" s="19">
        <f t="shared" si="4"/>
        <v>61346244.57</v>
      </c>
      <c r="K26" s="20">
        <v>6.401836E7</v>
      </c>
      <c r="L26" s="18">
        <f t="shared" si="5"/>
        <v>-4.173982946</v>
      </c>
    </row>
    <row r="27">
      <c r="A27" s="13" t="s">
        <v>379</v>
      </c>
      <c r="B27" s="13" t="s">
        <v>361</v>
      </c>
      <c r="C27" s="14" t="s">
        <v>362</v>
      </c>
      <c r="D27" s="15">
        <v>1.405457E7</v>
      </c>
      <c r="E27" s="16">
        <v>1.57412E7</v>
      </c>
      <c r="F27" s="15">
        <v>2.533531E7</v>
      </c>
      <c r="G27" s="17">
        <f t="shared" si="1"/>
        <v>12.00058059</v>
      </c>
      <c r="H27" s="17">
        <f t="shared" si="2"/>
        <v>17630235.39</v>
      </c>
      <c r="I27" s="18">
        <f t="shared" si="3"/>
        <v>160.9490382</v>
      </c>
      <c r="J27" s="19">
        <f t="shared" si="4"/>
        <v>28375694.3</v>
      </c>
      <c r="K27" s="20">
        <v>2.704307E7</v>
      </c>
      <c r="L27" s="18">
        <f t="shared" si="5"/>
        <v>4.927784809</v>
      </c>
    </row>
    <row r="28">
      <c r="A28" s="13" t="s">
        <v>379</v>
      </c>
      <c r="B28" s="13" t="s">
        <v>363</v>
      </c>
      <c r="C28" s="14" t="s">
        <v>364</v>
      </c>
      <c r="D28" s="15">
        <v>2.016673E7</v>
      </c>
      <c r="E28" s="16">
        <v>2.16617E7</v>
      </c>
      <c r="F28" s="15">
        <v>2.612496E7</v>
      </c>
      <c r="G28" s="17">
        <f t="shared" si="1"/>
        <v>7.4130511</v>
      </c>
      <c r="H28" s="17">
        <f t="shared" si="2"/>
        <v>23267492.89</v>
      </c>
      <c r="I28" s="18">
        <f t="shared" si="3"/>
        <v>120.6043847</v>
      </c>
      <c r="J28" s="19">
        <f t="shared" si="4"/>
        <v>28061616.63</v>
      </c>
      <c r="K28" s="20">
        <v>2.801856E7</v>
      </c>
      <c r="L28" s="18">
        <f t="shared" si="5"/>
        <v>0.1536718323</v>
      </c>
    </row>
    <row r="29">
      <c r="A29" s="13" t="s">
        <v>379</v>
      </c>
      <c r="B29" s="13" t="s">
        <v>365</v>
      </c>
      <c r="C29" s="14" t="s">
        <v>366</v>
      </c>
      <c r="D29" s="15">
        <v>1.754331E7</v>
      </c>
      <c r="E29" s="16">
        <v>1.822268E7</v>
      </c>
      <c r="F29" s="15">
        <v>3.162643E7</v>
      </c>
      <c r="G29" s="17">
        <f t="shared" si="1"/>
        <v>3.872530326</v>
      </c>
      <c r="H29" s="17">
        <f t="shared" si="2"/>
        <v>18928358.81</v>
      </c>
      <c r="I29" s="18">
        <f t="shared" si="3"/>
        <v>173.5553168</v>
      </c>
      <c r="J29" s="19">
        <f t="shared" si="4"/>
        <v>32851173.09</v>
      </c>
      <c r="K29" s="20">
        <v>3.306189E7</v>
      </c>
      <c r="L29" s="18">
        <f t="shared" si="5"/>
        <v>-0.6373407785</v>
      </c>
    </row>
    <row r="30">
      <c r="A30" s="13" t="s">
        <v>379</v>
      </c>
      <c r="B30" s="13" t="s">
        <v>367</v>
      </c>
      <c r="C30" s="14" t="s">
        <v>368</v>
      </c>
      <c r="D30" s="15">
        <v>2.559395E7</v>
      </c>
      <c r="E30" s="16">
        <v>2.69772E7</v>
      </c>
      <c r="F30" s="15">
        <v>5.220445E7</v>
      </c>
      <c r="G30" s="17">
        <f t="shared" si="1"/>
        <v>5.404597571</v>
      </c>
      <c r="H30" s="17">
        <f t="shared" si="2"/>
        <v>28435209.1</v>
      </c>
      <c r="I30" s="18">
        <f t="shared" si="3"/>
        <v>193.513226</v>
      </c>
      <c r="J30" s="19">
        <f t="shared" si="4"/>
        <v>55025890.44</v>
      </c>
      <c r="K30" s="20">
        <v>5.499454E7</v>
      </c>
      <c r="L30" s="18">
        <f t="shared" si="5"/>
        <v>0.05700645302</v>
      </c>
    </row>
    <row r="31">
      <c r="A31" s="13" t="s">
        <v>379</v>
      </c>
      <c r="B31" s="13" t="s">
        <v>369</v>
      </c>
      <c r="C31" s="14" t="s">
        <v>370</v>
      </c>
      <c r="D31" s="15">
        <v>5466880.0</v>
      </c>
      <c r="E31" s="16">
        <v>5747520.0</v>
      </c>
      <c r="F31" s="15">
        <v>1.201007E7</v>
      </c>
      <c r="G31" s="17">
        <f t="shared" si="1"/>
        <v>5.133458207</v>
      </c>
      <c r="H31" s="17">
        <f t="shared" si="2"/>
        <v>6042566.537</v>
      </c>
      <c r="I31" s="18">
        <f t="shared" si="3"/>
        <v>208.9609084</v>
      </c>
      <c r="J31" s="19">
        <f t="shared" si="4"/>
        <v>12626601.92</v>
      </c>
      <c r="K31" s="20">
        <v>1.352923E7</v>
      </c>
      <c r="L31" s="18">
        <f t="shared" si="5"/>
        <v>-6.671688455</v>
      </c>
    </row>
    <row r="32">
      <c r="A32" s="13" t="s">
        <v>379</v>
      </c>
      <c r="B32" s="13" t="s">
        <v>371</v>
      </c>
      <c r="C32" s="14" t="s">
        <v>372</v>
      </c>
      <c r="D32" s="15">
        <v>1.838796E7</v>
      </c>
      <c r="E32" s="16">
        <v>1.950672E7</v>
      </c>
      <c r="F32" s="15">
        <v>3.44637E7</v>
      </c>
      <c r="G32" s="17">
        <f t="shared" si="1"/>
        <v>6.084198573</v>
      </c>
      <c r="H32" s="17">
        <f t="shared" si="2"/>
        <v>20693547.58</v>
      </c>
      <c r="I32" s="18">
        <f t="shared" si="3"/>
        <v>176.6760378</v>
      </c>
      <c r="J32" s="19">
        <f t="shared" si="4"/>
        <v>36560539.94</v>
      </c>
      <c r="K32" s="20">
        <v>3.446827E7</v>
      </c>
      <c r="L32" s="18">
        <f t="shared" si="5"/>
        <v>6.070133325</v>
      </c>
    </row>
    <row r="33">
      <c r="A33" s="13" t="s">
        <v>379</v>
      </c>
      <c r="B33" s="13" t="s">
        <v>373</v>
      </c>
      <c r="C33" s="14" t="s">
        <v>374</v>
      </c>
      <c r="D33" s="15">
        <v>1.290331E7</v>
      </c>
      <c r="E33" s="16">
        <v>1.363423E7</v>
      </c>
      <c r="F33" s="15">
        <v>1.97842E7</v>
      </c>
      <c r="G33" s="17">
        <f t="shared" si="1"/>
        <v>5.664593039</v>
      </c>
      <c r="H33" s="17">
        <f t="shared" si="2"/>
        <v>14406553.64</v>
      </c>
      <c r="I33" s="18">
        <f t="shared" si="3"/>
        <v>145.1068377</v>
      </c>
      <c r="J33" s="19">
        <f t="shared" si="4"/>
        <v>20904894.42</v>
      </c>
      <c r="K33" s="20">
        <v>2.097365E7</v>
      </c>
      <c r="L33" s="18">
        <f t="shared" si="5"/>
        <v>-0.3278188778</v>
      </c>
    </row>
    <row r="34">
      <c r="A34" s="13" t="s">
        <v>379</v>
      </c>
      <c r="B34" s="13" t="s">
        <v>375</v>
      </c>
      <c r="C34" s="14" t="s">
        <v>376</v>
      </c>
      <c r="D34" s="15">
        <v>5680820.0</v>
      </c>
      <c r="E34" s="16">
        <v>5972610.0</v>
      </c>
      <c r="F34" s="15">
        <v>1.066857E7</v>
      </c>
      <c r="G34" s="17">
        <f t="shared" si="1"/>
        <v>5.136406364</v>
      </c>
      <c r="H34" s="17">
        <f t="shared" si="2"/>
        <v>6279387.52</v>
      </c>
      <c r="I34" s="18">
        <f t="shared" si="3"/>
        <v>178.6249228</v>
      </c>
      <c r="J34" s="19">
        <f t="shared" si="4"/>
        <v>11216551.11</v>
      </c>
      <c r="K34" s="20">
        <v>1.190946E7</v>
      </c>
      <c r="L34" s="18">
        <f t="shared" si="5"/>
        <v>-5.818138619</v>
      </c>
    </row>
    <row r="35">
      <c r="A35" s="13" t="s">
        <v>379</v>
      </c>
      <c r="B35" s="13" t="s">
        <v>377</v>
      </c>
      <c r="C35" s="14" t="s">
        <v>378</v>
      </c>
      <c r="D35" s="15">
        <v>3265840.0</v>
      </c>
      <c r="E35" s="16">
        <v>3479390.0</v>
      </c>
      <c r="F35" s="15">
        <v>6505720.0</v>
      </c>
      <c r="G35" s="17">
        <f t="shared" si="1"/>
        <v>6.53889964</v>
      </c>
      <c r="H35" s="17">
        <f t="shared" si="2"/>
        <v>3706903.82</v>
      </c>
      <c r="I35" s="18">
        <f t="shared" si="3"/>
        <v>186.978752</v>
      </c>
      <c r="J35" s="19">
        <f t="shared" si="4"/>
        <v>6931122.502</v>
      </c>
      <c r="K35" s="20">
        <v>6739200.0</v>
      </c>
      <c r="L35" s="18">
        <f t="shared" si="5"/>
        <v>2.847852885</v>
      </c>
    </row>
    <row r="36">
      <c r="A36" s="13" t="s">
        <v>381</v>
      </c>
      <c r="B36" s="13" t="s">
        <v>63</v>
      </c>
      <c r="C36" s="14" t="s">
        <v>66</v>
      </c>
      <c r="D36" s="15">
        <v>4.161283E7</v>
      </c>
      <c r="E36" s="16">
        <v>4.246774E7</v>
      </c>
      <c r="F36" s="15">
        <v>7.116199E7</v>
      </c>
      <c r="G36" s="17">
        <f t="shared" si="1"/>
        <v>2.054438499</v>
      </c>
      <c r="H36" s="17">
        <f t="shared" si="2"/>
        <v>43340213.6</v>
      </c>
      <c r="I36" s="18">
        <f t="shared" si="3"/>
        <v>167.5671698</v>
      </c>
      <c r="J36" s="19">
        <f t="shared" si="4"/>
        <v>72623969.32</v>
      </c>
      <c r="K36" s="20">
        <v>7.79114E7</v>
      </c>
      <c r="L36" s="18">
        <f t="shared" si="5"/>
        <v>-6.786466012</v>
      </c>
    </row>
    <row r="37">
      <c r="A37" s="13" t="s">
        <v>381</v>
      </c>
      <c r="B37" s="13" t="s">
        <v>347</v>
      </c>
      <c r="C37" s="14" t="s">
        <v>348</v>
      </c>
      <c r="D37" s="15">
        <v>7365810.0</v>
      </c>
      <c r="E37" s="16">
        <v>7658030.0</v>
      </c>
      <c r="F37" s="15">
        <v>1.290589E7</v>
      </c>
      <c r="G37" s="17">
        <f t="shared" si="1"/>
        <v>3.96724868</v>
      </c>
      <c r="H37" s="17">
        <f t="shared" si="2"/>
        <v>7961843.094</v>
      </c>
      <c r="I37" s="18">
        <f t="shared" si="3"/>
        <v>168.5275456</v>
      </c>
      <c r="J37" s="19">
        <f t="shared" si="4"/>
        <v>13417898.75</v>
      </c>
      <c r="K37" s="20">
        <v>1.328154E7</v>
      </c>
      <c r="L37" s="18">
        <f t="shared" si="5"/>
        <v>1.026678764</v>
      </c>
    </row>
    <row r="38">
      <c r="A38" s="13" t="s">
        <v>381</v>
      </c>
      <c r="B38" s="13" t="s">
        <v>349</v>
      </c>
      <c r="C38" s="14" t="s">
        <v>350</v>
      </c>
      <c r="D38" s="15">
        <v>1.744038E7</v>
      </c>
      <c r="E38" s="16">
        <v>1.789404E7</v>
      </c>
      <c r="F38" s="15">
        <v>2.787322E7</v>
      </c>
      <c r="G38" s="17">
        <f t="shared" si="1"/>
        <v>2.60120479</v>
      </c>
      <c r="H38" s="17">
        <f t="shared" si="2"/>
        <v>18359500.63</v>
      </c>
      <c r="I38" s="18">
        <f t="shared" si="3"/>
        <v>155.7681776</v>
      </c>
      <c r="J38" s="19">
        <f t="shared" si="4"/>
        <v>28598259.53</v>
      </c>
      <c r="K38" s="20">
        <v>3.011467E7</v>
      </c>
      <c r="L38" s="18">
        <f t="shared" si="5"/>
        <v>-5.035454369</v>
      </c>
    </row>
    <row r="39">
      <c r="A39" s="13" t="s">
        <v>381</v>
      </c>
      <c r="B39" s="13" t="s">
        <v>351</v>
      </c>
      <c r="C39" s="14" t="s">
        <v>352</v>
      </c>
      <c r="D39" s="15">
        <v>188530.0</v>
      </c>
      <c r="E39" s="16">
        <v>196820.0</v>
      </c>
      <c r="F39" s="15">
        <v>301450.0</v>
      </c>
      <c r="G39" s="17">
        <f t="shared" si="1"/>
        <v>4.397178168</v>
      </c>
      <c r="H39" s="17">
        <f t="shared" si="2"/>
        <v>205474.5261</v>
      </c>
      <c r="I39" s="18">
        <f t="shared" si="3"/>
        <v>153.1602479</v>
      </c>
      <c r="J39" s="19">
        <f t="shared" si="4"/>
        <v>314705.2936</v>
      </c>
      <c r="K39" s="20">
        <v>303680.0</v>
      </c>
      <c r="L39" s="18">
        <f t="shared" si="5"/>
        <v>3.630562957</v>
      </c>
    </row>
    <row r="40">
      <c r="A40" s="13" t="s">
        <v>381</v>
      </c>
      <c r="B40" s="13" t="s">
        <v>353</v>
      </c>
      <c r="C40" s="14" t="s">
        <v>354</v>
      </c>
      <c r="D40" s="15">
        <v>188350.0</v>
      </c>
      <c r="E40" s="16">
        <v>194800.0</v>
      </c>
      <c r="F40" s="15">
        <v>289180.0</v>
      </c>
      <c r="G40" s="17">
        <f t="shared" si="1"/>
        <v>3.42447571</v>
      </c>
      <c r="H40" s="17">
        <f t="shared" si="2"/>
        <v>201470.8787</v>
      </c>
      <c r="I40" s="18">
        <f t="shared" si="3"/>
        <v>148.449692</v>
      </c>
      <c r="J40" s="19">
        <f t="shared" si="4"/>
        <v>299082.8989</v>
      </c>
      <c r="K40" s="20">
        <v>306340.0</v>
      </c>
      <c r="L40" s="18">
        <f t="shared" si="5"/>
        <v>-2.368969492</v>
      </c>
    </row>
    <row r="41">
      <c r="A41" s="13" t="s">
        <v>381</v>
      </c>
      <c r="B41" s="13" t="s">
        <v>355</v>
      </c>
      <c r="C41" s="14" t="s">
        <v>356</v>
      </c>
      <c r="D41" s="15">
        <v>1.758038E7</v>
      </c>
      <c r="E41" s="16">
        <v>1.838465E7</v>
      </c>
      <c r="F41" s="15">
        <v>3.356298E7</v>
      </c>
      <c r="G41" s="17">
        <f t="shared" si="1"/>
        <v>4.574815789</v>
      </c>
      <c r="H41" s="17">
        <f t="shared" si="2"/>
        <v>19225713.87</v>
      </c>
      <c r="I41" s="18">
        <f t="shared" si="3"/>
        <v>182.5597985</v>
      </c>
      <c r="J41" s="19">
        <f t="shared" si="4"/>
        <v>35098424.51</v>
      </c>
      <c r="K41" s="20">
        <v>3.3340480000000004E7</v>
      </c>
      <c r="L41" s="18">
        <f t="shared" si="5"/>
        <v>5.272703057</v>
      </c>
    </row>
    <row r="42">
      <c r="A42" s="13" t="s">
        <v>381</v>
      </c>
      <c r="B42" s="13" t="s">
        <v>357</v>
      </c>
      <c r="C42" s="14" t="s">
        <v>358</v>
      </c>
      <c r="D42" s="15">
        <v>3.19875E7</v>
      </c>
      <c r="E42" s="16">
        <v>3.3399699999999996E7</v>
      </c>
      <c r="F42" s="15">
        <v>5.497765E7</v>
      </c>
      <c r="G42" s="17">
        <f t="shared" si="1"/>
        <v>4.414849551</v>
      </c>
      <c r="H42" s="17">
        <f t="shared" si="2"/>
        <v>34874246.51</v>
      </c>
      <c r="I42" s="18">
        <f t="shared" si="3"/>
        <v>164.605221</v>
      </c>
      <c r="J42" s="19">
        <f t="shared" si="4"/>
        <v>57404830.53</v>
      </c>
      <c r="K42" s="20">
        <v>5.863218E7</v>
      </c>
      <c r="L42" s="18">
        <f t="shared" si="5"/>
        <v>-2.093303483</v>
      </c>
    </row>
    <row r="43">
      <c r="A43" s="13" t="s">
        <v>381</v>
      </c>
      <c r="B43" s="13" t="s">
        <v>359</v>
      </c>
      <c r="C43" s="14" t="s">
        <v>360</v>
      </c>
      <c r="D43" s="15">
        <v>2.01284E7</v>
      </c>
      <c r="E43" s="16">
        <v>2.124829E7</v>
      </c>
      <c r="F43" s="15">
        <v>3.700468E7</v>
      </c>
      <c r="G43" s="17">
        <f t="shared" si="1"/>
        <v>5.563730848</v>
      </c>
      <c r="H43" s="17">
        <f t="shared" si="2"/>
        <v>22430487.67</v>
      </c>
      <c r="I43" s="18">
        <f t="shared" si="3"/>
        <v>174.1536848</v>
      </c>
      <c r="J43" s="19">
        <f t="shared" si="4"/>
        <v>39063520.8</v>
      </c>
      <c r="K43" s="20">
        <v>3.760046E7</v>
      </c>
      <c r="L43" s="18">
        <f t="shared" si="5"/>
        <v>3.891071536</v>
      </c>
    </row>
    <row r="44">
      <c r="A44" s="13" t="s">
        <v>381</v>
      </c>
      <c r="B44" s="13" t="s">
        <v>361</v>
      </c>
      <c r="C44" s="14" t="s">
        <v>362</v>
      </c>
      <c r="D44" s="15">
        <v>2194620.0</v>
      </c>
      <c r="E44" s="16">
        <v>2312370.0</v>
      </c>
      <c r="F44" s="15">
        <v>4573550.0</v>
      </c>
      <c r="G44" s="17">
        <f t="shared" si="1"/>
        <v>5.365393553</v>
      </c>
      <c r="H44" s="17">
        <f t="shared" si="2"/>
        <v>2436437.751</v>
      </c>
      <c r="I44" s="18">
        <f t="shared" si="3"/>
        <v>197.7862539</v>
      </c>
      <c r="J44" s="19">
        <f t="shared" si="4"/>
        <v>4818938.957</v>
      </c>
      <c r="K44" s="20">
        <v>4815710.0</v>
      </c>
      <c r="L44" s="18">
        <f t="shared" si="5"/>
        <v>0.0670504839</v>
      </c>
    </row>
    <row r="45">
      <c r="A45" s="13" t="s">
        <v>381</v>
      </c>
      <c r="B45" s="13" t="s">
        <v>363</v>
      </c>
      <c r="C45" s="14" t="s">
        <v>364</v>
      </c>
      <c r="D45" s="15">
        <v>1.711763E7</v>
      </c>
      <c r="E45" s="16">
        <v>1.805093E7</v>
      </c>
      <c r="F45" s="15">
        <v>2.219111E7</v>
      </c>
      <c r="G45" s="17">
        <f t="shared" si="1"/>
        <v>5.452273475</v>
      </c>
      <c r="H45" s="17">
        <f t="shared" si="2"/>
        <v>19035116.07</v>
      </c>
      <c r="I45" s="18">
        <f t="shared" si="3"/>
        <v>122.9361036</v>
      </c>
      <c r="J45" s="19">
        <f t="shared" si="4"/>
        <v>23401030</v>
      </c>
      <c r="K45" s="20">
        <v>2.328701E7</v>
      </c>
      <c r="L45" s="18">
        <f t="shared" si="5"/>
        <v>0.4896292151</v>
      </c>
    </row>
    <row r="46">
      <c r="A46" s="13" t="s">
        <v>381</v>
      </c>
      <c r="B46" s="13" t="s">
        <v>365</v>
      </c>
      <c r="C46" s="14" t="s">
        <v>366</v>
      </c>
      <c r="D46" s="15">
        <v>5635500.0</v>
      </c>
      <c r="E46" s="16">
        <v>5976830.0</v>
      </c>
      <c r="F46" s="15">
        <v>1.025438E7</v>
      </c>
      <c r="G46" s="17">
        <f t="shared" si="1"/>
        <v>6.056782894</v>
      </c>
      <c r="H46" s="17">
        <f t="shared" si="2"/>
        <v>6338833.617</v>
      </c>
      <c r="I46" s="18">
        <f t="shared" si="3"/>
        <v>171.5688751</v>
      </c>
      <c r="J46" s="19">
        <f t="shared" si="4"/>
        <v>10875465.53</v>
      </c>
      <c r="K46" s="20">
        <v>1.114301E7</v>
      </c>
      <c r="L46" s="18">
        <f t="shared" si="5"/>
        <v>-2.401007145</v>
      </c>
    </row>
    <row r="47">
      <c r="A47" s="13" t="s">
        <v>381</v>
      </c>
      <c r="B47" s="13" t="s">
        <v>367</v>
      </c>
      <c r="C47" s="14" t="s">
        <v>368</v>
      </c>
      <c r="D47" s="15">
        <v>3903010.0</v>
      </c>
      <c r="E47" s="16">
        <v>4132189.9999999995</v>
      </c>
      <c r="F47" s="15">
        <v>6964580.0</v>
      </c>
      <c r="G47" s="17">
        <f t="shared" si="1"/>
        <v>5.871878371</v>
      </c>
      <c r="H47" s="17">
        <f t="shared" si="2"/>
        <v>4374827.171</v>
      </c>
      <c r="I47" s="18">
        <f t="shared" si="3"/>
        <v>168.5445248</v>
      </c>
      <c r="J47" s="19">
        <f t="shared" si="4"/>
        <v>7373531.667</v>
      </c>
      <c r="K47" s="20">
        <v>7473570.0</v>
      </c>
      <c r="L47" s="18">
        <f t="shared" si="5"/>
        <v>-1.338561536</v>
      </c>
    </row>
    <row r="48">
      <c r="A48" s="13" t="s">
        <v>381</v>
      </c>
      <c r="B48" s="13" t="s">
        <v>369</v>
      </c>
      <c r="C48" s="14" t="s">
        <v>370</v>
      </c>
      <c r="D48" s="15">
        <v>854690.0</v>
      </c>
      <c r="E48" s="16">
        <v>895040.0</v>
      </c>
      <c r="F48" s="15">
        <v>1431090.0</v>
      </c>
      <c r="G48" s="17">
        <f t="shared" si="1"/>
        <v>4.721009957</v>
      </c>
      <c r="H48" s="17">
        <f t="shared" si="2"/>
        <v>937294.9275</v>
      </c>
      <c r="I48" s="18">
        <f t="shared" si="3"/>
        <v>159.891178</v>
      </c>
      <c r="J48" s="19">
        <f t="shared" si="4"/>
        <v>1498651.901</v>
      </c>
      <c r="K48" s="20">
        <v>1501910.0</v>
      </c>
      <c r="L48" s="18">
        <f t="shared" si="5"/>
        <v>-0.2169303493</v>
      </c>
    </row>
    <row r="49">
      <c r="A49" s="13" t="s">
        <v>381</v>
      </c>
      <c r="B49" s="13" t="s">
        <v>371</v>
      </c>
      <c r="C49" s="14" t="s">
        <v>372</v>
      </c>
      <c r="D49" s="15">
        <v>1.016241E7</v>
      </c>
      <c r="E49" s="16">
        <v>1.120219E7</v>
      </c>
      <c r="F49" s="15">
        <v>2.202511E7</v>
      </c>
      <c r="G49" s="17">
        <f t="shared" si="1"/>
        <v>10.23162813</v>
      </c>
      <c r="H49" s="17">
        <f t="shared" si="2"/>
        <v>12348356.42</v>
      </c>
      <c r="I49" s="18">
        <f t="shared" si="3"/>
        <v>196.6143227</v>
      </c>
      <c r="J49" s="19">
        <f t="shared" si="4"/>
        <v>24278637.35</v>
      </c>
      <c r="K49" s="20">
        <v>2.248561E7</v>
      </c>
      <c r="L49" s="18">
        <f t="shared" si="5"/>
        <v>7.974110331</v>
      </c>
    </row>
    <row r="50">
      <c r="A50" s="13" t="s">
        <v>381</v>
      </c>
      <c r="B50" s="13" t="s">
        <v>373</v>
      </c>
      <c r="C50" s="14" t="s">
        <v>374</v>
      </c>
      <c r="D50" s="15">
        <v>7888880.0</v>
      </c>
      <c r="E50" s="16">
        <v>8143870.0</v>
      </c>
      <c r="F50" s="15">
        <v>1.472674E7</v>
      </c>
      <c r="G50" s="17">
        <f t="shared" si="1"/>
        <v>3.232271248</v>
      </c>
      <c r="H50" s="17">
        <f t="shared" si="2"/>
        <v>8407101.968</v>
      </c>
      <c r="I50" s="18">
        <f t="shared" si="3"/>
        <v>180.8322088</v>
      </c>
      <c r="J50" s="19">
        <f t="shared" si="4"/>
        <v>15202748.18</v>
      </c>
      <c r="K50" s="20">
        <v>1.584854E7</v>
      </c>
      <c r="L50" s="18">
        <f t="shared" si="5"/>
        <v>-4.074771665</v>
      </c>
    </row>
    <row r="51">
      <c r="A51" s="13" t="s">
        <v>381</v>
      </c>
      <c r="B51" s="13" t="s">
        <v>375</v>
      </c>
      <c r="C51" s="14" t="s">
        <v>376</v>
      </c>
      <c r="D51" s="15">
        <v>3212560.0</v>
      </c>
      <c r="E51" s="16">
        <v>3392380.0</v>
      </c>
      <c r="F51" s="15">
        <v>5718210.0</v>
      </c>
      <c r="G51" s="17">
        <f t="shared" si="1"/>
        <v>5.597405185</v>
      </c>
      <c r="H51" s="17">
        <f t="shared" si="2"/>
        <v>3582265.254</v>
      </c>
      <c r="I51" s="18">
        <f t="shared" si="3"/>
        <v>168.5604207</v>
      </c>
      <c r="J51" s="19">
        <f t="shared" si="4"/>
        <v>6038281.383</v>
      </c>
      <c r="K51" s="20">
        <v>6284110.0</v>
      </c>
      <c r="L51" s="18">
        <f t="shared" si="5"/>
        <v>-3.911908241</v>
      </c>
    </row>
    <row r="52">
      <c r="A52" s="13" t="s">
        <v>381</v>
      </c>
      <c r="B52" s="13" t="s">
        <v>377</v>
      </c>
      <c r="C52" s="14" t="s">
        <v>378</v>
      </c>
      <c r="D52" s="15">
        <v>3607850.0</v>
      </c>
      <c r="E52" s="16">
        <v>3870090.0</v>
      </c>
      <c r="F52" s="15">
        <v>7184020.0</v>
      </c>
      <c r="G52" s="17">
        <f t="shared" si="1"/>
        <v>7.26859487</v>
      </c>
      <c r="H52" s="17">
        <f t="shared" si="2"/>
        <v>4151391.163</v>
      </c>
      <c r="I52" s="18">
        <f t="shared" si="3"/>
        <v>185.6292748</v>
      </c>
      <c r="J52" s="19">
        <f t="shared" si="4"/>
        <v>7706197.309</v>
      </c>
      <c r="K52" s="20">
        <v>7859160.0</v>
      </c>
      <c r="L52" s="18">
        <f t="shared" si="5"/>
        <v>-1.946298216</v>
      </c>
    </row>
    <row r="53">
      <c r="A53" s="13" t="s">
        <v>390</v>
      </c>
      <c r="B53" s="13" t="s">
        <v>63</v>
      </c>
      <c r="C53" s="14" t="s">
        <v>66</v>
      </c>
      <c r="D53" s="15">
        <v>1.4936111E8</v>
      </c>
      <c r="E53" s="16">
        <v>1.5269839E8</v>
      </c>
      <c r="F53" s="15">
        <v>3.016259E8</v>
      </c>
      <c r="G53" s="17">
        <f t="shared" si="1"/>
        <v>2.234370111</v>
      </c>
      <c r="H53" s="17">
        <f t="shared" si="2"/>
        <v>156110237.2</v>
      </c>
      <c r="I53" s="18">
        <f t="shared" si="3"/>
        <v>197.5305044</v>
      </c>
      <c r="J53" s="19">
        <f t="shared" si="4"/>
        <v>308365339</v>
      </c>
      <c r="K53" s="20">
        <v>3.3869989E8</v>
      </c>
      <c r="L53" s="18">
        <f t="shared" si="5"/>
        <v>-8.956173869</v>
      </c>
    </row>
    <row r="54">
      <c r="A54" s="13" t="s">
        <v>390</v>
      </c>
      <c r="B54" s="13" t="s">
        <v>347</v>
      </c>
      <c r="C54" s="14" t="s">
        <v>348</v>
      </c>
      <c r="D54" s="15">
        <v>8.073022E7</v>
      </c>
      <c r="E54" s="16">
        <v>8.102006E7</v>
      </c>
      <c r="F54" s="15">
        <v>2.0575844E8</v>
      </c>
      <c r="G54" s="17">
        <f t="shared" si="1"/>
        <v>0.3590229285</v>
      </c>
      <c r="H54" s="17">
        <f t="shared" si="2"/>
        <v>81310940.59</v>
      </c>
      <c r="I54" s="18">
        <f t="shared" si="3"/>
        <v>253.9598712</v>
      </c>
      <c r="J54" s="19">
        <f t="shared" si="4"/>
        <v>206497160</v>
      </c>
      <c r="K54" s="20">
        <v>1.9337054E8</v>
      </c>
      <c r="L54" s="18">
        <f t="shared" si="5"/>
        <v>6.788324621</v>
      </c>
    </row>
    <row r="55">
      <c r="A55" s="13" t="s">
        <v>390</v>
      </c>
      <c r="B55" s="13" t="s">
        <v>349</v>
      </c>
      <c r="C55" s="14" t="s">
        <v>350</v>
      </c>
      <c r="D55" s="15">
        <v>1.7629005E8</v>
      </c>
      <c r="E55" s="16">
        <v>1.8285622E8</v>
      </c>
      <c r="F55" s="15">
        <v>3.1281774E8</v>
      </c>
      <c r="G55" s="17">
        <f t="shared" si="1"/>
        <v>3.72464016</v>
      </c>
      <c r="H55" s="17">
        <f t="shared" si="2"/>
        <v>189666956.2</v>
      </c>
      <c r="I55" s="18">
        <f t="shared" si="3"/>
        <v>171.0730649</v>
      </c>
      <c r="J55" s="19">
        <f t="shared" si="4"/>
        <v>324469075.2</v>
      </c>
      <c r="K55" s="20">
        <v>3.5836154E8</v>
      </c>
      <c r="L55" s="18">
        <f t="shared" si="5"/>
        <v>-9.457617809</v>
      </c>
    </row>
    <row r="56">
      <c r="A56" s="13" t="s">
        <v>390</v>
      </c>
      <c r="B56" s="13" t="s">
        <v>351</v>
      </c>
      <c r="C56" s="14" t="s">
        <v>352</v>
      </c>
      <c r="D56" s="15">
        <v>447200.0</v>
      </c>
      <c r="E56" s="16">
        <v>478450.0</v>
      </c>
      <c r="F56" s="15">
        <v>888430.0</v>
      </c>
      <c r="G56" s="17">
        <f t="shared" si="1"/>
        <v>6.987924866</v>
      </c>
      <c r="H56" s="17">
        <f t="shared" si="2"/>
        <v>511883.7265</v>
      </c>
      <c r="I56" s="18">
        <f t="shared" si="3"/>
        <v>185.6892047</v>
      </c>
      <c r="J56" s="19">
        <f t="shared" si="4"/>
        <v>950512.8209</v>
      </c>
      <c r="K56" s="20">
        <v>935910.0</v>
      </c>
      <c r="L56" s="18">
        <f t="shared" si="5"/>
        <v>1.560280463</v>
      </c>
    </row>
    <row r="57">
      <c r="A57" s="13" t="s">
        <v>390</v>
      </c>
      <c r="B57" s="13" t="s">
        <v>353</v>
      </c>
      <c r="C57" s="14" t="s">
        <v>354</v>
      </c>
      <c r="D57" s="15">
        <v>77470.0</v>
      </c>
      <c r="E57" s="16">
        <v>80340.0</v>
      </c>
      <c r="F57" s="15">
        <v>108830.0</v>
      </c>
      <c r="G57" s="17">
        <f t="shared" si="1"/>
        <v>3.704659868</v>
      </c>
      <c r="H57" s="17">
        <f t="shared" si="2"/>
        <v>83316.32374</v>
      </c>
      <c r="I57" s="18">
        <f t="shared" si="3"/>
        <v>135.4617874</v>
      </c>
      <c r="J57" s="19">
        <f t="shared" si="4"/>
        <v>112861.7813</v>
      </c>
      <c r="K57" s="20">
        <v>119530.0</v>
      </c>
      <c r="L57" s="18">
        <f t="shared" si="5"/>
        <v>-5.578698791</v>
      </c>
    </row>
    <row r="58">
      <c r="A58" s="13" t="s">
        <v>390</v>
      </c>
      <c r="B58" s="13" t="s">
        <v>355</v>
      </c>
      <c r="C58" s="14" t="s">
        <v>356</v>
      </c>
      <c r="D58" s="15">
        <v>4.875679E7</v>
      </c>
      <c r="E58" s="16">
        <v>5.193754E7</v>
      </c>
      <c r="F58" s="15">
        <v>1.066572E8</v>
      </c>
      <c r="G58" s="17">
        <f t="shared" si="1"/>
        <v>6.523706749</v>
      </c>
      <c r="H58" s="17">
        <f t="shared" si="2"/>
        <v>55325792.8</v>
      </c>
      <c r="I58" s="18">
        <f t="shared" si="3"/>
        <v>205.3566649</v>
      </c>
      <c r="J58" s="19">
        <f t="shared" si="4"/>
        <v>113615203</v>
      </c>
      <c r="K58" s="20">
        <v>1.1323381E8</v>
      </c>
      <c r="L58" s="18">
        <f t="shared" si="5"/>
        <v>0.3368189722</v>
      </c>
    </row>
    <row r="59">
      <c r="A59" s="13" t="s">
        <v>390</v>
      </c>
      <c r="B59" s="13" t="s">
        <v>357</v>
      </c>
      <c r="C59" s="14" t="s">
        <v>358</v>
      </c>
      <c r="D59" s="15">
        <v>5.563627E7</v>
      </c>
      <c r="E59" s="16">
        <v>5.900287E7</v>
      </c>
      <c r="F59" s="15">
        <v>1.1428825E8</v>
      </c>
      <c r="G59" s="17">
        <f t="shared" si="1"/>
        <v>6.051088615</v>
      </c>
      <c r="H59" s="17">
        <f t="shared" si="2"/>
        <v>62573185.95</v>
      </c>
      <c r="I59" s="18">
        <f t="shared" si="3"/>
        <v>193.699476</v>
      </c>
      <c r="J59" s="19">
        <f t="shared" si="4"/>
        <v>121203933.3</v>
      </c>
      <c r="K59" s="20">
        <v>1.2182511E8</v>
      </c>
      <c r="L59" s="18">
        <f t="shared" si="5"/>
        <v>-0.5098921852</v>
      </c>
    </row>
    <row r="60">
      <c r="A60" s="13" t="s">
        <v>390</v>
      </c>
      <c r="B60" s="13" t="s">
        <v>359</v>
      </c>
      <c r="C60" s="14" t="s">
        <v>360</v>
      </c>
      <c r="D60" s="15">
        <v>4300020.0</v>
      </c>
      <c r="E60" s="16">
        <v>4581540.0</v>
      </c>
      <c r="F60" s="15">
        <v>9502720.0</v>
      </c>
      <c r="G60" s="17">
        <f t="shared" si="1"/>
        <v>6.546946293</v>
      </c>
      <c r="H60" s="17">
        <f t="shared" si="2"/>
        <v>4881490.963</v>
      </c>
      <c r="I60" s="18">
        <f t="shared" si="3"/>
        <v>207.4132279</v>
      </c>
      <c r="J60" s="19">
        <f t="shared" si="4"/>
        <v>10124857.97</v>
      </c>
      <c r="K60" s="20">
        <v>9918530.0</v>
      </c>
      <c r="L60" s="18">
        <f t="shared" si="5"/>
        <v>2.08022736</v>
      </c>
    </row>
    <row r="61">
      <c r="A61" s="13" t="s">
        <v>390</v>
      </c>
      <c r="B61" s="13" t="s">
        <v>361</v>
      </c>
      <c r="C61" s="14" t="s">
        <v>362</v>
      </c>
      <c r="D61" s="15">
        <v>2498890.0</v>
      </c>
      <c r="E61" s="16">
        <v>2766170.0</v>
      </c>
      <c r="F61" s="15">
        <v>5495390.0</v>
      </c>
      <c r="G61" s="17">
        <f t="shared" si="1"/>
        <v>10.695949</v>
      </c>
      <c r="H61" s="17">
        <f t="shared" si="2"/>
        <v>3062038.132</v>
      </c>
      <c r="I61" s="18">
        <f t="shared" si="3"/>
        <v>198.664218</v>
      </c>
      <c r="J61" s="19">
        <f t="shared" si="4"/>
        <v>6083174.112</v>
      </c>
      <c r="K61" s="20">
        <v>5818810.0</v>
      </c>
      <c r="L61" s="18">
        <f t="shared" si="5"/>
        <v>4.543267641</v>
      </c>
    </row>
    <row r="62">
      <c r="A62" s="13" t="s">
        <v>390</v>
      </c>
      <c r="B62" s="13" t="s">
        <v>363</v>
      </c>
      <c r="C62" s="14" t="s">
        <v>364</v>
      </c>
      <c r="D62" s="15">
        <v>6561680.0</v>
      </c>
      <c r="E62" s="16">
        <v>7057790.0</v>
      </c>
      <c r="F62" s="15">
        <v>8836770.0</v>
      </c>
      <c r="G62" s="17">
        <f t="shared" si="1"/>
        <v>7.560716158</v>
      </c>
      <c r="H62" s="17">
        <f t="shared" si="2"/>
        <v>7591409.469</v>
      </c>
      <c r="I62" s="18">
        <f t="shared" si="3"/>
        <v>125.2059072</v>
      </c>
      <c r="J62" s="19">
        <f t="shared" si="4"/>
        <v>9504893.097</v>
      </c>
      <c r="K62" s="20">
        <v>9350870.0</v>
      </c>
      <c r="L62" s="18">
        <f t="shared" si="5"/>
        <v>1.647152588</v>
      </c>
    </row>
    <row r="63">
      <c r="A63" s="13" t="s">
        <v>390</v>
      </c>
      <c r="B63" s="13" t="s">
        <v>365</v>
      </c>
      <c r="C63" s="14" t="s">
        <v>366</v>
      </c>
      <c r="D63" s="15">
        <v>5491870.0</v>
      </c>
      <c r="E63" s="16">
        <v>5563130.0</v>
      </c>
      <c r="F63" s="15">
        <v>9924390.0</v>
      </c>
      <c r="G63" s="17">
        <f t="shared" si="1"/>
        <v>1.297554385</v>
      </c>
      <c r="H63" s="17">
        <f t="shared" si="2"/>
        <v>5635314.637</v>
      </c>
      <c r="I63" s="18">
        <f t="shared" si="3"/>
        <v>178.3957952</v>
      </c>
      <c r="J63" s="19">
        <f t="shared" si="4"/>
        <v>10053164.36</v>
      </c>
      <c r="K63" s="20">
        <v>1.061006E7</v>
      </c>
      <c r="L63" s="18">
        <f t="shared" si="5"/>
        <v>-5.248751113</v>
      </c>
    </row>
    <row r="64">
      <c r="A64" s="13" t="s">
        <v>390</v>
      </c>
      <c r="B64" s="13" t="s">
        <v>367</v>
      </c>
      <c r="C64" s="14" t="s">
        <v>368</v>
      </c>
      <c r="D64" s="15">
        <v>5307410.0</v>
      </c>
      <c r="E64" s="16">
        <v>5511750.0</v>
      </c>
      <c r="F64" s="15">
        <v>9027070.0</v>
      </c>
      <c r="G64" s="17">
        <f t="shared" si="1"/>
        <v>3.850088838</v>
      </c>
      <c r="H64" s="17">
        <f t="shared" si="2"/>
        <v>5723957.272</v>
      </c>
      <c r="I64" s="18">
        <f t="shared" si="3"/>
        <v>163.7786547</v>
      </c>
      <c r="J64" s="19">
        <f t="shared" si="4"/>
        <v>9374620.214</v>
      </c>
      <c r="K64" s="20">
        <v>9490800.0</v>
      </c>
      <c r="L64" s="18">
        <f t="shared" si="5"/>
        <v>-1.224130585</v>
      </c>
    </row>
    <row r="65">
      <c r="A65" s="13" t="s">
        <v>390</v>
      </c>
      <c r="B65" s="13" t="s">
        <v>369</v>
      </c>
      <c r="C65" s="14" t="s">
        <v>370</v>
      </c>
      <c r="D65" s="15">
        <v>27580.0</v>
      </c>
      <c r="E65" s="16">
        <v>29880.0</v>
      </c>
      <c r="F65" s="15">
        <v>51490.0</v>
      </c>
      <c r="G65" s="17">
        <f t="shared" si="1"/>
        <v>8.33937636</v>
      </c>
      <c r="H65" s="17">
        <f t="shared" si="2"/>
        <v>32371.80566</v>
      </c>
      <c r="I65" s="18">
        <f t="shared" si="3"/>
        <v>172.3226238</v>
      </c>
      <c r="J65" s="19">
        <f t="shared" si="4"/>
        <v>55783.94489</v>
      </c>
      <c r="K65" s="20">
        <v>57840.0</v>
      </c>
      <c r="L65" s="18">
        <f t="shared" si="5"/>
        <v>-3.554728756</v>
      </c>
    </row>
    <row r="66">
      <c r="A66" s="13" t="s">
        <v>390</v>
      </c>
      <c r="B66" s="13" t="s">
        <v>371</v>
      </c>
      <c r="C66" s="14" t="s">
        <v>372</v>
      </c>
      <c r="D66" s="15">
        <v>9354720.0</v>
      </c>
      <c r="E66" s="16">
        <v>1.023871E7</v>
      </c>
      <c r="F66" s="15">
        <v>1.452892E7</v>
      </c>
      <c r="G66" s="17">
        <f t="shared" si="1"/>
        <v>9.449668189</v>
      </c>
      <c r="H66" s="17">
        <f t="shared" si="2"/>
        <v>11206234.12</v>
      </c>
      <c r="I66" s="18">
        <f t="shared" si="3"/>
        <v>141.9018607</v>
      </c>
      <c r="J66" s="19">
        <f t="shared" si="4"/>
        <v>15901854.73</v>
      </c>
      <c r="K66" s="20">
        <v>1.518949E7</v>
      </c>
      <c r="L66" s="18">
        <f t="shared" si="5"/>
        <v>4.689852862</v>
      </c>
    </row>
    <row r="67">
      <c r="A67" s="13" t="s">
        <v>390</v>
      </c>
      <c r="B67" s="13" t="s">
        <v>373</v>
      </c>
      <c r="C67" s="14" t="s">
        <v>374</v>
      </c>
      <c r="D67" s="15">
        <v>2881480.0</v>
      </c>
      <c r="E67" s="16">
        <v>3008750.0</v>
      </c>
      <c r="F67" s="15">
        <v>5401860.0</v>
      </c>
      <c r="G67" s="17">
        <f t="shared" si="1"/>
        <v>4.416827464</v>
      </c>
      <c r="H67" s="17">
        <f t="shared" si="2"/>
        <v>3141641.296</v>
      </c>
      <c r="I67" s="18">
        <f t="shared" si="3"/>
        <v>179.5383465</v>
      </c>
      <c r="J67" s="19">
        <f t="shared" si="4"/>
        <v>5640450.836</v>
      </c>
      <c r="K67" s="20">
        <v>5967730.0</v>
      </c>
      <c r="L67" s="18">
        <f t="shared" si="5"/>
        <v>-5.484148311</v>
      </c>
    </row>
    <row r="68">
      <c r="A68" s="13" t="s">
        <v>390</v>
      </c>
      <c r="B68" s="13" t="s">
        <v>375</v>
      </c>
      <c r="C68" s="14" t="s">
        <v>376</v>
      </c>
      <c r="D68" s="15">
        <v>1445970.0</v>
      </c>
      <c r="E68" s="16">
        <v>1541730.0</v>
      </c>
      <c r="F68" s="15">
        <v>2713600.0</v>
      </c>
      <c r="G68" s="17">
        <f t="shared" si="1"/>
        <v>6.622544036</v>
      </c>
      <c r="H68" s="17">
        <f t="shared" si="2"/>
        <v>1643831.748</v>
      </c>
      <c r="I68" s="18">
        <f t="shared" si="3"/>
        <v>176.0100666</v>
      </c>
      <c r="J68" s="19">
        <f t="shared" si="4"/>
        <v>2893309.355</v>
      </c>
      <c r="K68" s="20">
        <v>3006150.0</v>
      </c>
      <c r="L68" s="18">
        <f t="shared" si="5"/>
        <v>-3.753659832</v>
      </c>
    </row>
    <row r="69">
      <c r="A69" s="13" t="s">
        <v>390</v>
      </c>
      <c r="B69" s="13" t="s">
        <v>377</v>
      </c>
      <c r="C69" s="14" t="s">
        <v>378</v>
      </c>
      <c r="D69" s="15">
        <v>2659740.0</v>
      </c>
      <c r="E69" s="16">
        <v>2860250.0</v>
      </c>
      <c r="F69" s="15">
        <v>4854620.0</v>
      </c>
      <c r="G69" s="17">
        <f t="shared" si="1"/>
        <v>7.538706791</v>
      </c>
      <c r="H69" s="17">
        <f t="shared" si="2"/>
        <v>3075875.861</v>
      </c>
      <c r="I69" s="18">
        <f t="shared" si="3"/>
        <v>169.7271218</v>
      </c>
      <c r="J69" s="19">
        <f t="shared" si="4"/>
        <v>5220595.568</v>
      </c>
      <c r="K69" s="20">
        <v>5427150.0</v>
      </c>
      <c r="L69" s="18">
        <f t="shared" si="5"/>
        <v>-3.805946627</v>
      </c>
    </row>
    <row r="70">
      <c r="A70" s="13" t="s">
        <v>391</v>
      </c>
      <c r="B70" s="13" t="s">
        <v>63</v>
      </c>
      <c r="C70" s="14" t="s">
        <v>66</v>
      </c>
      <c r="D70" s="16">
        <v>4.569837E7</v>
      </c>
      <c r="E70" s="16">
        <v>4.7643E7</v>
      </c>
      <c r="F70" s="16">
        <v>1.095886E8</v>
      </c>
      <c r="G70" s="17">
        <f t="shared" si="1"/>
        <v>4.255359655</v>
      </c>
      <c r="H70" s="17">
        <f t="shared" si="2"/>
        <v>49670381</v>
      </c>
      <c r="I70" s="18">
        <f t="shared" si="3"/>
        <v>230.0203598</v>
      </c>
      <c r="J70" s="19">
        <f t="shared" si="4"/>
        <v>114251989.1</v>
      </c>
      <c r="K70" s="20">
        <v>1.2059581E8</v>
      </c>
      <c r="L70" s="18">
        <f t="shared" si="5"/>
        <v>-5.260399121</v>
      </c>
    </row>
    <row r="71">
      <c r="A71" s="13" t="s">
        <v>391</v>
      </c>
      <c r="B71" s="13" t="s">
        <v>347</v>
      </c>
      <c r="C71" s="14" t="s">
        <v>348</v>
      </c>
      <c r="D71" s="16">
        <v>3.851796E7</v>
      </c>
      <c r="E71" s="16">
        <v>3.816388E7</v>
      </c>
      <c r="F71" s="16">
        <v>4.350457E7</v>
      </c>
      <c r="G71" s="17">
        <f t="shared" si="1"/>
        <v>-0.9192594831</v>
      </c>
      <c r="H71" s="17">
        <f t="shared" si="2"/>
        <v>37813054.91</v>
      </c>
      <c r="I71" s="18">
        <f t="shared" si="3"/>
        <v>113.994096</v>
      </c>
      <c r="J71" s="19">
        <f t="shared" si="4"/>
        <v>43104650.11</v>
      </c>
      <c r="K71" s="20">
        <v>4.820109E7</v>
      </c>
      <c r="L71" s="18">
        <f t="shared" si="5"/>
        <v>-10.57328763</v>
      </c>
    </row>
    <row r="72">
      <c r="A72" s="13" t="s">
        <v>391</v>
      </c>
      <c r="B72" s="13" t="s">
        <v>349</v>
      </c>
      <c r="C72" s="14" t="s">
        <v>350</v>
      </c>
      <c r="D72" s="16">
        <v>1.689288E7</v>
      </c>
      <c r="E72" s="16">
        <v>1.76918E7</v>
      </c>
      <c r="F72" s="16">
        <v>3.152481E7</v>
      </c>
      <c r="G72" s="17">
        <f t="shared" si="1"/>
        <v>4.729329753</v>
      </c>
      <c r="H72" s="17">
        <f t="shared" si="2"/>
        <v>18528503.56</v>
      </c>
      <c r="I72" s="18">
        <f t="shared" si="3"/>
        <v>178.1888219</v>
      </c>
      <c r="J72" s="19">
        <f t="shared" si="4"/>
        <v>33015722.22</v>
      </c>
      <c r="K72" s="20">
        <v>3.416884E7</v>
      </c>
      <c r="L72" s="18">
        <f t="shared" si="5"/>
        <v>-3.374764203</v>
      </c>
    </row>
    <row r="73">
      <c r="A73" s="13" t="s">
        <v>391</v>
      </c>
      <c r="B73" s="13" t="s">
        <v>351</v>
      </c>
      <c r="C73" s="14" t="s">
        <v>352</v>
      </c>
      <c r="D73" s="16">
        <v>108810.0</v>
      </c>
      <c r="E73" s="16">
        <v>117130.0</v>
      </c>
      <c r="F73" s="16">
        <v>243340.0</v>
      </c>
      <c r="G73" s="17">
        <f t="shared" si="1"/>
        <v>7.646356033</v>
      </c>
      <c r="H73" s="17">
        <f t="shared" si="2"/>
        <v>126086.1768</v>
      </c>
      <c r="I73" s="18">
        <f t="shared" si="3"/>
        <v>207.7520703</v>
      </c>
      <c r="J73" s="19">
        <f t="shared" si="4"/>
        <v>261946.6428</v>
      </c>
      <c r="K73" s="20">
        <v>257910.00000000003</v>
      </c>
      <c r="L73" s="18">
        <f t="shared" si="5"/>
        <v>1.565136199</v>
      </c>
    </row>
    <row r="74">
      <c r="A74" s="13" t="s">
        <v>391</v>
      </c>
      <c r="B74" s="13" t="s">
        <v>353</v>
      </c>
      <c r="C74" s="14" t="s">
        <v>354</v>
      </c>
      <c r="D74" s="16">
        <v>220250.0</v>
      </c>
      <c r="E74" s="16">
        <v>224570.0</v>
      </c>
      <c r="F74" s="16">
        <v>401060.0</v>
      </c>
      <c r="G74" s="17">
        <f t="shared" si="1"/>
        <v>1.961407491</v>
      </c>
      <c r="H74" s="17">
        <f t="shared" si="2"/>
        <v>228974.7328</v>
      </c>
      <c r="I74" s="18">
        <f t="shared" si="3"/>
        <v>178.5901946</v>
      </c>
      <c r="J74" s="19">
        <f t="shared" si="4"/>
        <v>408926.4209</v>
      </c>
      <c r="K74" s="20">
        <v>426260.0</v>
      </c>
      <c r="L74" s="18">
        <f t="shared" si="5"/>
        <v>-4.066433424</v>
      </c>
    </row>
    <row r="75">
      <c r="A75" s="13" t="s">
        <v>391</v>
      </c>
      <c r="B75" s="13" t="s">
        <v>355</v>
      </c>
      <c r="C75" s="14" t="s">
        <v>356</v>
      </c>
      <c r="D75" s="16">
        <v>1.287048E7</v>
      </c>
      <c r="E75" s="16">
        <v>1.413503E7</v>
      </c>
      <c r="F75" s="16">
        <v>2.395037E7</v>
      </c>
      <c r="G75" s="17">
        <f t="shared" si="1"/>
        <v>9.825196885</v>
      </c>
      <c r="H75" s="17">
        <f t="shared" si="2"/>
        <v>15523824.53</v>
      </c>
      <c r="I75" s="18">
        <f t="shared" si="3"/>
        <v>169.4398243</v>
      </c>
      <c r="J75" s="19">
        <f t="shared" si="4"/>
        <v>26303541.01</v>
      </c>
      <c r="K75" s="20">
        <v>2.317535E7</v>
      </c>
      <c r="L75" s="18">
        <f t="shared" si="5"/>
        <v>13.49792347</v>
      </c>
    </row>
    <row r="76">
      <c r="A76" s="13" t="s">
        <v>391</v>
      </c>
      <c r="B76" s="13" t="s">
        <v>357</v>
      </c>
      <c r="C76" s="14" t="s">
        <v>358</v>
      </c>
      <c r="D76" s="16">
        <v>1.725308E7</v>
      </c>
      <c r="E76" s="16">
        <v>1.831465E7</v>
      </c>
      <c r="F76" s="16">
        <v>4.300634E7</v>
      </c>
      <c r="G76" s="17">
        <f t="shared" si="1"/>
        <v>6.152930375</v>
      </c>
      <c r="H76" s="17">
        <f t="shared" si="2"/>
        <v>19441537.66</v>
      </c>
      <c r="I76" s="18">
        <f t="shared" si="3"/>
        <v>234.8193386</v>
      </c>
      <c r="J76" s="19">
        <f t="shared" si="4"/>
        <v>45652490.16</v>
      </c>
      <c r="K76" s="20">
        <v>4.745714E7</v>
      </c>
      <c r="L76" s="18">
        <f t="shared" si="5"/>
        <v>-3.802694058</v>
      </c>
    </row>
    <row r="77">
      <c r="A77" s="13" t="s">
        <v>391</v>
      </c>
      <c r="B77" s="13" t="s">
        <v>359</v>
      </c>
      <c r="C77" s="14" t="s">
        <v>360</v>
      </c>
      <c r="D77" s="16">
        <v>5620460.0</v>
      </c>
      <c r="E77" s="16">
        <v>6080640.0</v>
      </c>
      <c r="F77" s="16">
        <v>1.04024E7</v>
      </c>
      <c r="G77" s="17">
        <f t="shared" si="1"/>
        <v>8.187586069</v>
      </c>
      <c r="H77" s="17">
        <f t="shared" si="2"/>
        <v>6578497.634</v>
      </c>
      <c r="I77" s="18">
        <f t="shared" si="3"/>
        <v>171.0740975</v>
      </c>
      <c r="J77" s="19">
        <f t="shared" si="4"/>
        <v>11254105.45</v>
      </c>
      <c r="K77" s="20">
        <v>1.153602E7</v>
      </c>
      <c r="L77" s="18">
        <f t="shared" si="5"/>
        <v>-2.443776508</v>
      </c>
    </row>
    <row r="78">
      <c r="A78" s="13" t="s">
        <v>391</v>
      </c>
      <c r="B78" s="13" t="s">
        <v>361</v>
      </c>
      <c r="C78" s="14" t="s">
        <v>362</v>
      </c>
      <c r="D78" s="16">
        <v>2007340.0</v>
      </c>
      <c r="E78" s="16">
        <v>2200930.0</v>
      </c>
      <c r="F78" s="16">
        <v>3552760.0</v>
      </c>
      <c r="G78" s="17">
        <f t="shared" si="1"/>
        <v>9.644106131</v>
      </c>
      <c r="H78" s="17">
        <f t="shared" si="2"/>
        <v>2413190.025</v>
      </c>
      <c r="I78" s="18">
        <f t="shared" si="3"/>
        <v>161.4208539</v>
      </c>
      <c r="J78" s="19">
        <f t="shared" si="4"/>
        <v>3895391.945</v>
      </c>
      <c r="K78" s="20">
        <v>3784360.0</v>
      </c>
      <c r="L78" s="18">
        <f t="shared" si="5"/>
        <v>2.933968887</v>
      </c>
    </row>
    <row r="79">
      <c r="A79" s="13" t="s">
        <v>391</v>
      </c>
      <c r="B79" s="13" t="s">
        <v>363</v>
      </c>
      <c r="C79" s="14" t="s">
        <v>364</v>
      </c>
      <c r="D79" s="16">
        <v>7303950.0</v>
      </c>
      <c r="E79" s="16">
        <v>7686670.0</v>
      </c>
      <c r="F79" s="16">
        <v>1.150313E7</v>
      </c>
      <c r="G79" s="17">
        <f t="shared" si="1"/>
        <v>5.239904435</v>
      </c>
      <c r="H79" s="17">
        <f t="shared" si="2"/>
        <v>8089444.162</v>
      </c>
      <c r="I79" s="18">
        <f t="shared" si="3"/>
        <v>149.6503688</v>
      </c>
      <c r="J79" s="19">
        <f t="shared" si="4"/>
        <v>12105883.02</v>
      </c>
      <c r="K79" s="20">
        <v>1.253391E7</v>
      </c>
      <c r="L79" s="18">
        <f t="shared" si="5"/>
        <v>-3.414951766</v>
      </c>
    </row>
    <row r="80">
      <c r="A80" s="13" t="s">
        <v>391</v>
      </c>
      <c r="B80" s="13" t="s">
        <v>365</v>
      </c>
      <c r="C80" s="14" t="s">
        <v>366</v>
      </c>
      <c r="D80" s="16">
        <v>3692370.0</v>
      </c>
      <c r="E80" s="16">
        <v>3778180.0</v>
      </c>
      <c r="F80" s="16">
        <v>6964760.0</v>
      </c>
      <c r="G80" s="17">
        <f t="shared" si="1"/>
        <v>2.323981616</v>
      </c>
      <c r="H80" s="17">
        <f t="shared" si="2"/>
        <v>3865984.209</v>
      </c>
      <c r="I80" s="18">
        <f t="shared" si="3"/>
        <v>184.3416672</v>
      </c>
      <c r="J80" s="19">
        <f t="shared" si="4"/>
        <v>7126619.742</v>
      </c>
      <c r="K80" s="20">
        <v>7735980.0</v>
      </c>
      <c r="L80" s="18">
        <f t="shared" si="5"/>
        <v>-7.876962686</v>
      </c>
    </row>
    <row r="81">
      <c r="A81" s="13" t="s">
        <v>391</v>
      </c>
      <c r="B81" s="13" t="s">
        <v>367</v>
      </c>
      <c r="C81" s="14" t="s">
        <v>368</v>
      </c>
      <c r="D81" s="16">
        <v>2456560.0</v>
      </c>
      <c r="E81" s="16">
        <v>2586730.0</v>
      </c>
      <c r="F81" s="16">
        <v>4672800.0</v>
      </c>
      <c r="G81" s="17">
        <f t="shared" si="1"/>
        <v>5.298873221</v>
      </c>
      <c r="H81" s="17">
        <f t="shared" si="2"/>
        <v>2723797.543</v>
      </c>
      <c r="I81" s="18">
        <f t="shared" si="3"/>
        <v>180.6450615</v>
      </c>
      <c r="J81" s="19">
        <f t="shared" si="4"/>
        <v>4920405.748</v>
      </c>
      <c r="K81" s="20">
        <v>4786020.0</v>
      </c>
      <c r="L81" s="18">
        <f t="shared" si="5"/>
        <v>2.807881034</v>
      </c>
    </row>
    <row r="82">
      <c r="A82" s="13" t="s">
        <v>391</v>
      </c>
      <c r="B82" s="13" t="s">
        <v>369</v>
      </c>
      <c r="C82" s="14" t="s">
        <v>370</v>
      </c>
      <c r="D82" s="16">
        <v>2071949.9999999998</v>
      </c>
      <c r="E82" s="16">
        <v>2269330.0</v>
      </c>
      <c r="F82" s="16">
        <v>4944180.0</v>
      </c>
      <c r="G82" s="17">
        <f t="shared" si="1"/>
        <v>9.526291658</v>
      </c>
      <c r="H82" s="17">
        <f t="shared" si="2"/>
        <v>2485512.994</v>
      </c>
      <c r="I82" s="18">
        <f t="shared" si="3"/>
        <v>217.8695915</v>
      </c>
      <c r="J82" s="19">
        <f t="shared" si="4"/>
        <v>5415177.007</v>
      </c>
      <c r="K82" s="20">
        <v>5400400.0</v>
      </c>
      <c r="L82" s="18">
        <f t="shared" si="5"/>
        <v>0.2736280068</v>
      </c>
    </row>
    <row r="83">
      <c r="A83" s="13" t="s">
        <v>391</v>
      </c>
      <c r="B83" s="13" t="s">
        <v>371</v>
      </c>
      <c r="C83" s="14" t="s">
        <v>372</v>
      </c>
      <c r="D83" s="16">
        <v>5045810.0</v>
      </c>
      <c r="E83" s="16">
        <v>5621900.0</v>
      </c>
      <c r="F83" s="16">
        <v>1.191303E7</v>
      </c>
      <c r="G83" s="17">
        <f t="shared" si="1"/>
        <v>11.41719565</v>
      </c>
      <c r="H83" s="17">
        <f t="shared" si="2"/>
        <v>6263763.322</v>
      </c>
      <c r="I83" s="18">
        <f t="shared" si="3"/>
        <v>211.9039826</v>
      </c>
      <c r="J83" s="19">
        <f t="shared" si="4"/>
        <v>13273163.94</v>
      </c>
      <c r="K83" s="20">
        <v>1.195381E7</v>
      </c>
      <c r="L83" s="18">
        <f t="shared" si="5"/>
        <v>11.03709983</v>
      </c>
    </row>
    <row r="84">
      <c r="A84" s="13" t="s">
        <v>391</v>
      </c>
      <c r="B84" s="13" t="s">
        <v>373</v>
      </c>
      <c r="C84" s="14" t="s">
        <v>374</v>
      </c>
      <c r="D84" s="16">
        <v>5457120.0</v>
      </c>
      <c r="E84" s="16">
        <v>5918600.0</v>
      </c>
      <c r="F84" s="16">
        <v>9892990.0</v>
      </c>
      <c r="G84" s="17">
        <f t="shared" si="1"/>
        <v>8.45647521</v>
      </c>
      <c r="H84" s="17">
        <f t="shared" si="2"/>
        <v>6419104.942</v>
      </c>
      <c r="I84" s="18">
        <f t="shared" si="3"/>
        <v>167.1508465</v>
      </c>
      <c r="J84" s="19">
        <f t="shared" si="4"/>
        <v>10729588.25</v>
      </c>
      <c r="K84" s="20">
        <v>1.027342E7</v>
      </c>
      <c r="L84" s="18">
        <f t="shared" si="5"/>
        <v>4.440276431</v>
      </c>
    </row>
    <row r="85">
      <c r="A85" s="13" t="s">
        <v>391</v>
      </c>
      <c r="B85" s="13" t="s">
        <v>375</v>
      </c>
      <c r="C85" s="14" t="s">
        <v>376</v>
      </c>
      <c r="D85" s="16">
        <v>2261370.0</v>
      </c>
      <c r="E85" s="16">
        <v>2509210.0</v>
      </c>
      <c r="F85" s="16">
        <v>4019810.0</v>
      </c>
      <c r="G85" s="17">
        <f t="shared" si="1"/>
        <v>10.95972795</v>
      </c>
      <c r="H85" s="17">
        <f t="shared" si="2"/>
        <v>2784212.59</v>
      </c>
      <c r="I85" s="18">
        <f t="shared" si="3"/>
        <v>160.202215</v>
      </c>
      <c r="J85" s="19">
        <f t="shared" si="4"/>
        <v>4460370.24</v>
      </c>
      <c r="K85" s="20">
        <v>4078610.0</v>
      </c>
      <c r="L85" s="18">
        <f t="shared" si="5"/>
        <v>9.360057476</v>
      </c>
    </row>
    <row r="86">
      <c r="A86" s="13" t="s">
        <v>391</v>
      </c>
      <c r="B86" s="13" t="s">
        <v>377</v>
      </c>
      <c r="C86" s="14" t="s">
        <v>378</v>
      </c>
      <c r="D86" s="16">
        <v>1780290.0</v>
      </c>
      <c r="E86" s="16">
        <v>1926190.0</v>
      </c>
      <c r="F86" s="16">
        <v>3089360.0</v>
      </c>
      <c r="G86" s="17">
        <f t="shared" si="1"/>
        <v>8.195294025</v>
      </c>
      <c r="H86" s="17">
        <f t="shared" si="2"/>
        <v>2084046.934</v>
      </c>
      <c r="I86" s="18">
        <f t="shared" si="3"/>
        <v>160.3870854</v>
      </c>
      <c r="J86" s="19">
        <f t="shared" si="4"/>
        <v>3342542.135</v>
      </c>
      <c r="K86" s="20">
        <v>3297660.0</v>
      </c>
      <c r="L86" s="18">
        <f t="shared" si="5"/>
        <v>1.361029806</v>
      </c>
    </row>
    <row r="87">
      <c r="A87" s="13" t="s">
        <v>392</v>
      </c>
      <c r="B87" s="13" t="s">
        <v>63</v>
      </c>
      <c r="C87" s="14" t="s">
        <v>66</v>
      </c>
      <c r="D87" s="16">
        <v>5.815446E7</v>
      </c>
      <c r="E87" s="16">
        <v>5.955528E7</v>
      </c>
      <c r="F87" s="16">
        <v>8.995153E7</v>
      </c>
      <c r="G87" s="17">
        <f t="shared" si="1"/>
        <v>2.408792034</v>
      </c>
      <c r="H87" s="17">
        <f t="shared" si="2"/>
        <v>60989842.84</v>
      </c>
      <c r="I87" s="18">
        <f t="shared" si="3"/>
        <v>151.0387156</v>
      </c>
      <c r="J87" s="19">
        <f t="shared" si="4"/>
        <v>92118275.29</v>
      </c>
      <c r="K87" s="20">
        <v>1.0029786E8</v>
      </c>
      <c r="L87" s="18">
        <f t="shared" si="5"/>
        <v>-8.155293354</v>
      </c>
    </row>
    <row r="88">
      <c r="A88" s="13" t="s">
        <v>392</v>
      </c>
      <c r="B88" s="13" t="s">
        <v>347</v>
      </c>
      <c r="C88" s="14" t="s">
        <v>348</v>
      </c>
      <c r="D88" s="16">
        <v>8.268848E7</v>
      </c>
      <c r="E88" s="16">
        <v>8.542444E7</v>
      </c>
      <c r="F88" s="16">
        <v>1.6333302E8</v>
      </c>
      <c r="G88" s="17">
        <f t="shared" si="1"/>
        <v>3.308755948</v>
      </c>
      <c r="H88" s="17">
        <f t="shared" si="2"/>
        <v>88250926.24</v>
      </c>
      <c r="I88" s="18">
        <f t="shared" si="3"/>
        <v>191.2017451</v>
      </c>
      <c r="J88" s="19">
        <f t="shared" si="4"/>
        <v>168737311</v>
      </c>
      <c r="K88" s="20">
        <v>1.7279241E8</v>
      </c>
      <c r="L88" s="18">
        <f t="shared" si="5"/>
        <v>-2.346803882</v>
      </c>
    </row>
    <row r="89">
      <c r="A89" s="13" t="s">
        <v>392</v>
      </c>
      <c r="B89" s="13" t="s">
        <v>349</v>
      </c>
      <c r="C89" s="14" t="s">
        <v>350</v>
      </c>
      <c r="D89" s="16">
        <v>6.576147E7</v>
      </c>
      <c r="E89" s="16">
        <v>6.874177E7</v>
      </c>
      <c r="F89" s="16">
        <v>1.2145468E8</v>
      </c>
      <c r="G89" s="17">
        <f t="shared" si="1"/>
        <v>4.531985067</v>
      </c>
      <c r="H89" s="17">
        <f t="shared" si="2"/>
        <v>71857136.75</v>
      </c>
      <c r="I89" s="18">
        <f t="shared" si="3"/>
        <v>176.6825032</v>
      </c>
      <c r="J89" s="19">
        <f t="shared" si="4"/>
        <v>126958988</v>
      </c>
      <c r="K89" s="20">
        <v>1.3132364000000001E8</v>
      </c>
      <c r="L89" s="18">
        <f t="shared" si="5"/>
        <v>-3.323584421</v>
      </c>
    </row>
    <row r="90">
      <c r="A90" s="13" t="s">
        <v>392</v>
      </c>
      <c r="B90" s="13" t="s">
        <v>351</v>
      </c>
      <c r="C90" s="14" t="s">
        <v>352</v>
      </c>
      <c r="D90" s="16">
        <v>442180.0</v>
      </c>
      <c r="E90" s="16">
        <v>480120.0</v>
      </c>
      <c r="F90" s="16">
        <v>876500.0</v>
      </c>
      <c r="G90" s="17">
        <f t="shared" si="1"/>
        <v>8.580216202</v>
      </c>
      <c r="H90" s="17">
        <f t="shared" si="2"/>
        <v>521315.334</v>
      </c>
      <c r="I90" s="18">
        <f t="shared" si="3"/>
        <v>182.558527</v>
      </c>
      <c r="J90" s="19">
        <f t="shared" si="4"/>
        <v>951705.595</v>
      </c>
      <c r="K90" s="20">
        <v>943400.0</v>
      </c>
      <c r="L90" s="18">
        <f t="shared" si="5"/>
        <v>0.8803895491</v>
      </c>
    </row>
    <row r="91">
      <c r="A91" s="13" t="s">
        <v>392</v>
      </c>
      <c r="B91" s="13" t="s">
        <v>353</v>
      </c>
      <c r="C91" s="14" t="s">
        <v>354</v>
      </c>
      <c r="D91" s="16">
        <v>366020.0</v>
      </c>
      <c r="E91" s="16">
        <v>376570.0</v>
      </c>
      <c r="F91" s="16">
        <v>640950.0</v>
      </c>
      <c r="G91" s="17">
        <f t="shared" si="1"/>
        <v>2.882356155</v>
      </c>
      <c r="H91" s="17">
        <f t="shared" si="2"/>
        <v>387424.0886</v>
      </c>
      <c r="I91" s="18">
        <f t="shared" si="3"/>
        <v>170.2073984</v>
      </c>
      <c r="J91" s="19">
        <f t="shared" si="4"/>
        <v>659424.4618</v>
      </c>
      <c r="K91" s="20">
        <v>662190.0</v>
      </c>
      <c r="L91" s="18">
        <f t="shared" si="5"/>
        <v>-0.4176351533</v>
      </c>
    </row>
    <row r="92">
      <c r="A92" s="13" t="s">
        <v>392</v>
      </c>
      <c r="B92" s="13" t="s">
        <v>355</v>
      </c>
      <c r="C92" s="14" t="s">
        <v>356</v>
      </c>
      <c r="D92" s="16">
        <v>3.845569E7</v>
      </c>
      <c r="E92" s="16">
        <v>4.072153E7</v>
      </c>
      <c r="F92" s="16">
        <v>7.171714E7</v>
      </c>
      <c r="G92" s="17">
        <f t="shared" si="1"/>
        <v>5.89207995</v>
      </c>
      <c r="H92" s="17">
        <f t="shared" si="2"/>
        <v>43120875.1</v>
      </c>
      <c r="I92" s="18">
        <f t="shared" si="3"/>
        <v>176.1160251</v>
      </c>
      <c r="J92" s="19">
        <f t="shared" si="4"/>
        <v>75942771.23</v>
      </c>
      <c r="K92" s="20">
        <v>7.733823E7</v>
      </c>
      <c r="L92" s="18">
        <f t="shared" si="5"/>
        <v>-1.804358302</v>
      </c>
    </row>
    <row r="93">
      <c r="A93" s="13" t="s">
        <v>392</v>
      </c>
      <c r="B93" s="13" t="s">
        <v>357</v>
      </c>
      <c r="C93" s="14" t="s">
        <v>358</v>
      </c>
      <c r="D93" s="16">
        <v>4.141367E7</v>
      </c>
      <c r="E93" s="16">
        <v>4.451493E7</v>
      </c>
      <c r="F93" s="16">
        <v>9.19587E7</v>
      </c>
      <c r="G93" s="17">
        <f t="shared" si="1"/>
        <v>7.488493534</v>
      </c>
      <c r="H93" s="17">
        <f t="shared" si="2"/>
        <v>47848427.65</v>
      </c>
      <c r="I93" s="18">
        <f t="shared" si="3"/>
        <v>206.5794555</v>
      </c>
      <c r="J93" s="19">
        <f t="shared" si="4"/>
        <v>98845021.3</v>
      </c>
      <c r="K93" s="20">
        <v>1.0302133E8</v>
      </c>
      <c r="L93" s="18">
        <f t="shared" si="5"/>
        <v>-4.053829141</v>
      </c>
    </row>
    <row r="94">
      <c r="A94" s="13" t="s">
        <v>392</v>
      </c>
      <c r="B94" s="13" t="s">
        <v>359</v>
      </c>
      <c r="C94" s="14" t="s">
        <v>360</v>
      </c>
      <c r="D94" s="16">
        <v>7166940.0</v>
      </c>
      <c r="E94" s="16">
        <v>7412990.0</v>
      </c>
      <c r="F94" s="16">
        <v>1.657936E7</v>
      </c>
      <c r="G94" s="17">
        <f t="shared" si="1"/>
        <v>3.433124876</v>
      </c>
      <c r="H94" s="17">
        <f t="shared" si="2"/>
        <v>7667487.204</v>
      </c>
      <c r="I94" s="18">
        <f t="shared" si="3"/>
        <v>223.6528041</v>
      </c>
      <c r="J94" s="19">
        <f t="shared" si="4"/>
        <v>17148550.13</v>
      </c>
      <c r="K94" s="20">
        <v>1.778102E7</v>
      </c>
      <c r="L94" s="18">
        <f t="shared" si="5"/>
        <v>-3.556994298</v>
      </c>
    </row>
    <row r="95">
      <c r="A95" s="13" t="s">
        <v>392</v>
      </c>
      <c r="B95" s="13" t="s">
        <v>361</v>
      </c>
      <c r="C95" s="14" t="s">
        <v>362</v>
      </c>
      <c r="D95" s="16">
        <v>5912060.0</v>
      </c>
      <c r="E95" s="16">
        <v>6467360.0</v>
      </c>
      <c r="F95" s="16">
        <v>1.337089E7</v>
      </c>
      <c r="G95" s="17">
        <f t="shared" si="1"/>
        <v>9.392665162</v>
      </c>
      <c r="H95" s="17">
        <f t="shared" si="2"/>
        <v>7074817.47</v>
      </c>
      <c r="I95" s="18">
        <f t="shared" si="3"/>
        <v>206.7441738</v>
      </c>
      <c r="J95" s="19">
        <f t="shared" si="4"/>
        <v>14626772.93</v>
      </c>
      <c r="K95" s="20">
        <v>1.497347E7</v>
      </c>
      <c r="L95" s="18">
        <f t="shared" si="5"/>
        <v>-2.315409007</v>
      </c>
    </row>
    <row r="96">
      <c r="A96" s="13" t="s">
        <v>392</v>
      </c>
      <c r="B96" s="13" t="s">
        <v>363</v>
      </c>
      <c r="C96" s="14" t="s">
        <v>364</v>
      </c>
      <c r="D96" s="16">
        <v>1.489248E7</v>
      </c>
      <c r="E96" s="16">
        <v>1.620952E7</v>
      </c>
      <c r="F96" s="16">
        <v>1.990537E7</v>
      </c>
      <c r="G96" s="17">
        <f t="shared" si="1"/>
        <v>8.843658007</v>
      </c>
      <c r="H96" s="17">
        <f t="shared" si="2"/>
        <v>17643034.51</v>
      </c>
      <c r="I96" s="18">
        <f t="shared" si="3"/>
        <v>122.8004901</v>
      </c>
      <c r="J96" s="19">
        <f t="shared" si="4"/>
        <v>21665732.85</v>
      </c>
      <c r="K96" s="20">
        <v>2.112279E7</v>
      </c>
      <c r="L96" s="18">
        <f t="shared" si="5"/>
        <v>2.570412563</v>
      </c>
    </row>
    <row r="97">
      <c r="A97" s="13" t="s">
        <v>392</v>
      </c>
      <c r="B97" s="13" t="s">
        <v>365</v>
      </c>
      <c r="C97" s="14" t="s">
        <v>366</v>
      </c>
      <c r="D97" s="16">
        <v>8100350.0</v>
      </c>
      <c r="E97" s="16">
        <v>8672330.0</v>
      </c>
      <c r="F97" s="16">
        <v>1.41641E7</v>
      </c>
      <c r="G97" s="17">
        <f t="shared" si="1"/>
        <v>7.061176369</v>
      </c>
      <c r="H97" s="17">
        <f t="shared" si="2"/>
        <v>9284698.517</v>
      </c>
      <c r="I97" s="18">
        <f t="shared" si="3"/>
        <v>163.3251963</v>
      </c>
      <c r="J97" s="19">
        <f t="shared" si="4"/>
        <v>15164252.08</v>
      </c>
      <c r="K97" s="20">
        <v>1.513457E7</v>
      </c>
      <c r="L97" s="18">
        <f t="shared" si="5"/>
        <v>0.1961210796</v>
      </c>
    </row>
    <row r="98">
      <c r="A98" s="13" t="s">
        <v>392</v>
      </c>
      <c r="B98" s="13" t="s">
        <v>367</v>
      </c>
      <c r="C98" s="14" t="s">
        <v>368</v>
      </c>
      <c r="D98" s="16">
        <v>1.186029E7</v>
      </c>
      <c r="E98" s="16">
        <v>1.282926E7</v>
      </c>
      <c r="F98" s="16">
        <v>1.950251E7</v>
      </c>
      <c r="G98" s="17">
        <f t="shared" si="1"/>
        <v>8.169867685</v>
      </c>
      <c r="H98" s="17">
        <f t="shared" si="2"/>
        <v>13877393.57</v>
      </c>
      <c r="I98" s="18">
        <f t="shared" si="3"/>
        <v>152.0158606</v>
      </c>
      <c r="J98" s="19">
        <f t="shared" si="4"/>
        <v>21095839.26</v>
      </c>
      <c r="K98" s="20">
        <v>2.177265E7</v>
      </c>
      <c r="L98" s="18">
        <f t="shared" si="5"/>
        <v>-3.108536342</v>
      </c>
    </row>
    <row r="99">
      <c r="A99" s="13" t="s">
        <v>392</v>
      </c>
      <c r="B99" s="13" t="s">
        <v>369</v>
      </c>
      <c r="C99" s="14" t="s">
        <v>370</v>
      </c>
      <c r="D99" s="16">
        <v>378280.0</v>
      </c>
      <c r="E99" s="16">
        <v>397880.0</v>
      </c>
      <c r="F99" s="16">
        <v>747940.0</v>
      </c>
      <c r="G99" s="17">
        <f t="shared" si="1"/>
        <v>5.18134715</v>
      </c>
      <c r="H99" s="17">
        <f t="shared" si="2"/>
        <v>418495.544</v>
      </c>
      <c r="I99" s="18">
        <f t="shared" si="3"/>
        <v>187.9813009</v>
      </c>
      <c r="J99" s="19">
        <f t="shared" si="4"/>
        <v>786693.3679</v>
      </c>
      <c r="K99" s="20">
        <v>809300.0</v>
      </c>
      <c r="L99" s="18">
        <f t="shared" si="5"/>
        <v>-2.793356249</v>
      </c>
    </row>
    <row r="100">
      <c r="A100" s="13" t="s">
        <v>392</v>
      </c>
      <c r="B100" s="13" t="s">
        <v>371</v>
      </c>
      <c r="C100" s="14" t="s">
        <v>372</v>
      </c>
      <c r="D100" s="16">
        <v>1.103699E7</v>
      </c>
      <c r="E100" s="16">
        <v>1.206877E7</v>
      </c>
      <c r="F100" s="16">
        <v>1.666952E7</v>
      </c>
      <c r="G100" s="17">
        <f t="shared" si="1"/>
        <v>9.348382122</v>
      </c>
      <c r="H100" s="17">
        <f t="shared" si="2"/>
        <v>13197004.74</v>
      </c>
      <c r="I100" s="18">
        <f t="shared" si="3"/>
        <v>138.1211176</v>
      </c>
      <c r="J100" s="19">
        <f t="shared" si="4"/>
        <v>18227850.43</v>
      </c>
      <c r="K100" s="20">
        <v>1.758093E7</v>
      </c>
      <c r="L100" s="18">
        <f t="shared" si="5"/>
        <v>3.679671255</v>
      </c>
    </row>
    <row r="101">
      <c r="A101" s="13" t="s">
        <v>392</v>
      </c>
      <c r="B101" s="13" t="s">
        <v>373</v>
      </c>
      <c r="C101" s="14" t="s">
        <v>374</v>
      </c>
      <c r="D101" s="16">
        <v>9003080.0</v>
      </c>
      <c r="E101" s="16">
        <v>9611460.0</v>
      </c>
      <c r="F101" s="16">
        <v>1.427986E7</v>
      </c>
      <c r="G101" s="17">
        <f t="shared" si="1"/>
        <v>6.757465223</v>
      </c>
      <c r="H101" s="17">
        <f t="shared" si="2"/>
        <v>10260951.07</v>
      </c>
      <c r="I101" s="18">
        <f t="shared" si="3"/>
        <v>148.5711848</v>
      </c>
      <c r="J101" s="19">
        <f t="shared" si="4"/>
        <v>15244816.57</v>
      </c>
      <c r="K101" s="20">
        <v>1.523267E7</v>
      </c>
      <c r="L101" s="18">
        <f t="shared" si="5"/>
        <v>0.07974027793</v>
      </c>
    </row>
    <row r="102">
      <c r="A102" s="13" t="s">
        <v>392</v>
      </c>
      <c r="B102" s="13" t="s">
        <v>375</v>
      </c>
      <c r="C102" s="14" t="s">
        <v>376</v>
      </c>
      <c r="D102" s="16">
        <v>2499190.0</v>
      </c>
      <c r="E102" s="16">
        <v>2682720.0</v>
      </c>
      <c r="F102" s="16">
        <v>4154710.0</v>
      </c>
      <c r="G102" s="17">
        <f t="shared" si="1"/>
        <v>7.34357932</v>
      </c>
      <c r="H102" s="17">
        <f t="shared" si="2"/>
        <v>2879727.671</v>
      </c>
      <c r="I102" s="18">
        <f t="shared" si="3"/>
        <v>154.8693117</v>
      </c>
      <c r="J102" s="19">
        <f t="shared" si="4"/>
        <v>4459814.424</v>
      </c>
      <c r="K102" s="20">
        <v>4479410.0</v>
      </c>
      <c r="L102" s="18">
        <f t="shared" si="5"/>
        <v>-0.4374588539</v>
      </c>
    </row>
    <row r="103">
      <c r="A103" s="13" t="s">
        <v>392</v>
      </c>
      <c r="B103" s="13" t="s">
        <v>377</v>
      </c>
      <c r="C103" s="14" t="s">
        <v>378</v>
      </c>
      <c r="D103" s="16">
        <v>2835790.0</v>
      </c>
      <c r="E103" s="16">
        <v>2952690.0</v>
      </c>
      <c r="F103" s="16">
        <v>4654930.0</v>
      </c>
      <c r="G103" s="17">
        <f t="shared" si="1"/>
        <v>4.122308069</v>
      </c>
      <c r="H103" s="17">
        <f t="shared" si="2"/>
        <v>3074408.978</v>
      </c>
      <c r="I103" s="18">
        <f t="shared" si="3"/>
        <v>157.6504814</v>
      </c>
      <c r="J103" s="19">
        <f t="shared" si="4"/>
        <v>4846820.555</v>
      </c>
      <c r="K103" s="20">
        <v>4939350.0</v>
      </c>
      <c r="L103" s="18">
        <f t="shared" si="5"/>
        <v>-1.873312176</v>
      </c>
    </row>
    <row r="104">
      <c r="A104" s="13" t="s">
        <v>393</v>
      </c>
      <c r="B104" s="13" t="s">
        <v>63</v>
      </c>
      <c r="C104" s="14" t="s">
        <v>66</v>
      </c>
      <c r="D104" s="16">
        <v>1.398168E7</v>
      </c>
      <c r="E104" s="16">
        <v>1.434127E7</v>
      </c>
      <c r="F104" s="16">
        <v>3.101911E7</v>
      </c>
      <c r="G104" s="17">
        <f t="shared" si="1"/>
        <v>2.57186547</v>
      </c>
      <c r="H104" s="17">
        <f t="shared" si="2"/>
        <v>14710108.17</v>
      </c>
      <c r="I104" s="18">
        <f t="shared" si="3"/>
        <v>216.2926296</v>
      </c>
      <c r="J104" s="19">
        <f t="shared" si="4"/>
        <v>31816879.78</v>
      </c>
      <c r="K104" s="20">
        <v>3.438866E7</v>
      </c>
      <c r="L104" s="18">
        <f t="shared" si="5"/>
        <v>-7.478570613</v>
      </c>
    </row>
    <row r="105">
      <c r="A105" s="13" t="s">
        <v>393</v>
      </c>
      <c r="B105" s="13" t="s">
        <v>347</v>
      </c>
      <c r="C105" s="14" t="s">
        <v>348</v>
      </c>
      <c r="D105" s="16">
        <v>1723280.0</v>
      </c>
      <c r="E105" s="16">
        <v>1761520.0</v>
      </c>
      <c r="F105" s="16">
        <v>4370600.0</v>
      </c>
      <c r="G105" s="17">
        <f t="shared" si="1"/>
        <v>2.219024186</v>
      </c>
      <c r="H105" s="17">
        <f t="shared" si="2"/>
        <v>1800608.555</v>
      </c>
      <c r="I105" s="18">
        <f t="shared" si="3"/>
        <v>248.1152641</v>
      </c>
      <c r="J105" s="19">
        <f t="shared" si="4"/>
        <v>4467584.671</v>
      </c>
      <c r="K105" s="20">
        <v>4001860.0</v>
      </c>
      <c r="L105" s="18">
        <f t="shared" si="5"/>
        <v>11.63770524</v>
      </c>
    </row>
    <row r="106">
      <c r="A106" s="13" t="s">
        <v>393</v>
      </c>
      <c r="B106" s="13" t="s">
        <v>349</v>
      </c>
      <c r="C106" s="14" t="s">
        <v>350</v>
      </c>
      <c r="D106" s="15">
        <v>2915710.0</v>
      </c>
      <c r="E106" s="15">
        <v>2959000.0</v>
      </c>
      <c r="F106" s="15">
        <v>5396390.0</v>
      </c>
      <c r="G106" s="17">
        <f t="shared" si="1"/>
        <v>1.484715558</v>
      </c>
      <c r="H106" s="17">
        <f t="shared" si="2"/>
        <v>3002932.733</v>
      </c>
      <c r="I106" s="18">
        <f t="shared" si="3"/>
        <v>182.3720852</v>
      </c>
      <c r="J106" s="19">
        <f t="shared" si="4"/>
        <v>5476511.042</v>
      </c>
      <c r="K106" s="20">
        <v>6086130.0</v>
      </c>
      <c r="L106" s="18">
        <f t="shared" si="5"/>
        <v>-10.0165287</v>
      </c>
    </row>
    <row r="107">
      <c r="A107" s="13" t="s">
        <v>393</v>
      </c>
      <c r="B107" s="13" t="s">
        <v>351</v>
      </c>
      <c r="C107" s="14" t="s">
        <v>352</v>
      </c>
      <c r="D107" s="15">
        <v>59670.0</v>
      </c>
      <c r="E107" s="15">
        <v>62080.0</v>
      </c>
      <c r="F107" s="15">
        <v>103150.0</v>
      </c>
      <c r="G107" s="17">
        <f t="shared" si="1"/>
        <v>4.038880509</v>
      </c>
      <c r="H107" s="17">
        <f t="shared" si="2"/>
        <v>64587.33702</v>
      </c>
      <c r="I107" s="18">
        <f t="shared" si="3"/>
        <v>166.1565722</v>
      </c>
      <c r="J107" s="19">
        <f t="shared" si="4"/>
        <v>107316.1052</v>
      </c>
      <c r="K107" s="20">
        <v>106420.0</v>
      </c>
      <c r="L107" s="18">
        <f t="shared" si="5"/>
        <v>0.8420458988</v>
      </c>
    </row>
    <row r="108">
      <c r="A108" s="13" t="s">
        <v>393</v>
      </c>
      <c r="B108" s="13" t="s">
        <v>353</v>
      </c>
      <c r="C108" s="14" t="s">
        <v>354</v>
      </c>
      <c r="D108" s="15">
        <v>112180.0</v>
      </c>
      <c r="E108" s="15">
        <v>119010.0</v>
      </c>
      <c r="F108" s="15">
        <v>188340.0</v>
      </c>
      <c r="G108" s="17">
        <f t="shared" si="1"/>
        <v>6.08842931</v>
      </c>
      <c r="H108" s="17">
        <f t="shared" si="2"/>
        <v>126255.8397</v>
      </c>
      <c r="I108" s="18">
        <f t="shared" si="3"/>
        <v>158.2556088</v>
      </c>
      <c r="J108" s="19">
        <f t="shared" si="4"/>
        <v>199806.9478</v>
      </c>
      <c r="K108" s="20">
        <v>194450.0</v>
      </c>
      <c r="L108" s="18">
        <f t="shared" si="5"/>
        <v>2.754922994</v>
      </c>
    </row>
    <row r="109">
      <c r="A109" s="13" t="s">
        <v>393</v>
      </c>
      <c r="B109" s="13" t="s">
        <v>355</v>
      </c>
      <c r="C109" s="14" t="s">
        <v>356</v>
      </c>
      <c r="D109" s="15">
        <v>2368400.0</v>
      </c>
      <c r="E109" s="15">
        <v>2501770.0</v>
      </c>
      <c r="F109" s="15">
        <v>5082610.0</v>
      </c>
      <c r="G109" s="17">
        <f t="shared" si="1"/>
        <v>5.631227833</v>
      </c>
      <c r="H109" s="17">
        <f t="shared" si="2"/>
        <v>2642650.369</v>
      </c>
      <c r="I109" s="18">
        <f t="shared" si="3"/>
        <v>203.1605623</v>
      </c>
      <c r="J109" s="19">
        <f t="shared" si="4"/>
        <v>5368823.349</v>
      </c>
      <c r="K109" s="20">
        <v>5295030.0</v>
      </c>
      <c r="L109" s="18">
        <f t="shared" si="5"/>
        <v>1.3936342</v>
      </c>
    </row>
    <row r="110">
      <c r="A110" s="13" t="s">
        <v>393</v>
      </c>
      <c r="B110" s="13" t="s">
        <v>357</v>
      </c>
      <c r="C110" s="14" t="s">
        <v>358</v>
      </c>
      <c r="D110" s="15">
        <v>8119540.0</v>
      </c>
      <c r="E110" s="15">
        <v>8388930.0</v>
      </c>
      <c r="F110" s="15">
        <v>1.435335E7</v>
      </c>
      <c r="G110" s="17">
        <f t="shared" si="1"/>
        <v>3.317798792</v>
      </c>
      <c r="H110" s="17">
        <f t="shared" si="2"/>
        <v>8667257.818</v>
      </c>
      <c r="I110" s="18">
        <f t="shared" si="3"/>
        <v>171.0986979</v>
      </c>
      <c r="J110" s="19">
        <f t="shared" si="4"/>
        <v>14829565.27</v>
      </c>
      <c r="K110" s="20">
        <v>1.504849E7</v>
      </c>
      <c r="L110" s="18">
        <f t="shared" si="5"/>
        <v>-1.454795313</v>
      </c>
    </row>
    <row r="111">
      <c r="A111" s="13" t="s">
        <v>393</v>
      </c>
      <c r="B111" s="13" t="s">
        <v>359</v>
      </c>
      <c r="C111" s="14" t="s">
        <v>360</v>
      </c>
      <c r="D111" s="15">
        <v>4548190.0</v>
      </c>
      <c r="E111" s="15">
        <v>4728850.0</v>
      </c>
      <c r="F111" s="15">
        <v>1.002786E7</v>
      </c>
      <c r="G111" s="17">
        <f t="shared" si="1"/>
        <v>3.972129572</v>
      </c>
      <c r="H111" s="17">
        <f t="shared" si="2"/>
        <v>4916686.049</v>
      </c>
      <c r="I111" s="18">
        <f t="shared" si="3"/>
        <v>212.057054</v>
      </c>
      <c r="J111" s="19">
        <f t="shared" si="4"/>
        <v>10426179.59</v>
      </c>
      <c r="K111" s="20">
        <v>1.039104E7</v>
      </c>
      <c r="L111" s="18">
        <f t="shared" si="5"/>
        <v>0.3381720457</v>
      </c>
    </row>
    <row r="112">
      <c r="A112" s="13" t="s">
        <v>393</v>
      </c>
      <c r="B112" s="13" t="s">
        <v>361</v>
      </c>
      <c r="C112" s="14" t="s">
        <v>362</v>
      </c>
      <c r="D112" s="15">
        <v>972150.0</v>
      </c>
      <c r="E112" s="15">
        <v>1063480.0</v>
      </c>
      <c r="F112" s="15">
        <v>1888520.0</v>
      </c>
      <c r="G112" s="17">
        <f t="shared" si="1"/>
        <v>9.394640745</v>
      </c>
      <c r="H112" s="17">
        <f t="shared" si="2"/>
        <v>1163390.125</v>
      </c>
      <c r="I112" s="18">
        <f t="shared" si="3"/>
        <v>177.5792681</v>
      </c>
      <c r="J112" s="19">
        <f t="shared" si="4"/>
        <v>2065939.669</v>
      </c>
      <c r="K112" s="20">
        <v>2155040.0</v>
      </c>
      <c r="L112" s="18">
        <f t="shared" si="5"/>
        <v>-4.134509364</v>
      </c>
    </row>
    <row r="113">
      <c r="A113" s="13" t="s">
        <v>393</v>
      </c>
      <c r="B113" s="13" t="s">
        <v>363</v>
      </c>
      <c r="C113" s="14" t="s">
        <v>364</v>
      </c>
      <c r="D113" s="15">
        <v>2839840.0</v>
      </c>
      <c r="E113" s="15">
        <v>3101980.0</v>
      </c>
      <c r="F113" s="15">
        <v>4110880.0</v>
      </c>
      <c r="G113" s="17">
        <f t="shared" si="1"/>
        <v>9.230801735</v>
      </c>
      <c r="H113" s="17">
        <f t="shared" si="2"/>
        <v>3388317.624</v>
      </c>
      <c r="I113" s="18">
        <f t="shared" si="3"/>
        <v>132.5243876</v>
      </c>
      <c r="J113" s="19">
        <f t="shared" si="4"/>
        <v>4490347.182</v>
      </c>
      <c r="K113" s="20">
        <v>4511690.0</v>
      </c>
      <c r="L113" s="18">
        <f t="shared" si="5"/>
        <v>-0.4730559419</v>
      </c>
    </row>
    <row r="114">
      <c r="A114" s="13" t="s">
        <v>393</v>
      </c>
      <c r="B114" s="13" t="s">
        <v>365</v>
      </c>
      <c r="C114" s="14" t="s">
        <v>366</v>
      </c>
      <c r="D114" s="15">
        <v>1561320.0</v>
      </c>
      <c r="E114" s="15">
        <v>1646620.0</v>
      </c>
      <c r="F114" s="15">
        <v>2974190.0</v>
      </c>
      <c r="G114" s="17">
        <f t="shared" si="1"/>
        <v>5.463325904</v>
      </c>
      <c r="H114" s="17">
        <f t="shared" si="2"/>
        <v>1736580.217</v>
      </c>
      <c r="I114" s="18">
        <f t="shared" si="3"/>
        <v>180.6239448</v>
      </c>
      <c r="J114" s="19">
        <f t="shared" si="4"/>
        <v>3136679.693</v>
      </c>
      <c r="K114" s="20">
        <v>3328240.0</v>
      </c>
      <c r="L114" s="18">
        <f t="shared" si="5"/>
        <v>-5.755603782</v>
      </c>
    </row>
    <row r="115">
      <c r="A115" s="13" t="s">
        <v>393</v>
      </c>
      <c r="B115" s="13" t="s">
        <v>367</v>
      </c>
      <c r="C115" s="14" t="s">
        <v>368</v>
      </c>
      <c r="D115" s="15">
        <v>2261170.0</v>
      </c>
      <c r="E115" s="15">
        <v>2357680.0</v>
      </c>
      <c r="F115" s="15">
        <v>3406850.0</v>
      </c>
      <c r="G115" s="17">
        <f t="shared" si="1"/>
        <v>4.268144368</v>
      </c>
      <c r="H115" s="17">
        <f t="shared" si="2"/>
        <v>2458309.186</v>
      </c>
      <c r="I115" s="18">
        <f t="shared" si="3"/>
        <v>144.5001018</v>
      </c>
      <c r="J115" s="19">
        <f t="shared" si="4"/>
        <v>3552259.276</v>
      </c>
      <c r="K115" s="20">
        <v>3604470.0</v>
      </c>
      <c r="L115" s="18">
        <f t="shared" si="5"/>
        <v>-1.448499325</v>
      </c>
    </row>
    <row r="116">
      <c r="A116" s="13" t="s">
        <v>393</v>
      </c>
      <c r="B116" s="13" t="s">
        <v>369</v>
      </c>
      <c r="C116" s="14" t="s">
        <v>370</v>
      </c>
      <c r="D116" s="15">
        <v>1219300.0</v>
      </c>
      <c r="E116" s="15">
        <v>1319410.0</v>
      </c>
      <c r="F116" s="15">
        <v>2418550.0</v>
      </c>
      <c r="G116" s="17">
        <f t="shared" si="1"/>
        <v>8.210448618</v>
      </c>
      <c r="H116" s="17">
        <f t="shared" si="2"/>
        <v>1427739.48</v>
      </c>
      <c r="I116" s="18">
        <f t="shared" si="3"/>
        <v>183.3054168</v>
      </c>
      <c r="J116" s="19">
        <f t="shared" si="4"/>
        <v>2617123.805</v>
      </c>
      <c r="K116" s="20">
        <v>2670030.0</v>
      </c>
      <c r="L116" s="18">
        <f t="shared" si="5"/>
        <v>-1.981483165</v>
      </c>
    </row>
    <row r="117">
      <c r="A117" s="13" t="s">
        <v>393</v>
      </c>
      <c r="B117" s="13" t="s">
        <v>371</v>
      </c>
      <c r="C117" s="14" t="s">
        <v>372</v>
      </c>
      <c r="D117" s="15">
        <v>4561640.0</v>
      </c>
      <c r="E117" s="15">
        <v>4945280.0</v>
      </c>
      <c r="F117" s="15">
        <v>9148620.0</v>
      </c>
      <c r="G117" s="17">
        <f t="shared" si="1"/>
        <v>8.410133198</v>
      </c>
      <c r="H117" s="17">
        <f t="shared" si="2"/>
        <v>5361184.635</v>
      </c>
      <c r="I117" s="18">
        <f t="shared" si="3"/>
        <v>184.9970072</v>
      </c>
      <c r="J117" s="19">
        <f t="shared" si="4"/>
        <v>9918031.128</v>
      </c>
      <c r="K117" s="20">
        <v>9563370.0</v>
      </c>
      <c r="L117" s="18">
        <f t="shared" si="5"/>
        <v>3.708537134</v>
      </c>
    </row>
    <row r="118">
      <c r="A118" s="13" t="s">
        <v>393</v>
      </c>
      <c r="B118" s="13" t="s">
        <v>373</v>
      </c>
      <c r="C118" s="14" t="s">
        <v>374</v>
      </c>
      <c r="D118" s="15">
        <v>3288020.0</v>
      </c>
      <c r="E118" s="15">
        <v>3499040.0</v>
      </c>
      <c r="F118" s="15">
        <v>6377970.0</v>
      </c>
      <c r="G118" s="17">
        <f t="shared" si="1"/>
        <v>6.417844174</v>
      </c>
      <c r="H118" s="17">
        <f t="shared" si="2"/>
        <v>3723602.935</v>
      </c>
      <c r="I118" s="18">
        <f t="shared" si="3"/>
        <v>182.2777105</v>
      </c>
      <c r="J118" s="19">
        <f t="shared" si="4"/>
        <v>6787298.176</v>
      </c>
      <c r="K118" s="20">
        <v>7023790.0</v>
      </c>
      <c r="L118" s="18">
        <f t="shared" si="5"/>
        <v>-3.367011599</v>
      </c>
    </row>
    <row r="119">
      <c r="A119" s="13" t="s">
        <v>393</v>
      </c>
      <c r="B119" s="13" t="s">
        <v>375</v>
      </c>
      <c r="C119" s="14" t="s">
        <v>376</v>
      </c>
      <c r="D119" s="15">
        <v>1054150.0</v>
      </c>
      <c r="E119" s="15">
        <v>1149780.0</v>
      </c>
      <c r="F119" s="15">
        <v>2149940.0</v>
      </c>
      <c r="G119" s="17">
        <f t="shared" si="1"/>
        <v>9.07176398</v>
      </c>
      <c r="H119" s="17">
        <f t="shared" si="2"/>
        <v>1254085.328</v>
      </c>
      <c r="I119" s="18">
        <f t="shared" si="3"/>
        <v>186.9870758</v>
      </c>
      <c r="J119" s="19">
        <f t="shared" si="4"/>
        <v>2344977.483</v>
      </c>
      <c r="K119" s="20">
        <v>2356600.0</v>
      </c>
      <c r="L119" s="18">
        <f t="shared" si="5"/>
        <v>-0.4931900823</v>
      </c>
    </row>
    <row r="120">
      <c r="A120" s="13" t="s">
        <v>393</v>
      </c>
      <c r="B120" s="13" t="s">
        <v>377</v>
      </c>
      <c r="C120" s="14" t="s">
        <v>378</v>
      </c>
      <c r="D120" s="15">
        <v>465350.0</v>
      </c>
      <c r="E120" s="15">
        <v>508950.0</v>
      </c>
      <c r="F120" s="15">
        <v>974980.0</v>
      </c>
      <c r="G120" s="17">
        <f t="shared" si="1"/>
        <v>9.369291931</v>
      </c>
      <c r="H120" s="17">
        <f t="shared" si="2"/>
        <v>556635.0113</v>
      </c>
      <c r="I120" s="18">
        <f t="shared" si="3"/>
        <v>191.5669516</v>
      </c>
      <c r="J120" s="19">
        <f t="shared" si="4"/>
        <v>1066328.722</v>
      </c>
      <c r="K120" s="20">
        <v>1104120.0</v>
      </c>
      <c r="L120" s="18">
        <f t="shared" si="5"/>
        <v>-3.422750927</v>
      </c>
    </row>
    <row r="121">
      <c r="A121" s="13" t="s">
        <v>394</v>
      </c>
      <c r="B121" s="13" t="s">
        <v>63</v>
      </c>
      <c r="C121" s="14" t="s">
        <v>66</v>
      </c>
      <c r="D121" s="15">
        <v>6.969799E7</v>
      </c>
      <c r="E121" s="15">
        <v>6.833977E7</v>
      </c>
      <c r="F121" s="15">
        <v>1.2726659E8</v>
      </c>
      <c r="G121" s="17">
        <f t="shared" si="1"/>
        <v>-1.948721907</v>
      </c>
      <c r="H121" s="17">
        <f t="shared" si="2"/>
        <v>67008017.93</v>
      </c>
      <c r="I121" s="18">
        <f t="shared" si="3"/>
        <v>186.2262486</v>
      </c>
      <c r="J121" s="19">
        <f t="shared" si="4"/>
        <v>124786518.1</v>
      </c>
      <c r="K121" s="20">
        <v>1.4091793E8</v>
      </c>
      <c r="L121" s="18">
        <f t="shared" si="5"/>
        <v>-11.4473807</v>
      </c>
    </row>
    <row r="122">
      <c r="A122" s="13" t="s">
        <v>394</v>
      </c>
      <c r="B122" s="13" t="s">
        <v>347</v>
      </c>
      <c r="C122" s="14" t="s">
        <v>348</v>
      </c>
      <c r="D122" s="15">
        <v>1.268406E7</v>
      </c>
      <c r="E122" s="15">
        <v>1.330091E7</v>
      </c>
      <c r="F122" s="15">
        <v>2.474648E7</v>
      </c>
      <c r="G122" s="17">
        <f t="shared" si="1"/>
        <v>4.863190493</v>
      </c>
      <c r="H122" s="17">
        <f t="shared" si="2"/>
        <v>13947758.59</v>
      </c>
      <c r="I122" s="18">
        <f t="shared" si="3"/>
        <v>186.0510296</v>
      </c>
      <c r="J122" s="19">
        <f t="shared" si="4"/>
        <v>25949948.46</v>
      </c>
      <c r="K122" s="20">
        <v>2.439528E7</v>
      </c>
      <c r="L122" s="18">
        <f t="shared" si="5"/>
        <v>6.372824836</v>
      </c>
    </row>
    <row r="123">
      <c r="A123" s="13" t="s">
        <v>394</v>
      </c>
      <c r="B123" s="13" t="s">
        <v>349</v>
      </c>
      <c r="C123" s="14" t="s">
        <v>350</v>
      </c>
      <c r="D123" s="15">
        <v>4.725757E7</v>
      </c>
      <c r="E123" s="15">
        <v>5.149388E7</v>
      </c>
      <c r="F123" s="15">
        <v>9.147825E7</v>
      </c>
      <c r="G123" s="17">
        <f t="shared" si="1"/>
        <v>8.964299265</v>
      </c>
      <c r="H123" s="17">
        <f t="shared" si="2"/>
        <v>56109945.51</v>
      </c>
      <c r="I123" s="18">
        <f t="shared" si="3"/>
        <v>177.6487808</v>
      </c>
      <c r="J123" s="19">
        <f t="shared" si="4"/>
        <v>99678634.09</v>
      </c>
      <c r="K123" s="20">
        <v>1.0011618E8</v>
      </c>
      <c r="L123" s="18">
        <f t="shared" si="5"/>
        <v>-0.437038157</v>
      </c>
    </row>
    <row r="124">
      <c r="A124" s="13" t="s">
        <v>394</v>
      </c>
      <c r="B124" s="13" t="s">
        <v>351</v>
      </c>
      <c r="C124" s="14" t="s">
        <v>352</v>
      </c>
      <c r="D124" s="15">
        <v>434620.0</v>
      </c>
      <c r="E124" s="15">
        <v>406670.0</v>
      </c>
      <c r="F124" s="15">
        <v>508380.0</v>
      </c>
      <c r="G124" s="17">
        <f t="shared" si="1"/>
        <v>-6.430905159</v>
      </c>
      <c r="H124" s="17">
        <f t="shared" si="2"/>
        <v>380517.438</v>
      </c>
      <c r="I124" s="18">
        <f t="shared" si="3"/>
        <v>125.0104507</v>
      </c>
      <c r="J124" s="19">
        <f t="shared" si="4"/>
        <v>475686.5644</v>
      </c>
      <c r="K124" s="20">
        <v>490730.0</v>
      </c>
      <c r="L124" s="18">
        <f t="shared" si="5"/>
        <v>-3.065521905</v>
      </c>
    </row>
    <row r="125">
      <c r="A125" s="13" t="s">
        <v>394</v>
      </c>
      <c r="B125" s="13" t="s">
        <v>353</v>
      </c>
      <c r="C125" s="14" t="s">
        <v>354</v>
      </c>
      <c r="D125" s="15">
        <v>284470.0</v>
      </c>
      <c r="E125" s="15">
        <v>283580.0</v>
      </c>
      <c r="F125" s="15">
        <v>465290.0</v>
      </c>
      <c r="G125" s="17">
        <f t="shared" si="1"/>
        <v>-0.3128625163</v>
      </c>
      <c r="H125" s="17">
        <f t="shared" si="2"/>
        <v>282692.7845</v>
      </c>
      <c r="I125" s="18">
        <f t="shared" si="3"/>
        <v>164.0771564</v>
      </c>
      <c r="J125" s="19">
        <f t="shared" si="4"/>
        <v>463834.282</v>
      </c>
      <c r="K125" s="20">
        <v>492490.0</v>
      </c>
      <c r="L125" s="18">
        <f t="shared" si="5"/>
        <v>-5.818538042</v>
      </c>
    </row>
    <row r="126">
      <c r="A126" s="13" t="s">
        <v>394</v>
      </c>
      <c r="B126" s="13" t="s">
        <v>355</v>
      </c>
      <c r="C126" s="14" t="s">
        <v>356</v>
      </c>
      <c r="D126" s="15">
        <v>2.814092E7</v>
      </c>
      <c r="E126" s="15">
        <v>2.891818E7</v>
      </c>
      <c r="F126" s="15">
        <v>4.580432E7</v>
      </c>
      <c r="G126" s="17">
        <f t="shared" si="1"/>
        <v>2.762027681</v>
      </c>
      <c r="H126" s="17">
        <f t="shared" si="2"/>
        <v>29716908.14</v>
      </c>
      <c r="I126" s="18">
        <f t="shared" si="3"/>
        <v>158.3928173</v>
      </c>
      <c r="J126" s="19">
        <f t="shared" si="4"/>
        <v>47069448</v>
      </c>
      <c r="K126" s="20">
        <v>4.869653E7</v>
      </c>
      <c r="L126" s="18">
        <f t="shared" si="5"/>
        <v>-3.34126888</v>
      </c>
    </row>
    <row r="127">
      <c r="A127" s="13" t="s">
        <v>394</v>
      </c>
      <c r="B127" s="13" t="s">
        <v>357</v>
      </c>
      <c r="C127" s="14" t="s">
        <v>358</v>
      </c>
      <c r="D127" s="15">
        <v>3.874423E7</v>
      </c>
      <c r="E127" s="15">
        <v>4.153359E7</v>
      </c>
      <c r="F127" s="15">
        <v>6.892549E7</v>
      </c>
      <c r="G127" s="17">
        <f t="shared" si="1"/>
        <v>7.199420404</v>
      </c>
      <c r="H127" s="17">
        <f t="shared" si="2"/>
        <v>44523767.75</v>
      </c>
      <c r="I127" s="18">
        <f t="shared" si="3"/>
        <v>165.9511976</v>
      </c>
      <c r="J127" s="19">
        <f t="shared" si="4"/>
        <v>73887725.79</v>
      </c>
      <c r="K127" s="20">
        <v>7.522511E7</v>
      </c>
      <c r="L127" s="18">
        <f t="shared" si="5"/>
        <v>-1.77784281</v>
      </c>
    </row>
    <row r="128">
      <c r="A128" s="13" t="s">
        <v>394</v>
      </c>
      <c r="B128" s="13" t="s">
        <v>359</v>
      </c>
      <c r="C128" s="14" t="s">
        <v>360</v>
      </c>
      <c r="D128" s="15">
        <v>1.748225E7</v>
      </c>
      <c r="E128" s="15">
        <v>1.920178E7</v>
      </c>
      <c r="F128" s="15">
        <v>3.592764E7</v>
      </c>
      <c r="G128" s="17">
        <f t="shared" si="1"/>
        <v>9.835862089</v>
      </c>
      <c r="H128" s="17">
        <f t="shared" si="2"/>
        <v>21090440.6</v>
      </c>
      <c r="I128" s="18">
        <f t="shared" si="3"/>
        <v>187.1057787</v>
      </c>
      <c r="J128" s="19">
        <f t="shared" si="4"/>
        <v>39461433.12</v>
      </c>
      <c r="K128" s="20">
        <v>3.91293E7</v>
      </c>
      <c r="L128" s="18">
        <f t="shared" si="5"/>
        <v>0.8488092609</v>
      </c>
    </row>
    <row r="129">
      <c r="A129" s="13" t="s">
        <v>394</v>
      </c>
      <c r="B129" s="13" t="s">
        <v>361</v>
      </c>
      <c r="C129" s="14" t="s">
        <v>362</v>
      </c>
      <c r="D129" s="15">
        <v>4374490.0</v>
      </c>
      <c r="E129" s="15">
        <v>4616760.0</v>
      </c>
      <c r="F129" s="15">
        <v>7796370.0</v>
      </c>
      <c r="G129" s="17">
        <f t="shared" si="1"/>
        <v>5.538245601</v>
      </c>
      <c r="H129" s="17">
        <f t="shared" si="2"/>
        <v>4872447.508</v>
      </c>
      <c r="I129" s="18">
        <f t="shared" si="3"/>
        <v>168.8710264</v>
      </c>
      <c r="J129" s="19">
        <f t="shared" si="4"/>
        <v>8228152.119</v>
      </c>
      <c r="K129" s="20">
        <v>8608460.0</v>
      </c>
      <c r="L129" s="18">
        <f t="shared" si="5"/>
        <v>-4.417838747</v>
      </c>
    </row>
    <row r="130">
      <c r="A130" s="13" t="s">
        <v>394</v>
      </c>
      <c r="B130" s="13" t="s">
        <v>363</v>
      </c>
      <c r="C130" s="14" t="s">
        <v>364</v>
      </c>
      <c r="D130" s="15">
        <v>1.492433E7</v>
      </c>
      <c r="E130" s="15">
        <v>1.621133E7</v>
      </c>
      <c r="F130" s="15">
        <v>1.886041E7</v>
      </c>
      <c r="G130" s="17">
        <f t="shared" si="1"/>
        <v>8.623502697</v>
      </c>
      <c r="H130" s="17">
        <f t="shared" si="2"/>
        <v>17609314.48</v>
      </c>
      <c r="I130" s="18">
        <f t="shared" si="3"/>
        <v>116.3409171</v>
      </c>
      <c r="J130" s="19">
        <f t="shared" si="4"/>
        <v>20486837.96</v>
      </c>
      <c r="K130" s="20">
        <v>1.964597E7</v>
      </c>
      <c r="L130" s="18">
        <f t="shared" si="5"/>
        <v>4.280104087</v>
      </c>
    </row>
    <row r="131">
      <c r="A131" s="13" t="s">
        <v>394</v>
      </c>
      <c r="B131" s="13" t="s">
        <v>365</v>
      </c>
      <c r="C131" s="14" t="s">
        <v>366</v>
      </c>
      <c r="D131" s="15">
        <v>5181360.0</v>
      </c>
      <c r="E131" s="15">
        <v>5430510.0</v>
      </c>
      <c r="F131" s="15">
        <v>9636450.0</v>
      </c>
      <c r="G131" s="17">
        <f t="shared" si="1"/>
        <v>4.808583075</v>
      </c>
      <c r="H131" s="17">
        <f t="shared" si="2"/>
        <v>5691640.585</v>
      </c>
      <c r="I131" s="18">
        <f t="shared" si="3"/>
        <v>177.4501842</v>
      </c>
      <c r="J131" s="19">
        <f t="shared" si="4"/>
        <v>10099826.7</v>
      </c>
      <c r="K131" s="20">
        <v>1.043942E7</v>
      </c>
      <c r="L131" s="18">
        <f t="shared" si="5"/>
        <v>-3.252990073</v>
      </c>
    </row>
    <row r="132">
      <c r="A132" s="13" t="s">
        <v>394</v>
      </c>
      <c r="B132" s="13" t="s">
        <v>367</v>
      </c>
      <c r="C132" s="14" t="s">
        <v>368</v>
      </c>
      <c r="D132" s="15">
        <v>7745860.0</v>
      </c>
      <c r="E132" s="15">
        <v>8269420.0</v>
      </c>
      <c r="F132" s="15">
        <v>1.272463E7</v>
      </c>
      <c r="G132" s="17">
        <f t="shared" si="1"/>
        <v>6.759223637</v>
      </c>
      <c r="H132" s="17">
        <f t="shared" si="2"/>
        <v>8828368.591</v>
      </c>
      <c r="I132" s="18">
        <f t="shared" si="3"/>
        <v>153.8757253</v>
      </c>
      <c r="J132" s="19">
        <f t="shared" si="4"/>
        <v>13584716.2</v>
      </c>
      <c r="K132" s="20">
        <v>1.363374E7</v>
      </c>
      <c r="L132" s="18">
        <f t="shared" si="5"/>
        <v>-0.3595770591</v>
      </c>
    </row>
    <row r="133">
      <c r="A133" s="13" t="s">
        <v>394</v>
      </c>
      <c r="B133" s="13" t="s">
        <v>369</v>
      </c>
      <c r="C133" s="14" t="s">
        <v>370</v>
      </c>
      <c r="D133" s="15">
        <v>414200.0</v>
      </c>
      <c r="E133" s="15">
        <v>451420.0</v>
      </c>
      <c r="F133" s="15">
        <v>806810.0</v>
      </c>
      <c r="G133" s="17">
        <f t="shared" si="1"/>
        <v>8.985997103</v>
      </c>
      <c r="H133" s="17">
        <f t="shared" si="2"/>
        <v>491984.5881</v>
      </c>
      <c r="I133" s="18">
        <f t="shared" si="3"/>
        <v>178.7271277</v>
      </c>
      <c r="J133" s="19">
        <f t="shared" si="4"/>
        <v>879309.9232</v>
      </c>
      <c r="K133" s="20">
        <v>857010.0</v>
      </c>
      <c r="L133" s="18">
        <f t="shared" si="5"/>
        <v>2.602061029</v>
      </c>
    </row>
    <row r="134">
      <c r="A134" s="13" t="s">
        <v>394</v>
      </c>
      <c r="B134" s="13" t="s">
        <v>371</v>
      </c>
      <c r="C134" s="14" t="s">
        <v>372</v>
      </c>
      <c r="D134" s="15">
        <v>8034210.0</v>
      </c>
      <c r="E134" s="15">
        <v>8601240.0</v>
      </c>
      <c r="F134" s="15">
        <v>1.497158E7</v>
      </c>
      <c r="G134" s="17">
        <f t="shared" si="1"/>
        <v>7.057694534</v>
      </c>
      <c r="H134" s="17">
        <f t="shared" si="2"/>
        <v>9208289.245</v>
      </c>
      <c r="I134" s="18">
        <f t="shared" si="3"/>
        <v>174.0630421</v>
      </c>
      <c r="J134" s="19">
        <f t="shared" si="4"/>
        <v>16028228.38</v>
      </c>
      <c r="K134" s="20">
        <v>1.578249E7</v>
      </c>
      <c r="L134" s="18">
        <f t="shared" si="5"/>
        <v>1.557031769</v>
      </c>
    </row>
    <row r="135">
      <c r="A135" s="13" t="s">
        <v>394</v>
      </c>
      <c r="B135" s="13" t="s">
        <v>373</v>
      </c>
      <c r="C135" s="14" t="s">
        <v>374</v>
      </c>
      <c r="D135" s="15">
        <v>7849020.0</v>
      </c>
      <c r="E135" s="15">
        <v>7966030.0</v>
      </c>
      <c r="F135" s="15">
        <v>1.367674E7</v>
      </c>
      <c r="G135" s="17">
        <f t="shared" si="1"/>
        <v>1.490759356</v>
      </c>
      <c r="H135" s="17">
        <f t="shared" si="2"/>
        <v>8084784.338</v>
      </c>
      <c r="I135" s="18">
        <f t="shared" si="3"/>
        <v>171.6882814</v>
      </c>
      <c r="J135" s="19">
        <f t="shared" si="4"/>
        <v>13880627.28</v>
      </c>
      <c r="K135" s="20">
        <v>1.418804E7</v>
      </c>
      <c r="L135" s="18">
        <f t="shared" si="5"/>
        <v>-2.166703215</v>
      </c>
    </row>
    <row r="136">
      <c r="A136" s="13" t="s">
        <v>394</v>
      </c>
      <c r="B136" s="13" t="s">
        <v>375</v>
      </c>
      <c r="C136" s="14" t="s">
        <v>376</v>
      </c>
      <c r="D136" s="15">
        <v>2872530.0</v>
      </c>
      <c r="E136" s="15">
        <v>3082070.0</v>
      </c>
      <c r="F136" s="15">
        <v>4839490.0</v>
      </c>
      <c r="G136" s="17">
        <f t="shared" si="1"/>
        <v>7.294614852</v>
      </c>
      <c r="H136" s="17">
        <f t="shared" si="2"/>
        <v>3306895.136</v>
      </c>
      <c r="I136" s="18">
        <f t="shared" si="3"/>
        <v>157.0207685</v>
      </c>
      <c r="J136" s="19">
        <f t="shared" si="4"/>
        <v>5192512.156</v>
      </c>
      <c r="K136" s="20">
        <v>5051930.0</v>
      </c>
      <c r="L136" s="18">
        <f t="shared" si="5"/>
        <v>2.782741572</v>
      </c>
    </row>
    <row r="137">
      <c r="A137" s="13" t="s">
        <v>394</v>
      </c>
      <c r="B137" s="13" t="s">
        <v>377</v>
      </c>
      <c r="C137" s="14" t="s">
        <v>378</v>
      </c>
      <c r="D137" s="15">
        <v>3118440.0</v>
      </c>
      <c r="E137" s="15">
        <v>3450070.0</v>
      </c>
      <c r="F137" s="15">
        <v>5607600.0</v>
      </c>
      <c r="G137" s="17">
        <f t="shared" si="1"/>
        <v>10.63448391</v>
      </c>
      <c r="H137" s="17">
        <f t="shared" si="2"/>
        <v>3816967.139</v>
      </c>
      <c r="I137" s="18">
        <f t="shared" si="3"/>
        <v>162.5358326</v>
      </c>
      <c r="J137" s="19">
        <f t="shared" si="4"/>
        <v>6203939.32</v>
      </c>
      <c r="K137" s="20">
        <v>6175940.0</v>
      </c>
      <c r="L137" s="18">
        <f t="shared" si="5"/>
        <v>0.4533612642</v>
      </c>
    </row>
    <row r="138">
      <c r="A138" s="13" t="s">
        <v>395</v>
      </c>
      <c r="B138" s="13" t="s">
        <v>63</v>
      </c>
      <c r="C138" s="14" t="s">
        <v>66</v>
      </c>
      <c r="D138" s="15">
        <v>1.128188E7</v>
      </c>
      <c r="E138" s="15">
        <v>1.163495E7</v>
      </c>
      <c r="F138" s="15">
        <v>2.178646E7</v>
      </c>
      <c r="G138" s="17">
        <f t="shared" si="1"/>
        <v>3.129531603</v>
      </c>
      <c r="H138" s="17">
        <f t="shared" si="2"/>
        <v>11999069.44</v>
      </c>
      <c r="I138" s="18">
        <f t="shared" si="3"/>
        <v>187.2501386</v>
      </c>
      <c r="J138" s="19">
        <f t="shared" si="4"/>
        <v>22468274.15</v>
      </c>
      <c r="K138" s="20">
        <v>2.405772E7</v>
      </c>
      <c r="L138" s="18">
        <f t="shared" si="5"/>
        <v>-6.60680168</v>
      </c>
    </row>
    <row r="139">
      <c r="A139" s="13" t="s">
        <v>395</v>
      </c>
      <c r="B139" s="13" t="s">
        <v>347</v>
      </c>
      <c r="C139" s="14" t="s">
        <v>348</v>
      </c>
      <c r="D139" s="15">
        <v>6406130.0</v>
      </c>
      <c r="E139" s="15">
        <v>6149520.0</v>
      </c>
      <c r="F139" s="15">
        <v>8110480.0</v>
      </c>
      <c r="G139" s="17">
        <f t="shared" si="1"/>
        <v>-4.005694546</v>
      </c>
      <c r="H139" s="17">
        <f t="shared" si="2"/>
        <v>5903189.013</v>
      </c>
      <c r="I139" s="18">
        <f t="shared" si="3"/>
        <v>131.8880173</v>
      </c>
      <c r="J139" s="19">
        <f t="shared" si="4"/>
        <v>7785598.945</v>
      </c>
      <c r="K139" s="20">
        <v>9214660.0</v>
      </c>
      <c r="L139" s="18">
        <f t="shared" si="5"/>
        <v>-15.50855978</v>
      </c>
    </row>
    <row r="140">
      <c r="A140" s="13" t="s">
        <v>395</v>
      </c>
      <c r="B140" s="13" t="s">
        <v>349</v>
      </c>
      <c r="C140" s="14" t="s">
        <v>350</v>
      </c>
      <c r="D140" s="15">
        <v>1.272401E7</v>
      </c>
      <c r="E140" s="15">
        <v>1.22237E7</v>
      </c>
      <c r="F140" s="15">
        <v>2.214152E7</v>
      </c>
      <c r="G140" s="17">
        <f t="shared" si="1"/>
        <v>-3.932015143</v>
      </c>
      <c r="H140" s="17">
        <f t="shared" si="2"/>
        <v>11743062.26</v>
      </c>
      <c r="I140" s="18">
        <f t="shared" si="3"/>
        <v>181.1359899</v>
      </c>
      <c r="J140" s="19">
        <f t="shared" si="4"/>
        <v>21270912.08</v>
      </c>
      <c r="K140" s="20">
        <v>2.469247E7</v>
      </c>
      <c r="L140" s="18">
        <f t="shared" si="5"/>
        <v>-13.85668554</v>
      </c>
    </row>
    <row r="141">
      <c r="A141" s="13" t="s">
        <v>395</v>
      </c>
      <c r="B141" s="13" t="s">
        <v>351</v>
      </c>
      <c r="C141" s="14" t="s">
        <v>352</v>
      </c>
      <c r="D141" s="15">
        <v>60370.0</v>
      </c>
      <c r="E141" s="15">
        <v>63410.0</v>
      </c>
      <c r="F141" s="15">
        <v>117590.0</v>
      </c>
      <c r="G141" s="17">
        <f t="shared" si="1"/>
        <v>5.035613715</v>
      </c>
      <c r="H141" s="17">
        <f t="shared" si="2"/>
        <v>66603.08266</v>
      </c>
      <c r="I141" s="18">
        <f t="shared" si="3"/>
        <v>185.4439363</v>
      </c>
      <c r="J141" s="19">
        <f t="shared" si="4"/>
        <v>123511.3782</v>
      </c>
      <c r="K141" s="20">
        <v>125730.0</v>
      </c>
      <c r="L141" s="18">
        <f t="shared" si="5"/>
        <v>-1.764592247</v>
      </c>
    </row>
    <row r="142">
      <c r="A142" s="13" t="s">
        <v>395</v>
      </c>
      <c r="B142" s="13" t="s">
        <v>353</v>
      </c>
      <c r="C142" s="14" t="s">
        <v>354</v>
      </c>
      <c r="D142" s="15">
        <v>10640.0</v>
      </c>
      <c r="E142" s="15">
        <v>11050.0</v>
      </c>
      <c r="F142" s="15">
        <v>21200.0</v>
      </c>
      <c r="G142" s="17">
        <f t="shared" si="1"/>
        <v>3.853383459</v>
      </c>
      <c r="H142" s="17">
        <f t="shared" si="2"/>
        <v>11475.79887</v>
      </c>
      <c r="I142" s="18">
        <f t="shared" si="3"/>
        <v>191.8552036</v>
      </c>
      <c r="J142" s="19">
        <f t="shared" si="4"/>
        <v>22016.91729</v>
      </c>
      <c r="K142" s="20">
        <v>22800.0</v>
      </c>
      <c r="L142" s="18">
        <f t="shared" si="5"/>
        <v>-3.434573275</v>
      </c>
    </row>
    <row r="143">
      <c r="A143" s="13" t="s">
        <v>395</v>
      </c>
      <c r="B143" s="13" t="s">
        <v>355</v>
      </c>
      <c r="C143" s="14" t="s">
        <v>356</v>
      </c>
      <c r="D143" s="15">
        <v>5278870.0</v>
      </c>
      <c r="E143" s="15">
        <v>5248610.0</v>
      </c>
      <c r="F143" s="15">
        <v>9784120.0</v>
      </c>
      <c r="G143" s="17">
        <f t="shared" si="1"/>
        <v>-0.5732287402</v>
      </c>
      <c r="H143" s="17">
        <f t="shared" si="2"/>
        <v>5218523.459</v>
      </c>
      <c r="I143" s="18">
        <f t="shared" si="3"/>
        <v>186.4135457</v>
      </c>
      <c r="J143" s="19">
        <f t="shared" si="4"/>
        <v>9728034.612</v>
      </c>
      <c r="K143" s="20">
        <v>9766760.0</v>
      </c>
      <c r="L143" s="18">
        <f t="shared" si="5"/>
        <v>-0.3965018882</v>
      </c>
    </row>
    <row r="144">
      <c r="A144" s="13" t="s">
        <v>395</v>
      </c>
      <c r="B144" s="13" t="s">
        <v>357</v>
      </c>
      <c r="C144" s="14" t="s">
        <v>358</v>
      </c>
      <c r="D144" s="15">
        <v>8689300.0</v>
      </c>
      <c r="E144" s="15">
        <v>8659350.0</v>
      </c>
      <c r="F144" s="15">
        <v>1.651536E7</v>
      </c>
      <c r="G144" s="17">
        <f t="shared" si="1"/>
        <v>-0.3446767864</v>
      </c>
      <c r="H144" s="17">
        <f t="shared" si="2"/>
        <v>8629503.231</v>
      </c>
      <c r="I144" s="18">
        <f t="shared" si="3"/>
        <v>190.7228603</v>
      </c>
      <c r="J144" s="19">
        <f t="shared" si="4"/>
        <v>16458435.39</v>
      </c>
      <c r="K144" s="20">
        <v>1.828646E7</v>
      </c>
      <c r="L144" s="18">
        <f t="shared" si="5"/>
        <v>-9.996601924</v>
      </c>
    </row>
    <row r="145">
      <c r="A145" s="13" t="s">
        <v>395</v>
      </c>
      <c r="B145" s="13" t="s">
        <v>359</v>
      </c>
      <c r="C145" s="14" t="s">
        <v>360</v>
      </c>
      <c r="D145" s="15">
        <v>2489440.0</v>
      </c>
      <c r="E145" s="15">
        <v>2548800.0</v>
      </c>
      <c r="F145" s="15">
        <v>5219080.0</v>
      </c>
      <c r="G145" s="17">
        <f t="shared" si="1"/>
        <v>2.38447201</v>
      </c>
      <c r="H145" s="17">
        <f t="shared" si="2"/>
        <v>2609575.423</v>
      </c>
      <c r="I145" s="18">
        <f t="shared" si="3"/>
        <v>204.7661645</v>
      </c>
      <c r="J145" s="19">
        <f t="shared" si="4"/>
        <v>5343527.502</v>
      </c>
      <c r="K145" s="20">
        <v>5529280.0</v>
      </c>
      <c r="L145" s="18">
        <f t="shared" si="5"/>
        <v>-3.359433746</v>
      </c>
    </row>
    <row r="146">
      <c r="A146" s="13" t="s">
        <v>395</v>
      </c>
      <c r="B146" s="13" t="s">
        <v>361</v>
      </c>
      <c r="C146" s="14" t="s">
        <v>362</v>
      </c>
      <c r="D146" s="15">
        <v>1716940.0</v>
      </c>
      <c r="E146" s="15">
        <v>1779510.0</v>
      </c>
      <c r="F146" s="15">
        <v>3490850.0</v>
      </c>
      <c r="G146" s="17">
        <f t="shared" si="1"/>
        <v>3.644274116</v>
      </c>
      <c r="H146" s="17">
        <f t="shared" si="2"/>
        <v>1844360.222</v>
      </c>
      <c r="I146" s="18">
        <f t="shared" si="3"/>
        <v>196.1691702</v>
      </c>
      <c r="J146" s="19">
        <f t="shared" si="4"/>
        <v>3618066.143</v>
      </c>
      <c r="K146" s="20">
        <v>3875900.0</v>
      </c>
      <c r="L146" s="18">
        <f t="shared" si="5"/>
        <v>-6.652231921</v>
      </c>
    </row>
    <row r="147">
      <c r="A147" s="13" t="s">
        <v>395</v>
      </c>
      <c r="B147" s="13" t="s">
        <v>363</v>
      </c>
      <c r="C147" s="14" t="s">
        <v>364</v>
      </c>
      <c r="D147" s="15">
        <v>1965180.0</v>
      </c>
      <c r="E147" s="15">
        <v>2158380.0</v>
      </c>
      <c r="F147" s="15">
        <v>2527210.0</v>
      </c>
      <c r="G147" s="17">
        <f t="shared" si="1"/>
        <v>9.831160504</v>
      </c>
      <c r="H147" s="17">
        <f t="shared" si="2"/>
        <v>2370573.802</v>
      </c>
      <c r="I147" s="18">
        <f t="shared" si="3"/>
        <v>117.0882792</v>
      </c>
      <c r="J147" s="19">
        <f t="shared" si="4"/>
        <v>2775664.071</v>
      </c>
      <c r="K147" s="20">
        <v>2736350.0</v>
      </c>
      <c r="L147" s="18">
        <f t="shared" si="5"/>
        <v>1.436734021</v>
      </c>
    </row>
    <row r="148">
      <c r="A148" s="13" t="s">
        <v>395</v>
      </c>
      <c r="B148" s="13" t="s">
        <v>365</v>
      </c>
      <c r="C148" s="14" t="s">
        <v>366</v>
      </c>
      <c r="D148" s="15">
        <v>1169890.0</v>
      </c>
      <c r="E148" s="15">
        <v>1179320.0</v>
      </c>
      <c r="F148" s="15">
        <v>2111370.0</v>
      </c>
      <c r="G148" s="17">
        <f t="shared" si="1"/>
        <v>0.8060586893</v>
      </c>
      <c r="H148" s="17">
        <f t="shared" si="2"/>
        <v>1188826.011</v>
      </c>
      <c r="I148" s="18">
        <f t="shared" si="3"/>
        <v>179.0328325</v>
      </c>
      <c r="J148" s="19">
        <f t="shared" si="4"/>
        <v>2128388.881</v>
      </c>
      <c r="K148" s="20">
        <v>2168400.0</v>
      </c>
      <c r="L148" s="18">
        <f t="shared" si="5"/>
        <v>-1.845190862</v>
      </c>
    </row>
    <row r="149">
      <c r="A149" s="13" t="s">
        <v>395</v>
      </c>
      <c r="B149" s="13" t="s">
        <v>367</v>
      </c>
      <c r="C149" s="14" t="s">
        <v>368</v>
      </c>
      <c r="D149" s="15">
        <v>2111160.0</v>
      </c>
      <c r="E149" s="15">
        <v>2185890.0</v>
      </c>
      <c r="F149" s="15">
        <v>3649570.0</v>
      </c>
      <c r="G149" s="17">
        <f t="shared" si="1"/>
        <v>3.539760132</v>
      </c>
      <c r="H149" s="17">
        <f t="shared" si="2"/>
        <v>2263265.263</v>
      </c>
      <c r="I149" s="18">
        <f t="shared" si="3"/>
        <v>166.9603685</v>
      </c>
      <c r="J149" s="19">
        <f t="shared" si="4"/>
        <v>3778756.024</v>
      </c>
      <c r="K149" s="20">
        <v>3833090.0</v>
      </c>
      <c r="L149" s="18">
        <f t="shared" si="5"/>
        <v>-1.417498054</v>
      </c>
    </row>
    <row r="150">
      <c r="A150" s="13" t="s">
        <v>395</v>
      </c>
      <c r="B150" s="13" t="s">
        <v>369</v>
      </c>
      <c r="C150" s="14" t="s">
        <v>370</v>
      </c>
      <c r="D150" s="15">
        <v>151640.0</v>
      </c>
      <c r="E150" s="15">
        <v>162090.0</v>
      </c>
      <c r="F150" s="15">
        <v>325950.0</v>
      </c>
      <c r="G150" s="17">
        <f t="shared" si="1"/>
        <v>6.891321551</v>
      </c>
      <c r="H150" s="17">
        <f t="shared" si="2"/>
        <v>173260.1431</v>
      </c>
      <c r="I150" s="18">
        <f t="shared" si="3"/>
        <v>201.0919859</v>
      </c>
      <c r="J150" s="19">
        <f t="shared" si="4"/>
        <v>348412.2626</v>
      </c>
      <c r="K150" s="20">
        <v>353530.0</v>
      </c>
      <c r="L150" s="18">
        <f t="shared" si="5"/>
        <v>-1.447610501</v>
      </c>
    </row>
    <row r="151">
      <c r="A151" s="13" t="s">
        <v>395</v>
      </c>
      <c r="B151" s="13" t="s">
        <v>371</v>
      </c>
      <c r="C151" s="14" t="s">
        <v>372</v>
      </c>
      <c r="D151" s="15">
        <v>3299530.0</v>
      </c>
      <c r="E151" s="15">
        <v>3590500.0</v>
      </c>
      <c r="F151" s="15">
        <v>5890120.0</v>
      </c>
      <c r="G151" s="17">
        <f t="shared" si="1"/>
        <v>8.8185287</v>
      </c>
      <c r="H151" s="17">
        <f t="shared" si="2"/>
        <v>3907129.273</v>
      </c>
      <c r="I151" s="18">
        <f t="shared" si="3"/>
        <v>164.0473472</v>
      </c>
      <c r="J151" s="19">
        <f t="shared" si="4"/>
        <v>6409541.923</v>
      </c>
      <c r="K151" s="20">
        <v>5875420.0</v>
      </c>
      <c r="L151" s="18">
        <f t="shared" si="5"/>
        <v>9.090787086</v>
      </c>
    </row>
    <row r="152">
      <c r="A152" s="13" t="s">
        <v>395</v>
      </c>
      <c r="B152" s="13" t="s">
        <v>373</v>
      </c>
      <c r="C152" s="14" t="s">
        <v>374</v>
      </c>
      <c r="D152" s="15">
        <v>1600080.0</v>
      </c>
      <c r="E152" s="15">
        <v>1771290.0</v>
      </c>
      <c r="F152" s="15">
        <v>3361100.0</v>
      </c>
      <c r="G152" s="17">
        <f t="shared" si="1"/>
        <v>10.70009</v>
      </c>
      <c r="H152" s="17">
        <f t="shared" si="2"/>
        <v>1960819.624</v>
      </c>
      <c r="I152" s="18">
        <f t="shared" si="3"/>
        <v>189.7543598</v>
      </c>
      <c r="J152" s="19">
        <f t="shared" si="4"/>
        <v>3720740.725</v>
      </c>
      <c r="K152" s="20">
        <v>3619800.0</v>
      </c>
      <c r="L152" s="18">
        <f t="shared" si="5"/>
        <v>2.788571878</v>
      </c>
    </row>
    <row r="153">
      <c r="A153" s="13" t="s">
        <v>395</v>
      </c>
      <c r="B153" s="13" t="s">
        <v>375</v>
      </c>
      <c r="C153" s="14" t="s">
        <v>376</v>
      </c>
      <c r="D153" s="15">
        <v>894450.0</v>
      </c>
      <c r="E153" s="15">
        <v>909110.0</v>
      </c>
      <c r="F153" s="15">
        <v>1458110.0</v>
      </c>
      <c r="G153" s="17">
        <f t="shared" si="1"/>
        <v>1.638996031</v>
      </c>
      <c r="H153" s="17">
        <f t="shared" si="2"/>
        <v>924010.2768</v>
      </c>
      <c r="I153" s="18">
        <f t="shared" si="3"/>
        <v>160.3887318</v>
      </c>
      <c r="J153" s="19">
        <f t="shared" si="4"/>
        <v>1482008.365</v>
      </c>
      <c r="K153" s="20">
        <v>1556560.0</v>
      </c>
      <c r="L153" s="18">
        <f t="shared" si="5"/>
        <v>-4.789512449</v>
      </c>
    </row>
    <row r="154">
      <c r="A154" s="13" t="s">
        <v>395</v>
      </c>
      <c r="B154" s="13" t="s">
        <v>377</v>
      </c>
      <c r="C154" s="14" t="s">
        <v>378</v>
      </c>
      <c r="D154" s="15">
        <v>486810.0</v>
      </c>
      <c r="E154" s="15">
        <v>526400.0</v>
      </c>
      <c r="F154" s="15">
        <v>993100.0</v>
      </c>
      <c r="G154" s="17">
        <f t="shared" si="1"/>
        <v>8.132536308</v>
      </c>
      <c r="H154" s="17">
        <f t="shared" si="2"/>
        <v>569209.6711</v>
      </c>
      <c r="I154" s="18">
        <f t="shared" si="3"/>
        <v>188.6588146</v>
      </c>
      <c r="J154" s="19">
        <f t="shared" si="4"/>
        <v>1073864.218</v>
      </c>
      <c r="K154" s="20">
        <v>1096820.0</v>
      </c>
      <c r="L154" s="18">
        <f t="shared" si="5"/>
        <v>-2.092939765</v>
      </c>
    </row>
    <row r="155">
      <c r="A155" s="13" t="s">
        <v>396</v>
      </c>
      <c r="B155" s="13" t="s">
        <v>63</v>
      </c>
      <c r="C155" s="14" t="s">
        <v>66</v>
      </c>
      <c r="D155" s="15">
        <v>5687630.0</v>
      </c>
      <c r="E155" s="15">
        <v>5720170.0</v>
      </c>
      <c r="F155" s="15">
        <v>1.035553E7</v>
      </c>
      <c r="G155" s="17">
        <f t="shared" si="1"/>
        <v>0.5721187911</v>
      </c>
      <c r="H155" s="17">
        <f t="shared" si="2"/>
        <v>5752896.167</v>
      </c>
      <c r="I155" s="18">
        <f t="shared" si="3"/>
        <v>181.0353538</v>
      </c>
      <c r="J155" s="19">
        <f t="shared" si="4"/>
        <v>10414775.93</v>
      </c>
      <c r="K155" s="20">
        <v>1.138808E7</v>
      </c>
      <c r="L155" s="18">
        <f t="shared" si="5"/>
        <v>-8.546691514</v>
      </c>
    </row>
    <row r="156">
      <c r="A156" s="13" t="s">
        <v>396</v>
      </c>
      <c r="B156" s="13" t="s">
        <v>347</v>
      </c>
      <c r="C156" s="14" t="s">
        <v>348</v>
      </c>
      <c r="D156" s="15">
        <v>2.240626E7</v>
      </c>
      <c r="E156" s="15">
        <v>2.065099E7</v>
      </c>
      <c r="F156" s="15">
        <v>3.424244E7</v>
      </c>
      <c r="G156" s="17">
        <f t="shared" si="1"/>
        <v>-7.833837508</v>
      </c>
      <c r="H156" s="17">
        <f t="shared" si="2"/>
        <v>19033225</v>
      </c>
      <c r="I156" s="18">
        <f t="shared" si="3"/>
        <v>165.8150045</v>
      </c>
      <c r="J156" s="19">
        <f t="shared" si="4"/>
        <v>31559942.89</v>
      </c>
      <c r="K156" s="20">
        <v>3.839666E7</v>
      </c>
      <c r="L156" s="18">
        <f t="shared" si="5"/>
        <v>-17.80549951</v>
      </c>
    </row>
    <row r="157">
      <c r="A157" s="13" t="s">
        <v>396</v>
      </c>
      <c r="B157" s="13" t="s">
        <v>349</v>
      </c>
      <c r="C157" s="14" t="s">
        <v>350</v>
      </c>
      <c r="D157" s="15">
        <v>8.130296E7</v>
      </c>
      <c r="E157" s="15">
        <v>8.761669E7</v>
      </c>
      <c r="F157" s="15">
        <v>1.4462895E8</v>
      </c>
      <c r="G157" s="17">
        <f t="shared" si="1"/>
        <v>7.765682824</v>
      </c>
      <c r="H157" s="17">
        <f t="shared" si="2"/>
        <v>94420724.25</v>
      </c>
      <c r="I157" s="18">
        <f t="shared" si="3"/>
        <v>165.0700911</v>
      </c>
      <c r="J157" s="19">
        <f t="shared" si="4"/>
        <v>155860375.5</v>
      </c>
      <c r="K157" s="20">
        <v>1.5868594E8</v>
      </c>
      <c r="L157" s="18">
        <f t="shared" si="5"/>
        <v>-1.780601654</v>
      </c>
    </row>
    <row r="158">
      <c r="A158" s="13" t="s">
        <v>396</v>
      </c>
      <c r="B158" s="13" t="s">
        <v>351</v>
      </c>
      <c r="C158" s="14" t="s">
        <v>352</v>
      </c>
      <c r="D158" s="15">
        <v>2073120.0</v>
      </c>
      <c r="E158" s="15">
        <v>2222430.0</v>
      </c>
      <c r="F158" s="15">
        <v>3865210.0</v>
      </c>
      <c r="G158" s="17">
        <f t="shared" si="1"/>
        <v>7.202188006</v>
      </c>
      <c r="H158" s="17">
        <f t="shared" si="2"/>
        <v>2382493.587</v>
      </c>
      <c r="I158" s="18">
        <f t="shared" si="3"/>
        <v>173.9181886</v>
      </c>
      <c r="J158" s="19">
        <f t="shared" si="4"/>
        <v>4143589.691</v>
      </c>
      <c r="K158" s="20">
        <v>4356550.0</v>
      </c>
      <c r="L158" s="18">
        <f t="shared" si="5"/>
        <v>-4.888278775</v>
      </c>
    </row>
    <row r="159">
      <c r="A159" s="13" t="s">
        <v>396</v>
      </c>
      <c r="B159" s="13" t="s">
        <v>353</v>
      </c>
      <c r="C159" s="14" t="s">
        <v>354</v>
      </c>
      <c r="D159" s="15">
        <v>248560.0</v>
      </c>
      <c r="E159" s="15">
        <v>253490.0</v>
      </c>
      <c r="F159" s="15">
        <v>343470.0</v>
      </c>
      <c r="G159" s="17">
        <f t="shared" si="1"/>
        <v>1.983424525</v>
      </c>
      <c r="H159" s="17">
        <f t="shared" si="2"/>
        <v>258517.7828</v>
      </c>
      <c r="I159" s="18">
        <f t="shared" si="3"/>
        <v>135.4964693</v>
      </c>
      <c r="J159" s="19">
        <f t="shared" si="4"/>
        <v>350282.4682</v>
      </c>
      <c r="K159" s="20">
        <v>388910.0</v>
      </c>
      <c r="L159" s="18">
        <f t="shared" si="5"/>
        <v>-9.932254708</v>
      </c>
    </row>
    <row r="160">
      <c r="A160" s="13" t="s">
        <v>396</v>
      </c>
      <c r="B160" s="13" t="s">
        <v>355</v>
      </c>
      <c r="C160" s="14" t="s">
        <v>356</v>
      </c>
      <c r="D160" s="15">
        <v>3.858025E7</v>
      </c>
      <c r="E160" s="15">
        <v>4.07995E7</v>
      </c>
      <c r="F160" s="15">
        <v>7.135576E7</v>
      </c>
      <c r="G160" s="17">
        <f t="shared" si="1"/>
        <v>5.75229554</v>
      </c>
      <c r="H160" s="17">
        <f t="shared" si="2"/>
        <v>43146407.82</v>
      </c>
      <c r="I160" s="18">
        <f t="shared" si="3"/>
        <v>174.8937119</v>
      </c>
      <c r="J160" s="19">
        <f t="shared" si="4"/>
        <v>75460354.2</v>
      </c>
      <c r="K160" s="20">
        <v>7.585834E7</v>
      </c>
      <c r="L160" s="18">
        <f t="shared" si="5"/>
        <v>-0.5246434342</v>
      </c>
    </row>
    <row r="161">
      <c r="A161" s="13" t="s">
        <v>396</v>
      </c>
      <c r="B161" s="13" t="s">
        <v>357</v>
      </c>
      <c r="C161" s="14" t="s">
        <v>358</v>
      </c>
      <c r="D161" s="15">
        <v>1.638552E7</v>
      </c>
      <c r="E161" s="15">
        <v>1.730186E7</v>
      </c>
      <c r="F161" s="15">
        <v>3.260264E7</v>
      </c>
      <c r="G161" s="17">
        <f t="shared" si="1"/>
        <v>5.592376684</v>
      </c>
      <c r="H161" s="17">
        <f t="shared" si="2"/>
        <v>18269445.18</v>
      </c>
      <c r="I161" s="18">
        <f t="shared" si="3"/>
        <v>188.4343071</v>
      </c>
      <c r="J161" s="19">
        <f t="shared" si="4"/>
        <v>34425902.44</v>
      </c>
      <c r="K161" s="20">
        <v>3.596576E7</v>
      </c>
      <c r="L161" s="18">
        <f t="shared" si="5"/>
        <v>-4.281454256</v>
      </c>
    </row>
    <row r="162">
      <c r="A162" s="13" t="s">
        <v>396</v>
      </c>
      <c r="B162" s="13" t="s">
        <v>359</v>
      </c>
      <c r="C162" s="14" t="s">
        <v>360</v>
      </c>
      <c r="D162" s="15">
        <v>3999010.0</v>
      </c>
      <c r="E162" s="15">
        <v>4099380.0</v>
      </c>
      <c r="F162" s="15">
        <v>7207250.0</v>
      </c>
      <c r="G162" s="17">
        <f t="shared" si="1"/>
        <v>2.509871193</v>
      </c>
      <c r="H162" s="17">
        <f t="shared" si="2"/>
        <v>4202269.158</v>
      </c>
      <c r="I162" s="18">
        <f t="shared" si="3"/>
        <v>175.8131717</v>
      </c>
      <c r="J162" s="19">
        <f t="shared" si="4"/>
        <v>7388142.692</v>
      </c>
      <c r="K162" s="20">
        <v>7722550.0</v>
      </c>
      <c r="L162" s="18">
        <f t="shared" si="5"/>
        <v>-4.330270551</v>
      </c>
    </row>
    <row r="163">
      <c r="A163" s="13" t="s">
        <v>396</v>
      </c>
      <c r="B163" s="13" t="s">
        <v>361</v>
      </c>
      <c r="C163" s="14" t="s">
        <v>362</v>
      </c>
      <c r="D163" s="15">
        <v>4494330.0</v>
      </c>
      <c r="E163" s="15">
        <v>4683680.0</v>
      </c>
      <c r="F163" s="15">
        <v>6681440.0</v>
      </c>
      <c r="G163" s="17">
        <f t="shared" si="1"/>
        <v>4.213086266</v>
      </c>
      <c r="H163" s="17">
        <f t="shared" si="2"/>
        <v>4881007.479</v>
      </c>
      <c r="I163" s="18">
        <f t="shared" si="3"/>
        <v>142.6536399</v>
      </c>
      <c r="J163" s="19">
        <f t="shared" si="4"/>
        <v>6962934.831</v>
      </c>
      <c r="K163" s="20">
        <v>6979950.0</v>
      </c>
      <c r="L163" s="18">
        <f t="shared" si="5"/>
        <v>-0.2437720751</v>
      </c>
    </row>
    <row r="164">
      <c r="A164" s="13" t="s">
        <v>396</v>
      </c>
      <c r="B164" s="13" t="s">
        <v>363</v>
      </c>
      <c r="C164" s="14" t="s">
        <v>364</v>
      </c>
      <c r="D164" s="15">
        <v>7702880.0</v>
      </c>
      <c r="E164" s="15">
        <v>7698400.0</v>
      </c>
      <c r="F164" s="15">
        <v>9388780.0</v>
      </c>
      <c r="G164" s="17">
        <f t="shared" si="1"/>
        <v>-0.05816006481</v>
      </c>
      <c r="H164" s="17">
        <f t="shared" si="2"/>
        <v>7693922.606</v>
      </c>
      <c r="I164" s="18">
        <f t="shared" si="3"/>
        <v>121.9575496</v>
      </c>
      <c r="J164" s="19">
        <f t="shared" si="4"/>
        <v>9383319.479</v>
      </c>
      <c r="K164" s="20">
        <v>9113730.0</v>
      </c>
      <c r="L164" s="18">
        <f t="shared" si="5"/>
        <v>2.958058659</v>
      </c>
    </row>
    <row r="165">
      <c r="A165" s="13" t="s">
        <v>396</v>
      </c>
      <c r="B165" s="13" t="s">
        <v>365</v>
      </c>
      <c r="C165" s="14" t="s">
        <v>366</v>
      </c>
      <c r="D165" s="15">
        <v>5470380.0</v>
      </c>
      <c r="E165" s="15">
        <v>5875900.0</v>
      </c>
      <c r="F165" s="15">
        <v>9644340.0</v>
      </c>
      <c r="G165" s="17">
        <f t="shared" si="1"/>
        <v>7.413013356</v>
      </c>
      <c r="H165" s="17">
        <f t="shared" si="2"/>
        <v>6311481.252</v>
      </c>
      <c r="I165" s="18">
        <f t="shared" si="3"/>
        <v>164.1338348</v>
      </c>
      <c r="J165" s="19">
        <f t="shared" si="4"/>
        <v>10359276.21</v>
      </c>
      <c r="K165" s="20">
        <v>1.022853E7</v>
      </c>
      <c r="L165" s="18">
        <f t="shared" si="5"/>
        <v>1.278250269</v>
      </c>
    </row>
    <row r="166">
      <c r="A166" s="13" t="s">
        <v>396</v>
      </c>
      <c r="B166" s="13" t="s">
        <v>367</v>
      </c>
      <c r="C166" s="14" t="s">
        <v>368</v>
      </c>
      <c r="D166" s="15">
        <v>2475660.0</v>
      </c>
      <c r="E166" s="15">
        <v>2614140.0</v>
      </c>
      <c r="F166" s="15">
        <v>3882740.0</v>
      </c>
      <c r="G166" s="17">
        <f t="shared" si="1"/>
        <v>5.593659873</v>
      </c>
      <c r="H166" s="17">
        <f t="shared" si="2"/>
        <v>2760366.1</v>
      </c>
      <c r="I166" s="18">
        <f t="shared" si="3"/>
        <v>148.5283879</v>
      </c>
      <c r="J166" s="19">
        <f t="shared" si="4"/>
        <v>4099927.269</v>
      </c>
      <c r="K166" s="20">
        <v>4159729.9999999995</v>
      </c>
      <c r="L166" s="18">
        <f t="shared" si="5"/>
        <v>-1.437658951</v>
      </c>
    </row>
    <row r="167">
      <c r="A167" s="13" t="s">
        <v>396</v>
      </c>
      <c r="B167" s="13" t="s">
        <v>369</v>
      </c>
      <c r="C167" s="14" t="s">
        <v>370</v>
      </c>
      <c r="D167" s="15">
        <v>7820.0</v>
      </c>
      <c r="E167" s="15">
        <v>8210.0</v>
      </c>
      <c r="F167" s="15">
        <v>11970.0</v>
      </c>
      <c r="G167" s="17">
        <f t="shared" si="1"/>
        <v>4.987212276</v>
      </c>
      <c r="H167" s="17">
        <f t="shared" si="2"/>
        <v>8619.450128</v>
      </c>
      <c r="I167" s="18">
        <f t="shared" si="3"/>
        <v>145.7978076</v>
      </c>
      <c r="J167" s="19">
        <f t="shared" si="4"/>
        <v>12566.96931</v>
      </c>
      <c r="K167" s="20">
        <v>14230.0</v>
      </c>
      <c r="L167" s="18">
        <f t="shared" si="5"/>
        <v>-11.68679333</v>
      </c>
    </row>
    <row r="168">
      <c r="A168" s="13" t="s">
        <v>396</v>
      </c>
      <c r="B168" s="13" t="s">
        <v>371</v>
      </c>
      <c r="C168" s="14" t="s">
        <v>372</v>
      </c>
      <c r="D168" s="15">
        <v>4376990.0</v>
      </c>
      <c r="E168" s="15">
        <v>5158770.0</v>
      </c>
      <c r="F168" s="15">
        <v>9223370.0</v>
      </c>
      <c r="G168" s="17">
        <f t="shared" si="1"/>
        <v>17.86113288</v>
      </c>
      <c r="H168" s="17">
        <f t="shared" si="2"/>
        <v>6080184.765</v>
      </c>
      <c r="I168" s="18">
        <f t="shared" si="3"/>
        <v>178.7900992</v>
      </c>
      <c r="J168" s="19">
        <f t="shared" si="4"/>
        <v>10870768.37</v>
      </c>
      <c r="K168" s="20">
        <v>8873930.0</v>
      </c>
      <c r="L168" s="18">
        <f t="shared" si="5"/>
        <v>22.50230024</v>
      </c>
    </row>
    <row r="169">
      <c r="A169" s="13" t="s">
        <v>396</v>
      </c>
      <c r="B169" s="13" t="s">
        <v>373</v>
      </c>
      <c r="C169" s="14" t="s">
        <v>374</v>
      </c>
      <c r="D169" s="15">
        <v>2342980.0</v>
      </c>
      <c r="E169" s="15">
        <v>2435310.0</v>
      </c>
      <c r="F169" s="15">
        <v>4702610.0</v>
      </c>
      <c r="G169" s="17">
        <f t="shared" si="1"/>
        <v>3.940707987</v>
      </c>
      <c r="H169" s="17">
        <f t="shared" si="2"/>
        <v>2531278.456</v>
      </c>
      <c r="I169" s="18">
        <f t="shared" si="3"/>
        <v>193.1010836</v>
      </c>
      <c r="J169" s="19">
        <f t="shared" si="4"/>
        <v>4887926.128</v>
      </c>
      <c r="K169" s="20">
        <v>5092380.0</v>
      </c>
      <c r="L169" s="18">
        <f t="shared" si="5"/>
        <v>-4.014898184</v>
      </c>
    </row>
    <row r="170">
      <c r="A170" s="13" t="s">
        <v>396</v>
      </c>
      <c r="B170" s="13" t="s">
        <v>375</v>
      </c>
      <c r="C170" s="14" t="s">
        <v>376</v>
      </c>
      <c r="D170" s="15">
        <v>1794920.0</v>
      </c>
      <c r="E170" s="15">
        <v>2146710.0</v>
      </c>
      <c r="F170" s="15">
        <v>3124060.0</v>
      </c>
      <c r="G170" s="17">
        <f t="shared" si="1"/>
        <v>19.59920219</v>
      </c>
      <c r="H170" s="17">
        <f t="shared" si="2"/>
        <v>2567448.033</v>
      </c>
      <c r="I170" s="18">
        <f t="shared" si="3"/>
        <v>145.5278077</v>
      </c>
      <c r="J170" s="19">
        <f t="shared" si="4"/>
        <v>3736350.836</v>
      </c>
      <c r="K170" s="20">
        <v>3273050.0</v>
      </c>
      <c r="L170" s="18">
        <f t="shared" si="5"/>
        <v>14.15501859</v>
      </c>
    </row>
    <row r="171">
      <c r="A171" s="13" t="s">
        <v>396</v>
      </c>
      <c r="B171" s="13" t="s">
        <v>377</v>
      </c>
      <c r="C171" s="14" t="s">
        <v>378</v>
      </c>
      <c r="D171" s="15">
        <v>563560.0</v>
      </c>
      <c r="E171" s="15">
        <v>653430.0</v>
      </c>
      <c r="F171" s="15">
        <v>1175870.0</v>
      </c>
      <c r="G171" s="17">
        <f t="shared" si="1"/>
        <v>15.94683796</v>
      </c>
      <c r="H171" s="17">
        <f t="shared" si="2"/>
        <v>757631.4233</v>
      </c>
      <c r="I171" s="18">
        <f t="shared" si="3"/>
        <v>179.9534763</v>
      </c>
      <c r="J171" s="19">
        <f t="shared" si="4"/>
        <v>1363384.084</v>
      </c>
      <c r="K171" s="20">
        <v>1231550.0</v>
      </c>
      <c r="L171" s="18">
        <f t="shared" si="5"/>
        <v>10.70472847</v>
      </c>
    </row>
    <row r="172">
      <c r="A172" s="13" t="s">
        <v>397</v>
      </c>
      <c r="B172" s="13" t="s">
        <v>63</v>
      </c>
      <c r="C172" s="14" t="s">
        <v>66</v>
      </c>
      <c r="D172" s="15">
        <v>1443050.0</v>
      </c>
      <c r="E172" s="15">
        <v>1516940.0</v>
      </c>
      <c r="F172" s="15">
        <v>2762530.0</v>
      </c>
      <c r="G172" s="17">
        <f t="shared" si="1"/>
        <v>5.120404698</v>
      </c>
      <c r="H172" s="17">
        <f t="shared" si="2"/>
        <v>1594613.467</v>
      </c>
      <c r="I172" s="18">
        <f t="shared" si="3"/>
        <v>182.112015</v>
      </c>
      <c r="J172" s="19">
        <f t="shared" si="4"/>
        <v>2903982.716</v>
      </c>
      <c r="K172" s="20">
        <v>3028750.0</v>
      </c>
      <c r="L172" s="18">
        <f t="shared" si="5"/>
        <v>-4.119431584</v>
      </c>
    </row>
    <row r="173">
      <c r="A173" s="13" t="s">
        <v>397</v>
      </c>
      <c r="B173" s="13" t="s">
        <v>347</v>
      </c>
      <c r="C173" s="14" t="s">
        <v>348</v>
      </c>
      <c r="D173" s="15">
        <v>2094150.0</v>
      </c>
      <c r="E173" s="15">
        <v>1984750.0</v>
      </c>
      <c r="F173" s="15">
        <v>5717420.0</v>
      </c>
      <c r="G173" s="17">
        <f t="shared" si="1"/>
        <v>-5.224076594</v>
      </c>
      <c r="H173" s="17">
        <f t="shared" si="2"/>
        <v>1881065.14</v>
      </c>
      <c r="I173" s="18">
        <f t="shared" si="3"/>
        <v>288.0675148</v>
      </c>
      <c r="J173" s="19">
        <f t="shared" si="4"/>
        <v>5418737.6</v>
      </c>
      <c r="K173" s="20">
        <v>4876620.0</v>
      </c>
      <c r="L173" s="18">
        <f t="shared" si="5"/>
        <v>11.11666687</v>
      </c>
    </row>
    <row r="174">
      <c r="A174" s="13" t="s">
        <v>397</v>
      </c>
      <c r="B174" s="13" t="s">
        <v>349</v>
      </c>
      <c r="C174" s="14" t="s">
        <v>350</v>
      </c>
      <c r="D174" s="15">
        <v>2.3299097E8</v>
      </c>
      <c r="E174" s="15">
        <v>2.35646E8</v>
      </c>
      <c r="F174" s="15">
        <v>4.2294032E8</v>
      </c>
      <c r="G174" s="17">
        <f t="shared" si="1"/>
        <v>1.139542017</v>
      </c>
      <c r="H174" s="17">
        <f t="shared" si="2"/>
        <v>238331285.2</v>
      </c>
      <c r="I174" s="18">
        <f t="shared" si="3"/>
        <v>179.4812218</v>
      </c>
      <c r="J174" s="19">
        <f t="shared" si="4"/>
        <v>427759902.7</v>
      </c>
      <c r="K174" s="20">
        <v>4.3688954E8</v>
      </c>
      <c r="L174" s="18">
        <f t="shared" si="5"/>
        <v>-2.089690072</v>
      </c>
    </row>
    <row r="175">
      <c r="A175" s="13" t="s">
        <v>397</v>
      </c>
      <c r="B175" s="13" t="s">
        <v>351</v>
      </c>
      <c r="C175" s="14" t="s">
        <v>352</v>
      </c>
      <c r="D175" s="15">
        <v>3961690.0</v>
      </c>
      <c r="E175" s="15">
        <v>3315230.0</v>
      </c>
      <c r="F175" s="15">
        <v>5628350.0</v>
      </c>
      <c r="G175" s="17">
        <f t="shared" si="1"/>
        <v>-16.31778357</v>
      </c>
      <c r="H175" s="17">
        <f t="shared" si="2"/>
        <v>2774257.944</v>
      </c>
      <c r="I175" s="18">
        <f t="shared" si="3"/>
        <v>169.7725346</v>
      </c>
      <c r="J175" s="19">
        <f t="shared" si="4"/>
        <v>4709928.028</v>
      </c>
      <c r="K175" s="20">
        <v>4935160.0</v>
      </c>
      <c r="L175" s="18">
        <f t="shared" si="5"/>
        <v>-4.563823092</v>
      </c>
    </row>
    <row r="176">
      <c r="A176" s="13" t="s">
        <v>397</v>
      </c>
      <c r="B176" s="13" t="s">
        <v>353</v>
      </c>
      <c r="C176" s="14" t="s">
        <v>354</v>
      </c>
      <c r="D176" s="15">
        <v>826600.0</v>
      </c>
      <c r="E176" s="15">
        <v>830590.0</v>
      </c>
      <c r="F176" s="15">
        <v>1121370.0</v>
      </c>
      <c r="G176" s="17">
        <f t="shared" si="1"/>
        <v>0.4827002178</v>
      </c>
      <c r="H176" s="17">
        <f t="shared" si="2"/>
        <v>834599.2597</v>
      </c>
      <c r="I176" s="18">
        <f t="shared" si="3"/>
        <v>135.0088491</v>
      </c>
      <c r="J176" s="19">
        <f t="shared" si="4"/>
        <v>1126782.855</v>
      </c>
      <c r="K176" s="20">
        <v>1124370.0</v>
      </c>
      <c r="L176" s="18">
        <f t="shared" si="5"/>
        <v>0.2145962123</v>
      </c>
    </row>
    <row r="177">
      <c r="A177" s="13" t="s">
        <v>397</v>
      </c>
      <c r="B177" s="13" t="s">
        <v>355</v>
      </c>
      <c r="C177" s="14" t="s">
        <v>356</v>
      </c>
      <c r="D177" s="15">
        <v>2.1650524E8</v>
      </c>
      <c r="E177" s="15">
        <v>2.3163264E8</v>
      </c>
      <c r="F177" s="15">
        <v>4.013058E8</v>
      </c>
      <c r="G177" s="17">
        <f t="shared" si="1"/>
        <v>6.987082622</v>
      </c>
      <c r="H177" s="17">
        <f t="shared" si="2"/>
        <v>247817003.9</v>
      </c>
      <c r="I177" s="18">
        <f t="shared" si="3"/>
        <v>173.2509719</v>
      </c>
      <c r="J177" s="19">
        <f t="shared" si="4"/>
        <v>429345367.8</v>
      </c>
      <c r="K177" s="20">
        <v>4.1730279E8</v>
      </c>
      <c r="L177" s="18">
        <f t="shared" si="5"/>
        <v>2.885812916</v>
      </c>
    </row>
    <row r="178">
      <c r="A178" s="13" t="s">
        <v>397</v>
      </c>
      <c r="B178" s="13" t="s">
        <v>357</v>
      </c>
      <c r="C178" s="14" t="s">
        <v>358</v>
      </c>
      <c r="D178" s="15">
        <v>3.2166105E8</v>
      </c>
      <c r="E178" s="15">
        <v>3.437707E8</v>
      </c>
      <c r="F178" s="15">
        <v>6.6247132E8</v>
      </c>
      <c r="G178" s="17">
        <f t="shared" si="1"/>
        <v>6.873586342</v>
      </c>
      <c r="H178" s="17">
        <f t="shared" si="2"/>
        <v>367400075.9</v>
      </c>
      <c r="I178" s="18">
        <f t="shared" si="3"/>
        <v>192.707325</v>
      </c>
      <c r="J178" s="19">
        <f t="shared" si="4"/>
        <v>708006858.2</v>
      </c>
      <c r="K178" s="20">
        <v>7.1143533E8</v>
      </c>
      <c r="L178" s="18">
        <f t="shared" si="5"/>
        <v>-0.4819091328</v>
      </c>
    </row>
    <row r="179">
      <c r="A179" s="13" t="s">
        <v>397</v>
      </c>
      <c r="B179" s="13" t="s">
        <v>359</v>
      </c>
      <c r="C179" s="14" t="s">
        <v>360</v>
      </c>
      <c r="D179" s="15">
        <v>8.464225E7</v>
      </c>
      <c r="E179" s="15">
        <v>9.05334E7</v>
      </c>
      <c r="F179" s="15">
        <v>1.669361E8</v>
      </c>
      <c r="G179" s="17">
        <f t="shared" si="1"/>
        <v>6.960058363</v>
      </c>
      <c r="H179" s="17">
        <f t="shared" si="2"/>
        <v>96834577.48</v>
      </c>
      <c r="I179" s="18">
        <f t="shared" si="3"/>
        <v>184.3917273</v>
      </c>
      <c r="J179" s="19">
        <f t="shared" si="4"/>
        <v>178554950</v>
      </c>
      <c r="K179" s="20">
        <v>1.8488719E8</v>
      </c>
      <c r="L179" s="18">
        <f t="shared" si="5"/>
        <v>-3.424920899</v>
      </c>
    </row>
    <row r="180">
      <c r="A180" s="13" t="s">
        <v>397</v>
      </c>
      <c r="B180" s="13" t="s">
        <v>361</v>
      </c>
      <c r="C180" s="14" t="s">
        <v>362</v>
      </c>
      <c r="D180" s="15">
        <v>9.998306E7</v>
      </c>
      <c r="E180" s="15">
        <v>1.0829565E8</v>
      </c>
      <c r="F180" s="15">
        <v>1.7851088E8</v>
      </c>
      <c r="G180" s="17">
        <f t="shared" si="1"/>
        <v>8.313998391</v>
      </c>
      <c r="H180" s="17">
        <f t="shared" si="2"/>
        <v>117299348.6</v>
      </c>
      <c r="I180" s="18">
        <f t="shared" si="3"/>
        <v>164.8366116</v>
      </c>
      <c r="J180" s="19">
        <f t="shared" si="4"/>
        <v>193352271.7</v>
      </c>
      <c r="K180" s="20">
        <v>1.9829057E8</v>
      </c>
      <c r="L180" s="18">
        <f t="shared" si="5"/>
        <v>-2.490435278</v>
      </c>
    </row>
    <row r="181">
      <c r="A181" s="13" t="s">
        <v>397</v>
      </c>
      <c r="B181" s="13" t="s">
        <v>363</v>
      </c>
      <c r="C181" s="14" t="s">
        <v>364</v>
      </c>
      <c r="D181" s="15">
        <v>2.8178127E8</v>
      </c>
      <c r="E181" s="15">
        <v>2.9529783E8</v>
      </c>
      <c r="F181" s="15">
        <v>3.4247764E8</v>
      </c>
      <c r="G181" s="17">
        <f t="shared" si="1"/>
        <v>4.796826986</v>
      </c>
      <c r="H181" s="17">
        <f t="shared" si="2"/>
        <v>309462756</v>
      </c>
      <c r="I181" s="18">
        <f t="shared" si="3"/>
        <v>115.9770256</v>
      </c>
      <c r="J181" s="19">
        <f t="shared" si="4"/>
        <v>358905699.9</v>
      </c>
      <c r="K181" s="20">
        <v>3.6851197E8</v>
      </c>
      <c r="L181" s="18">
        <f t="shared" si="5"/>
        <v>-2.606772894</v>
      </c>
    </row>
    <row r="182">
      <c r="A182" s="13" t="s">
        <v>397</v>
      </c>
      <c r="B182" s="13" t="s">
        <v>365</v>
      </c>
      <c r="C182" s="14" t="s">
        <v>366</v>
      </c>
      <c r="D182" s="15">
        <v>2.2185915E8</v>
      </c>
      <c r="E182" s="15">
        <v>2.337403E8</v>
      </c>
      <c r="F182" s="15">
        <v>4.0818614E8</v>
      </c>
      <c r="G182" s="17">
        <f t="shared" si="1"/>
        <v>5.355267069</v>
      </c>
      <c r="H182" s="17">
        <f t="shared" si="2"/>
        <v>246257717.3</v>
      </c>
      <c r="I182" s="18">
        <f t="shared" si="3"/>
        <v>174.6323334</v>
      </c>
      <c r="J182" s="19">
        <f t="shared" si="4"/>
        <v>430045597.9</v>
      </c>
      <c r="K182" s="20">
        <v>4.3031709E8</v>
      </c>
      <c r="L182" s="18">
        <f t="shared" si="5"/>
        <v>-0.06309116458</v>
      </c>
    </row>
    <row r="183">
      <c r="A183" s="13" t="s">
        <v>397</v>
      </c>
      <c r="B183" s="13" t="s">
        <v>367</v>
      </c>
      <c r="C183" s="14" t="s">
        <v>368</v>
      </c>
      <c r="D183" s="15">
        <v>1.2387401E8</v>
      </c>
      <c r="E183" s="15">
        <v>1.2574853E8</v>
      </c>
      <c r="F183" s="15">
        <v>2.0004522E8</v>
      </c>
      <c r="G183" s="17">
        <f t="shared" si="1"/>
        <v>1.51324721</v>
      </c>
      <c r="H183" s="17">
        <f t="shared" si="2"/>
        <v>127651416.1</v>
      </c>
      <c r="I183" s="18">
        <f t="shared" si="3"/>
        <v>159.0835455</v>
      </c>
      <c r="J183" s="19">
        <f t="shared" si="4"/>
        <v>203072398.7</v>
      </c>
      <c r="K183" s="20">
        <v>2.0423075E8</v>
      </c>
      <c r="L183" s="18">
        <f t="shared" si="5"/>
        <v>-0.5671777095</v>
      </c>
    </row>
    <row r="184">
      <c r="A184" s="13" t="s">
        <v>397</v>
      </c>
      <c r="B184" s="13" t="s">
        <v>369</v>
      </c>
      <c r="C184" s="14" t="s">
        <v>370</v>
      </c>
      <c r="D184" s="15">
        <v>1.7101297E8</v>
      </c>
      <c r="E184" s="15">
        <v>1.7907525E8</v>
      </c>
      <c r="F184" s="15">
        <v>3.2334799E8</v>
      </c>
      <c r="G184" s="17">
        <f t="shared" si="1"/>
        <v>4.714426046</v>
      </c>
      <c r="H184" s="17">
        <f t="shared" si="2"/>
        <v>187517620.2</v>
      </c>
      <c r="I184" s="18">
        <f t="shared" si="3"/>
        <v>180.5654271</v>
      </c>
      <c r="J184" s="19">
        <f t="shared" si="4"/>
        <v>338591991.9</v>
      </c>
      <c r="K184" s="20">
        <v>3.515009E8</v>
      </c>
      <c r="L184" s="18">
        <f t="shared" si="5"/>
        <v>-3.672510693</v>
      </c>
    </row>
    <row r="185">
      <c r="A185" s="13" t="s">
        <v>397</v>
      </c>
      <c r="B185" s="13" t="s">
        <v>371</v>
      </c>
      <c r="C185" s="14" t="s">
        <v>372</v>
      </c>
      <c r="D185" s="15">
        <v>6.592742E7</v>
      </c>
      <c r="E185" s="15">
        <v>6.690497E7</v>
      </c>
      <c r="F185" s="15">
        <v>1.5701591E8</v>
      </c>
      <c r="G185" s="17">
        <f t="shared" si="1"/>
        <v>1.482766958</v>
      </c>
      <c r="H185" s="17">
        <f t="shared" si="2"/>
        <v>67897014.79</v>
      </c>
      <c r="I185" s="18">
        <f t="shared" si="3"/>
        <v>234.6849718</v>
      </c>
      <c r="J185" s="19">
        <f t="shared" si="4"/>
        <v>159344090</v>
      </c>
      <c r="K185" s="20">
        <v>1.6779323E8</v>
      </c>
      <c r="L185" s="18">
        <f t="shared" si="5"/>
        <v>-5.035447478</v>
      </c>
    </row>
    <row r="186">
      <c r="A186" s="13" t="s">
        <v>397</v>
      </c>
      <c r="B186" s="13" t="s">
        <v>373</v>
      </c>
      <c r="C186" s="14" t="s">
        <v>374</v>
      </c>
      <c r="D186" s="15">
        <v>8.880874E7</v>
      </c>
      <c r="E186" s="15">
        <v>9.259016E7</v>
      </c>
      <c r="F186" s="15">
        <v>1.5954197E8</v>
      </c>
      <c r="G186" s="17">
        <f t="shared" si="1"/>
        <v>4.257936775</v>
      </c>
      <c r="H186" s="17">
        <f t="shared" si="2"/>
        <v>96532590.47</v>
      </c>
      <c r="I186" s="18">
        <f t="shared" si="3"/>
        <v>172.3098545</v>
      </c>
      <c r="J186" s="19">
        <f t="shared" si="4"/>
        <v>166335166.2</v>
      </c>
      <c r="K186" s="20">
        <v>1.7773884E8</v>
      </c>
      <c r="L186" s="18">
        <f t="shared" si="5"/>
        <v>-6.415971764</v>
      </c>
    </row>
    <row r="187">
      <c r="A187" s="13" t="s">
        <v>397</v>
      </c>
      <c r="B187" s="13" t="s">
        <v>375</v>
      </c>
      <c r="C187" s="14" t="s">
        <v>376</v>
      </c>
      <c r="D187" s="15">
        <v>4.590107E7</v>
      </c>
      <c r="E187" s="15">
        <v>4.838548E7</v>
      </c>
      <c r="F187" s="15">
        <v>8.200451E7</v>
      </c>
      <c r="G187" s="17">
        <f t="shared" si="1"/>
        <v>5.412531778</v>
      </c>
      <c r="H187" s="17">
        <f t="shared" si="2"/>
        <v>51004359.48</v>
      </c>
      <c r="I187" s="18">
        <f t="shared" si="3"/>
        <v>169.4816503</v>
      </c>
      <c r="J187" s="19">
        <f t="shared" si="4"/>
        <v>86443030.16</v>
      </c>
      <c r="K187" s="20">
        <v>8.811193E7</v>
      </c>
      <c r="L187" s="18">
        <f t="shared" si="5"/>
        <v>-1.894067962</v>
      </c>
    </row>
    <row r="188">
      <c r="A188" s="13" t="s">
        <v>397</v>
      </c>
      <c r="B188" s="13" t="s">
        <v>377</v>
      </c>
      <c r="C188" s="14" t="s">
        <v>378</v>
      </c>
      <c r="D188" s="15">
        <v>8.720178E7</v>
      </c>
      <c r="E188" s="15">
        <v>9.193032E7</v>
      </c>
      <c r="F188" s="15">
        <v>1.5969526E8</v>
      </c>
      <c r="G188" s="17">
        <f t="shared" si="1"/>
        <v>5.422526925</v>
      </c>
      <c r="H188" s="17">
        <f t="shared" si="2"/>
        <v>96915266.35</v>
      </c>
      <c r="I188" s="18">
        <f t="shared" si="3"/>
        <v>173.7133733</v>
      </c>
      <c r="J188" s="19">
        <f t="shared" si="4"/>
        <v>168354778.5</v>
      </c>
      <c r="K188" s="20">
        <v>1.7517824E8</v>
      </c>
      <c r="L188" s="18">
        <f t="shared" si="5"/>
        <v>-3.895153603</v>
      </c>
    </row>
    <row r="189">
      <c r="A189" s="13" t="s">
        <v>398</v>
      </c>
      <c r="B189" s="13" t="s">
        <v>63</v>
      </c>
      <c r="C189" s="14" t="s">
        <v>66</v>
      </c>
      <c r="D189" s="15">
        <v>1.1330841E8</v>
      </c>
      <c r="E189" s="15">
        <v>1.1510477E8</v>
      </c>
      <c r="F189" s="15">
        <v>2.376316E8</v>
      </c>
      <c r="G189" s="17">
        <f t="shared" si="1"/>
        <v>1.585372171</v>
      </c>
      <c r="H189" s="17">
        <f t="shared" si="2"/>
        <v>116929609</v>
      </c>
      <c r="I189" s="18">
        <f t="shared" si="3"/>
        <v>206.4480907</v>
      </c>
      <c r="J189" s="19">
        <f t="shared" si="4"/>
        <v>241398945.3</v>
      </c>
      <c r="K189" s="20">
        <v>2.6771027000000003E8</v>
      </c>
      <c r="L189" s="18">
        <f t="shared" si="5"/>
        <v>-9.828283668</v>
      </c>
    </row>
    <row r="190">
      <c r="A190" s="13" t="s">
        <v>398</v>
      </c>
      <c r="B190" s="13" t="s">
        <v>347</v>
      </c>
      <c r="C190" s="14" t="s">
        <v>348</v>
      </c>
      <c r="D190" s="15">
        <v>2.384208E7</v>
      </c>
      <c r="E190" s="15">
        <v>2.38426E7</v>
      </c>
      <c r="F190" s="15">
        <v>2.747337E7</v>
      </c>
      <c r="G190" s="17">
        <f t="shared" si="1"/>
        <v>0.002181017764</v>
      </c>
      <c r="H190" s="17">
        <f t="shared" si="2"/>
        <v>23843120.01</v>
      </c>
      <c r="I190" s="18">
        <f t="shared" si="3"/>
        <v>115.2280792</v>
      </c>
      <c r="J190" s="19">
        <f t="shared" si="4"/>
        <v>27473969.2</v>
      </c>
      <c r="K190" s="20">
        <v>2.760049E7</v>
      </c>
      <c r="L190" s="18">
        <f t="shared" si="5"/>
        <v>-0.4584005607</v>
      </c>
    </row>
    <row r="191">
      <c r="A191" s="13" t="s">
        <v>398</v>
      </c>
      <c r="B191" s="13" t="s">
        <v>349</v>
      </c>
      <c r="C191" s="14" t="s">
        <v>350</v>
      </c>
      <c r="D191" s="15">
        <v>7.1581126E8</v>
      </c>
      <c r="E191" s="15">
        <v>7.4104145E8</v>
      </c>
      <c r="F191" s="15">
        <v>1.16854823E9</v>
      </c>
      <c r="G191" s="17">
        <f t="shared" si="1"/>
        <v>3.524698675</v>
      </c>
      <c r="H191" s="17">
        <f t="shared" si="2"/>
        <v>767160928.2</v>
      </c>
      <c r="I191" s="18">
        <f t="shared" si="3"/>
        <v>157.6899956</v>
      </c>
      <c r="J191" s="19">
        <f t="shared" si="4"/>
        <v>1209736034</v>
      </c>
      <c r="K191" s="20">
        <v>1.22780884E9</v>
      </c>
      <c r="L191" s="18">
        <f t="shared" si="5"/>
        <v>-1.47195601</v>
      </c>
    </row>
    <row r="192">
      <c r="A192" s="13" t="s">
        <v>398</v>
      </c>
      <c r="B192" s="13" t="s">
        <v>351</v>
      </c>
      <c r="C192" s="14" t="s">
        <v>352</v>
      </c>
      <c r="D192" s="15">
        <v>5854080.0</v>
      </c>
      <c r="E192" s="15">
        <v>5818980.0</v>
      </c>
      <c r="F192" s="15">
        <v>1.205932E7</v>
      </c>
      <c r="G192" s="17">
        <f t="shared" si="1"/>
        <v>-0.5995818301</v>
      </c>
      <c r="H192" s="17">
        <f t="shared" si="2"/>
        <v>5784090.453</v>
      </c>
      <c r="I192" s="18">
        <f t="shared" si="3"/>
        <v>207.2411316</v>
      </c>
      <c r="J192" s="19">
        <f t="shared" si="4"/>
        <v>11987014.51</v>
      </c>
      <c r="K192" s="20">
        <v>1.25512E7</v>
      </c>
      <c r="L192" s="18">
        <f t="shared" si="5"/>
        <v>-4.495072117</v>
      </c>
    </row>
    <row r="193">
      <c r="A193" s="13" t="s">
        <v>398</v>
      </c>
      <c r="B193" s="13" t="s">
        <v>353</v>
      </c>
      <c r="C193" s="14" t="s">
        <v>354</v>
      </c>
      <c r="D193" s="15">
        <v>1495070.0</v>
      </c>
      <c r="E193" s="15">
        <v>1577050.0</v>
      </c>
      <c r="F193" s="15">
        <v>2872120.0</v>
      </c>
      <c r="G193" s="17">
        <f t="shared" si="1"/>
        <v>5.483355294</v>
      </c>
      <c r="H193" s="17">
        <f t="shared" si="2"/>
        <v>1663525.255</v>
      </c>
      <c r="I193" s="18">
        <f t="shared" si="3"/>
        <v>182.1197806</v>
      </c>
      <c r="J193" s="19">
        <f t="shared" si="4"/>
        <v>3029608.544</v>
      </c>
      <c r="K193" s="20">
        <v>3044190.0</v>
      </c>
      <c r="L193" s="18">
        <f t="shared" si="5"/>
        <v>-0.4789929643</v>
      </c>
    </row>
    <row r="194">
      <c r="A194" s="13" t="s">
        <v>398</v>
      </c>
      <c r="B194" s="13" t="s">
        <v>355</v>
      </c>
      <c r="C194" s="14" t="s">
        <v>356</v>
      </c>
      <c r="D194" s="15">
        <v>1.3354960999999999E8</v>
      </c>
      <c r="E194" s="15">
        <v>1.4301489E8</v>
      </c>
      <c r="F194" s="15">
        <v>2.3850079E8</v>
      </c>
      <c r="G194" s="17">
        <f t="shared" si="1"/>
        <v>7.087463602</v>
      </c>
      <c r="H194" s="17">
        <f t="shared" si="2"/>
        <v>153151018.3</v>
      </c>
      <c r="I194" s="18">
        <f t="shared" si="3"/>
        <v>166.7664045</v>
      </c>
      <c r="J194" s="19">
        <f t="shared" si="4"/>
        <v>255404446.7</v>
      </c>
      <c r="K194" s="20">
        <v>2.5369124E8</v>
      </c>
      <c r="L194" s="18">
        <f t="shared" si="5"/>
        <v>0.6753117226</v>
      </c>
    </row>
    <row r="195">
      <c r="A195" s="13" t="s">
        <v>398</v>
      </c>
      <c r="B195" s="13" t="s">
        <v>357</v>
      </c>
      <c r="C195" s="14" t="s">
        <v>358</v>
      </c>
      <c r="D195" s="15">
        <v>2.4058383E8</v>
      </c>
      <c r="E195" s="15">
        <v>2.5224461E8</v>
      </c>
      <c r="F195" s="15">
        <v>4.0825719E8</v>
      </c>
      <c r="G195" s="17">
        <f t="shared" si="1"/>
        <v>4.846867722</v>
      </c>
      <c r="H195" s="17">
        <f t="shared" si="2"/>
        <v>264470572.6</v>
      </c>
      <c r="I195" s="18">
        <f t="shared" si="3"/>
        <v>161.849718</v>
      </c>
      <c r="J195" s="19">
        <f t="shared" si="4"/>
        <v>428044876</v>
      </c>
      <c r="K195" s="20">
        <v>4.3802159E8</v>
      </c>
      <c r="L195" s="18">
        <f t="shared" si="5"/>
        <v>-2.277676321</v>
      </c>
    </row>
    <row r="196">
      <c r="A196" s="13" t="s">
        <v>398</v>
      </c>
      <c r="B196" s="13" t="s">
        <v>359</v>
      </c>
      <c r="C196" s="14" t="s">
        <v>360</v>
      </c>
      <c r="D196" s="15">
        <v>8.37772E7</v>
      </c>
      <c r="E196" s="15">
        <v>9.411389E7</v>
      </c>
      <c r="F196" s="15">
        <v>1.762863E8</v>
      </c>
      <c r="G196" s="17">
        <f t="shared" si="1"/>
        <v>12.33830923</v>
      </c>
      <c r="H196" s="17">
        <f t="shared" si="2"/>
        <v>105725952.8</v>
      </c>
      <c r="I196" s="18">
        <f t="shared" si="3"/>
        <v>187.311671</v>
      </c>
      <c r="J196" s="19">
        <f t="shared" si="4"/>
        <v>198037048.8</v>
      </c>
      <c r="K196" s="20">
        <v>2.0013888E8</v>
      </c>
      <c r="L196" s="18">
        <f t="shared" si="5"/>
        <v>-1.050186339</v>
      </c>
    </row>
    <row r="197">
      <c r="A197" s="13" t="s">
        <v>398</v>
      </c>
      <c r="B197" s="13" t="s">
        <v>361</v>
      </c>
      <c r="C197" s="14" t="s">
        <v>362</v>
      </c>
      <c r="D197" s="15">
        <v>4.67219E7</v>
      </c>
      <c r="E197" s="15">
        <v>4.972489E7</v>
      </c>
      <c r="F197" s="15">
        <v>8.666011E7</v>
      </c>
      <c r="G197" s="17">
        <f t="shared" si="1"/>
        <v>6.427371318</v>
      </c>
      <c r="H197" s="17">
        <f t="shared" si="2"/>
        <v>52920893.32</v>
      </c>
      <c r="I197" s="18">
        <f t="shared" si="3"/>
        <v>174.2791387</v>
      </c>
      <c r="J197" s="19">
        <f t="shared" si="4"/>
        <v>92230077.05</v>
      </c>
      <c r="K197" s="20">
        <v>9.741382E7</v>
      </c>
      <c r="L197" s="18">
        <f t="shared" si="5"/>
        <v>-5.32136297</v>
      </c>
    </row>
    <row r="198">
      <c r="A198" s="13" t="s">
        <v>398</v>
      </c>
      <c r="B198" s="13" t="s">
        <v>363</v>
      </c>
      <c r="C198" s="14" t="s">
        <v>364</v>
      </c>
      <c r="D198" s="15">
        <v>1.05146E8</v>
      </c>
      <c r="E198" s="15">
        <v>1.1376559E8</v>
      </c>
      <c r="F198" s="15">
        <v>1.0813462E8</v>
      </c>
      <c r="G198" s="17">
        <f t="shared" si="1"/>
        <v>8.197734579</v>
      </c>
      <c r="H198" s="17">
        <f t="shared" si="2"/>
        <v>123091791.1</v>
      </c>
      <c r="I198" s="18">
        <f t="shared" si="3"/>
        <v>95.05037507</v>
      </c>
      <c r="J198" s="19">
        <f t="shared" si="4"/>
        <v>116999209.1</v>
      </c>
      <c r="K198" s="20">
        <v>1.1766501E8</v>
      </c>
      <c r="L198" s="18">
        <f t="shared" si="5"/>
        <v>-0.5658443957</v>
      </c>
    </row>
    <row r="199">
      <c r="A199" s="13" t="s">
        <v>398</v>
      </c>
      <c r="B199" s="13" t="s">
        <v>365</v>
      </c>
      <c r="C199" s="14" t="s">
        <v>366</v>
      </c>
      <c r="D199" s="15">
        <v>4.018413E7</v>
      </c>
      <c r="E199" s="15">
        <v>4.187017E7</v>
      </c>
      <c r="F199" s="15">
        <v>7.855845E7</v>
      </c>
      <c r="G199" s="17">
        <f t="shared" si="1"/>
        <v>4.195785749</v>
      </c>
      <c r="H199" s="17">
        <f t="shared" si="2"/>
        <v>43626952.63</v>
      </c>
      <c r="I199" s="18">
        <f t="shared" si="3"/>
        <v>187.6239098</v>
      </c>
      <c r="J199" s="19">
        <f t="shared" si="4"/>
        <v>81854594.25</v>
      </c>
      <c r="K199" s="20">
        <v>8.373781E7</v>
      </c>
      <c r="L199" s="18">
        <f t="shared" si="5"/>
        <v>-2.24894316</v>
      </c>
    </row>
    <row r="200">
      <c r="A200" s="13" t="s">
        <v>398</v>
      </c>
      <c r="B200" s="13" t="s">
        <v>367</v>
      </c>
      <c r="C200" s="14" t="s">
        <v>368</v>
      </c>
      <c r="D200" s="15">
        <v>2.442612E7</v>
      </c>
      <c r="E200" s="15">
        <v>2.604699E7</v>
      </c>
      <c r="F200" s="15">
        <v>3.2865010000000004E7</v>
      </c>
      <c r="G200" s="17">
        <f t="shared" si="1"/>
        <v>6.63580626</v>
      </c>
      <c r="H200" s="17">
        <f t="shared" si="2"/>
        <v>27775417.79</v>
      </c>
      <c r="I200" s="18">
        <f t="shared" si="3"/>
        <v>126.175846</v>
      </c>
      <c r="J200" s="19">
        <f t="shared" si="4"/>
        <v>35045868.39</v>
      </c>
      <c r="K200" s="20">
        <v>3.590246E7</v>
      </c>
      <c r="L200" s="18">
        <f t="shared" si="5"/>
        <v>-2.385885561</v>
      </c>
    </row>
    <row r="201">
      <c r="A201" s="13" t="s">
        <v>398</v>
      </c>
      <c r="B201" s="13" t="s">
        <v>369</v>
      </c>
      <c r="C201" s="14" t="s">
        <v>370</v>
      </c>
      <c r="D201" s="15">
        <v>7350910.0</v>
      </c>
      <c r="E201" s="15">
        <v>7534110.0</v>
      </c>
      <c r="F201" s="15">
        <v>1.310519E7</v>
      </c>
      <c r="G201" s="17">
        <f t="shared" si="1"/>
        <v>2.492208448</v>
      </c>
      <c r="H201" s="17">
        <f t="shared" si="2"/>
        <v>7721875.726</v>
      </c>
      <c r="I201" s="18">
        <f t="shared" si="3"/>
        <v>173.9447659</v>
      </c>
      <c r="J201" s="19">
        <f t="shared" si="4"/>
        <v>13431798.65</v>
      </c>
      <c r="K201" s="20">
        <v>1.56605E7</v>
      </c>
      <c r="L201" s="18">
        <f t="shared" si="5"/>
        <v>-14.23135499</v>
      </c>
    </row>
    <row r="202">
      <c r="A202" s="13" t="s">
        <v>398</v>
      </c>
      <c r="B202" s="13" t="s">
        <v>371</v>
      </c>
      <c r="C202" s="14" t="s">
        <v>372</v>
      </c>
      <c r="D202" s="15">
        <v>2.633753E7</v>
      </c>
      <c r="E202" s="15">
        <v>2.863578E7</v>
      </c>
      <c r="F202" s="15">
        <v>5.052049E7</v>
      </c>
      <c r="G202" s="17">
        <f t="shared" si="1"/>
        <v>8.726140986</v>
      </c>
      <c r="H202" s="17">
        <f t="shared" si="2"/>
        <v>31134578.54</v>
      </c>
      <c r="I202" s="18">
        <f t="shared" si="3"/>
        <v>176.4243544</v>
      </c>
      <c r="J202" s="19">
        <f t="shared" si="4"/>
        <v>54928979.18</v>
      </c>
      <c r="K202" s="20">
        <v>5.282796E7</v>
      </c>
      <c r="L202" s="18">
        <f t="shared" si="5"/>
        <v>3.977096947</v>
      </c>
    </row>
    <row r="203">
      <c r="A203" s="13" t="s">
        <v>398</v>
      </c>
      <c r="B203" s="13" t="s">
        <v>373</v>
      </c>
      <c r="C203" s="14" t="s">
        <v>374</v>
      </c>
      <c r="D203" s="15">
        <v>4.857541E7</v>
      </c>
      <c r="E203" s="15">
        <v>5.146414E7</v>
      </c>
      <c r="F203" s="15">
        <v>9.22301E7</v>
      </c>
      <c r="G203" s="17">
        <f t="shared" si="1"/>
        <v>5.946897823</v>
      </c>
      <c r="H203" s="17">
        <f t="shared" si="2"/>
        <v>54524659.82</v>
      </c>
      <c r="I203" s="18">
        <f t="shared" si="3"/>
        <v>179.2123603</v>
      </c>
      <c r="J203" s="19">
        <f t="shared" si="4"/>
        <v>97714929.81</v>
      </c>
      <c r="K203" s="20">
        <v>9.955307E7</v>
      </c>
      <c r="L203" s="18">
        <f t="shared" si="5"/>
        <v>-1.846392272</v>
      </c>
    </row>
    <row r="204">
      <c r="A204" s="13" t="s">
        <v>398</v>
      </c>
      <c r="B204" s="13" t="s">
        <v>375</v>
      </c>
      <c r="C204" s="14" t="s">
        <v>376</v>
      </c>
      <c r="D204" s="15">
        <v>1.418942E7</v>
      </c>
      <c r="E204" s="15">
        <v>1.503814E7</v>
      </c>
      <c r="F204" s="15">
        <v>2.290896E7</v>
      </c>
      <c r="G204" s="17">
        <f t="shared" si="1"/>
        <v>5.981357941</v>
      </c>
      <c r="H204" s="17">
        <f t="shared" si="2"/>
        <v>15937624.98</v>
      </c>
      <c r="I204" s="18">
        <f t="shared" si="3"/>
        <v>152.3390526</v>
      </c>
      <c r="J204" s="19">
        <f t="shared" si="4"/>
        <v>24279226.9</v>
      </c>
      <c r="K204" s="20">
        <v>2.55737E7</v>
      </c>
      <c r="L204" s="18">
        <f t="shared" si="5"/>
        <v>-5.061735696</v>
      </c>
    </row>
    <row r="205" ht="15.75" customHeight="1">
      <c r="A205" s="13" t="s">
        <v>398</v>
      </c>
      <c r="B205" s="13" t="s">
        <v>377</v>
      </c>
      <c r="C205" s="14" t="s">
        <v>378</v>
      </c>
      <c r="D205" s="15">
        <v>3.825341E7</v>
      </c>
      <c r="E205" s="15">
        <v>4.128615E7</v>
      </c>
      <c r="F205" s="15">
        <v>6.683994E7</v>
      </c>
      <c r="G205" s="17">
        <f t="shared" si="1"/>
        <v>7.92802524</v>
      </c>
      <c r="H205" s="17">
        <f t="shared" si="2"/>
        <v>44559326.39</v>
      </c>
      <c r="I205" s="18">
        <f t="shared" si="3"/>
        <v>161.8943399</v>
      </c>
      <c r="J205" s="19">
        <f t="shared" si="4"/>
        <v>72139027.31</v>
      </c>
      <c r="K205" s="20">
        <v>7.976691E7</v>
      </c>
      <c r="L205" s="18">
        <f t="shared" si="5"/>
        <v>-9.562715525</v>
      </c>
    </row>
    <row r="206">
      <c r="A206" s="13" t="s">
        <v>399</v>
      </c>
      <c r="B206" s="13" t="s">
        <v>63</v>
      </c>
      <c r="C206" s="14" t="s">
        <v>66</v>
      </c>
      <c r="D206" s="15">
        <v>1.3133054000000001E8</v>
      </c>
      <c r="E206" s="15">
        <v>1.3316254000000001E8</v>
      </c>
      <c r="F206" s="15">
        <v>2.3734886E8</v>
      </c>
      <c r="G206" s="17">
        <f t="shared" si="1"/>
        <v>1.394953527</v>
      </c>
      <c r="H206" s="17">
        <f t="shared" si="2"/>
        <v>135020095.5</v>
      </c>
      <c r="I206" s="18">
        <f t="shared" si="3"/>
        <v>178.2399615</v>
      </c>
      <c r="J206" s="19">
        <f t="shared" si="4"/>
        <v>240659766.3</v>
      </c>
      <c r="K206" s="20">
        <v>2.5390709E8</v>
      </c>
      <c r="L206" s="18">
        <f t="shared" si="5"/>
        <v>-5.21739023</v>
      </c>
    </row>
    <row r="207">
      <c r="A207" s="13" t="s">
        <v>399</v>
      </c>
      <c r="B207" s="13" t="s">
        <v>347</v>
      </c>
      <c r="C207" s="14" t="s">
        <v>348</v>
      </c>
      <c r="D207" s="15">
        <v>2.123209E7</v>
      </c>
      <c r="E207" s="15">
        <v>2.183306E7</v>
      </c>
      <c r="F207" s="15">
        <v>3.92118E7</v>
      </c>
      <c r="G207" s="17">
        <f t="shared" si="1"/>
        <v>2.830479713</v>
      </c>
      <c r="H207" s="17">
        <f t="shared" si="2"/>
        <v>22451040.33</v>
      </c>
      <c r="I207" s="18">
        <f t="shared" si="3"/>
        <v>179.5982789</v>
      </c>
      <c r="J207" s="19">
        <f t="shared" si="4"/>
        <v>40321682.04</v>
      </c>
      <c r="K207" s="20">
        <v>4.055656E7</v>
      </c>
      <c r="L207" s="18">
        <f t="shared" si="5"/>
        <v>-0.579136781</v>
      </c>
    </row>
    <row r="208">
      <c r="A208" s="13" t="s">
        <v>399</v>
      </c>
      <c r="B208" s="13" t="s">
        <v>349</v>
      </c>
      <c r="C208" s="14" t="s">
        <v>350</v>
      </c>
      <c r="D208" s="15">
        <v>3.6111103E8</v>
      </c>
      <c r="E208" s="15">
        <v>3.7383772E8</v>
      </c>
      <c r="F208" s="15">
        <v>6.1465898E8</v>
      </c>
      <c r="G208" s="17">
        <f t="shared" si="1"/>
        <v>3.524314945</v>
      </c>
      <c r="H208" s="17">
        <f t="shared" si="2"/>
        <v>387012938.6</v>
      </c>
      <c r="I208" s="18">
        <f t="shared" si="3"/>
        <v>164.4186627</v>
      </c>
      <c r="J208" s="19">
        <f t="shared" si="4"/>
        <v>636321498.3</v>
      </c>
      <c r="K208" s="20">
        <v>6.4874929E8</v>
      </c>
      <c r="L208" s="18">
        <f t="shared" si="5"/>
        <v>-1.915653997</v>
      </c>
    </row>
    <row r="209">
      <c r="A209" s="13" t="s">
        <v>399</v>
      </c>
      <c r="B209" s="13" t="s">
        <v>351</v>
      </c>
      <c r="C209" s="14" t="s">
        <v>352</v>
      </c>
      <c r="D209" s="15">
        <v>1297420.0</v>
      </c>
      <c r="E209" s="15">
        <v>1387680.0</v>
      </c>
      <c r="F209" s="15">
        <v>1675830.0</v>
      </c>
      <c r="G209" s="17">
        <f t="shared" si="1"/>
        <v>6.956883661</v>
      </c>
      <c r="H209" s="17">
        <f t="shared" si="2"/>
        <v>1484219.283</v>
      </c>
      <c r="I209" s="18">
        <f t="shared" si="3"/>
        <v>120.7648737</v>
      </c>
      <c r="J209" s="19">
        <f t="shared" si="4"/>
        <v>1792415.543</v>
      </c>
      <c r="K209" s="20">
        <v>1752770.0</v>
      </c>
      <c r="L209" s="18">
        <f t="shared" si="5"/>
        <v>2.261879395</v>
      </c>
    </row>
    <row r="210">
      <c r="A210" s="13" t="s">
        <v>399</v>
      </c>
      <c r="B210" s="13" t="s">
        <v>353</v>
      </c>
      <c r="C210" s="14" t="s">
        <v>354</v>
      </c>
      <c r="D210" s="15">
        <v>783020.0</v>
      </c>
      <c r="E210" s="15">
        <v>800900.0</v>
      </c>
      <c r="F210" s="15">
        <v>1066340.0</v>
      </c>
      <c r="G210" s="17">
        <f t="shared" si="1"/>
        <v>2.283466578</v>
      </c>
      <c r="H210" s="17">
        <f t="shared" si="2"/>
        <v>819188.2838</v>
      </c>
      <c r="I210" s="18">
        <f t="shared" si="3"/>
        <v>133.1427144</v>
      </c>
      <c r="J210" s="19">
        <f t="shared" si="4"/>
        <v>1090689.518</v>
      </c>
      <c r="K210" s="20">
        <v>1123960.0</v>
      </c>
      <c r="L210" s="18">
        <f t="shared" si="5"/>
        <v>-2.960112681</v>
      </c>
    </row>
    <row r="211">
      <c r="A211" s="13" t="s">
        <v>399</v>
      </c>
      <c r="B211" s="13" t="s">
        <v>355</v>
      </c>
      <c r="C211" s="14" t="s">
        <v>356</v>
      </c>
      <c r="D211" s="15">
        <v>1.1525087E8</v>
      </c>
      <c r="E211" s="15">
        <v>1.2444181E8</v>
      </c>
      <c r="F211" s="15">
        <v>2.0703933E8</v>
      </c>
      <c r="G211" s="17">
        <f t="shared" si="1"/>
        <v>7.97472505</v>
      </c>
      <c r="H211" s="17">
        <f t="shared" si="2"/>
        <v>134365702.2</v>
      </c>
      <c r="I211" s="18">
        <f t="shared" si="3"/>
        <v>166.3744123</v>
      </c>
      <c r="J211" s="19">
        <f t="shared" si="4"/>
        <v>223550147.3</v>
      </c>
      <c r="K211" s="20">
        <v>2.2290055E8</v>
      </c>
      <c r="L211" s="18">
        <f t="shared" si="5"/>
        <v>0.2914292102</v>
      </c>
    </row>
    <row r="212">
      <c r="A212" s="13" t="s">
        <v>399</v>
      </c>
      <c r="B212" s="13" t="s">
        <v>357</v>
      </c>
      <c r="C212" s="14" t="s">
        <v>358</v>
      </c>
      <c r="D212" s="15">
        <v>1.6124041E8</v>
      </c>
      <c r="E212" s="15">
        <v>1.6793117E8</v>
      </c>
      <c r="F212" s="15">
        <v>2.4514047E8</v>
      </c>
      <c r="G212" s="17">
        <f t="shared" si="1"/>
        <v>4.149555313</v>
      </c>
      <c r="H212" s="17">
        <f t="shared" si="2"/>
        <v>174899566.8</v>
      </c>
      <c r="I212" s="18">
        <f t="shared" si="3"/>
        <v>145.9767535</v>
      </c>
      <c r="J212" s="19">
        <f t="shared" si="4"/>
        <v>255312709.4</v>
      </c>
      <c r="K212" s="20">
        <v>2.6208127E8</v>
      </c>
      <c r="L212" s="18">
        <f t="shared" si="5"/>
        <v>-2.582618973</v>
      </c>
    </row>
    <row r="213">
      <c r="A213" s="13" t="s">
        <v>399</v>
      </c>
      <c r="B213" s="13" t="s">
        <v>359</v>
      </c>
      <c r="C213" s="14" t="s">
        <v>360</v>
      </c>
      <c r="D213" s="15">
        <v>4.552339E7</v>
      </c>
      <c r="E213" s="15">
        <v>4.805276E7</v>
      </c>
      <c r="F213" s="15">
        <v>7.444394E7</v>
      </c>
      <c r="G213" s="17">
        <f t="shared" si="1"/>
        <v>5.556198693</v>
      </c>
      <c r="H213" s="17">
        <f t="shared" si="2"/>
        <v>50722666.82</v>
      </c>
      <c r="I213" s="18">
        <f t="shared" si="3"/>
        <v>154.9212574</v>
      </c>
      <c r="J213" s="19">
        <f t="shared" si="4"/>
        <v>78580193.22</v>
      </c>
      <c r="K213" s="20">
        <v>8.020166E7</v>
      </c>
      <c r="L213" s="18">
        <f t="shared" si="5"/>
        <v>-2.02173718</v>
      </c>
    </row>
    <row r="214">
      <c r="A214" s="13" t="s">
        <v>399</v>
      </c>
      <c r="B214" s="13" t="s">
        <v>361</v>
      </c>
      <c r="C214" s="14" t="s">
        <v>362</v>
      </c>
      <c r="D214" s="15">
        <v>4.24172E7</v>
      </c>
      <c r="E214" s="15">
        <v>4.667027E7</v>
      </c>
      <c r="F214" s="15">
        <v>6.473132E7</v>
      </c>
      <c r="G214" s="17">
        <f t="shared" si="1"/>
        <v>10.02675801</v>
      </c>
      <c r="H214" s="17">
        <f t="shared" si="2"/>
        <v>51349785.04</v>
      </c>
      <c r="I214" s="18">
        <f t="shared" si="3"/>
        <v>138.6992619</v>
      </c>
      <c r="J214" s="19">
        <f t="shared" si="4"/>
        <v>71221772.82</v>
      </c>
      <c r="K214" s="20">
        <v>7.26176E7</v>
      </c>
      <c r="L214" s="18">
        <f t="shared" si="5"/>
        <v>-1.922160998</v>
      </c>
    </row>
    <row r="215">
      <c r="A215" s="13" t="s">
        <v>399</v>
      </c>
      <c r="B215" s="13" t="s">
        <v>363</v>
      </c>
      <c r="C215" s="14" t="s">
        <v>364</v>
      </c>
      <c r="D215" s="15">
        <v>7.065878E7</v>
      </c>
      <c r="E215" s="15">
        <v>7.741608E7</v>
      </c>
      <c r="F215" s="15">
        <v>7.643836E7</v>
      </c>
      <c r="G215" s="17">
        <f t="shared" si="1"/>
        <v>9.56328428</v>
      </c>
      <c r="H215" s="17">
        <f t="shared" si="2"/>
        <v>84819599.81</v>
      </c>
      <c r="I215" s="18">
        <f t="shared" si="3"/>
        <v>98.73705824</v>
      </c>
      <c r="J215" s="19">
        <f t="shared" si="4"/>
        <v>83748377.67</v>
      </c>
      <c r="K215" s="20">
        <v>8.340876E7</v>
      </c>
      <c r="L215" s="18">
        <f t="shared" si="5"/>
        <v>0.4071726586</v>
      </c>
    </row>
    <row r="216">
      <c r="A216" s="13" t="s">
        <v>399</v>
      </c>
      <c r="B216" s="13" t="s">
        <v>365</v>
      </c>
      <c r="C216" s="14" t="s">
        <v>366</v>
      </c>
      <c r="D216" s="15">
        <v>2.82891E7</v>
      </c>
      <c r="E216" s="15">
        <v>2.889958E7</v>
      </c>
      <c r="F216" s="15">
        <v>5.056009E7</v>
      </c>
      <c r="G216" s="17">
        <f t="shared" si="1"/>
        <v>2.15800432</v>
      </c>
      <c r="H216" s="17">
        <f t="shared" si="2"/>
        <v>29523234.18</v>
      </c>
      <c r="I216" s="18">
        <f t="shared" si="3"/>
        <v>174.9509508</v>
      </c>
      <c r="J216" s="19">
        <f t="shared" si="4"/>
        <v>51651178.93</v>
      </c>
      <c r="K216" s="20">
        <v>5.455268E7</v>
      </c>
      <c r="L216" s="18">
        <f t="shared" si="5"/>
        <v>-5.318714083</v>
      </c>
    </row>
    <row r="217">
      <c r="A217" s="13" t="s">
        <v>399</v>
      </c>
      <c r="B217" s="13" t="s">
        <v>367</v>
      </c>
      <c r="C217" s="14" t="s">
        <v>368</v>
      </c>
      <c r="D217" s="15">
        <v>2.149452E7</v>
      </c>
      <c r="E217" s="15">
        <v>2.276406E7</v>
      </c>
      <c r="F217" s="15">
        <v>2.915389E7</v>
      </c>
      <c r="G217" s="17">
        <f t="shared" si="1"/>
        <v>5.90634264</v>
      </c>
      <c r="H217" s="17">
        <f t="shared" si="2"/>
        <v>24108583.38</v>
      </c>
      <c r="I217" s="18">
        <f t="shared" si="3"/>
        <v>128.0698171</v>
      </c>
      <c r="J217" s="19">
        <f t="shared" si="4"/>
        <v>30875818.64</v>
      </c>
      <c r="K217" s="20">
        <v>3.109149E7</v>
      </c>
      <c r="L217" s="18">
        <f t="shared" si="5"/>
        <v>-0.6936668643</v>
      </c>
    </row>
    <row r="218">
      <c r="A218" s="13" t="s">
        <v>399</v>
      </c>
      <c r="B218" s="13" t="s">
        <v>369</v>
      </c>
      <c r="C218" s="14" t="s">
        <v>370</v>
      </c>
      <c r="D218" s="15">
        <v>4344410.0</v>
      </c>
      <c r="E218" s="15">
        <v>4741920.0</v>
      </c>
      <c r="F218" s="15">
        <v>7783770.0</v>
      </c>
      <c r="G218" s="17">
        <f t="shared" si="1"/>
        <v>9.149919091</v>
      </c>
      <c r="H218" s="17">
        <f t="shared" si="2"/>
        <v>5175801.843</v>
      </c>
      <c r="I218" s="18">
        <f t="shared" si="3"/>
        <v>164.1480666</v>
      </c>
      <c r="J218" s="19">
        <f t="shared" si="4"/>
        <v>8495978.657</v>
      </c>
      <c r="K218" s="20">
        <v>8561140.0</v>
      </c>
      <c r="L218" s="18">
        <f t="shared" si="5"/>
        <v>-0.7611292741</v>
      </c>
    </row>
    <row r="219">
      <c r="A219" s="13" t="s">
        <v>399</v>
      </c>
      <c r="B219" s="13" t="s">
        <v>371</v>
      </c>
      <c r="C219" s="14" t="s">
        <v>372</v>
      </c>
      <c r="D219" s="15">
        <v>2.594409E7</v>
      </c>
      <c r="E219" s="15">
        <v>2.789721E7</v>
      </c>
      <c r="F219" s="15">
        <v>4.395971E7</v>
      </c>
      <c r="G219" s="17">
        <f t="shared" si="1"/>
        <v>7.528188501</v>
      </c>
      <c r="H219" s="17">
        <f t="shared" si="2"/>
        <v>29997364.56</v>
      </c>
      <c r="I219" s="18">
        <f t="shared" si="3"/>
        <v>157.5774423</v>
      </c>
      <c r="J219" s="19">
        <f t="shared" si="4"/>
        <v>47269079.83</v>
      </c>
      <c r="K219" s="20">
        <v>4.576361E7</v>
      </c>
      <c r="L219" s="18">
        <f t="shared" si="5"/>
        <v>3.289665813</v>
      </c>
    </row>
    <row r="220">
      <c r="A220" s="13" t="s">
        <v>399</v>
      </c>
      <c r="B220" s="13" t="s">
        <v>373</v>
      </c>
      <c r="C220" s="14" t="s">
        <v>374</v>
      </c>
      <c r="D220" s="15">
        <v>4.195157E7</v>
      </c>
      <c r="E220" s="15">
        <v>4.553022E7</v>
      </c>
      <c r="F220" s="15">
        <v>7.797857E7</v>
      </c>
      <c r="G220" s="17">
        <f t="shared" si="1"/>
        <v>8.530431638</v>
      </c>
      <c r="H220" s="17">
        <f t="shared" si="2"/>
        <v>49414144.29</v>
      </c>
      <c r="I220" s="18">
        <f t="shared" si="3"/>
        <v>171.2677206</v>
      </c>
      <c r="J220" s="19">
        <f t="shared" si="4"/>
        <v>84630478.61</v>
      </c>
      <c r="K220" s="20">
        <v>8.486079E7</v>
      </c>
      <c r="L220" s="18">
        <f t="shared" si="5"/>
        <v>-0.2713990686</v>
      </c>
    </row>
    <row r="221">
      <c r="A221" s="13" t="s">
        <v>399</v>
      </c>
      <c r="B221" s="13" t="s">
        <v>375</v>
      </c>
      <c r="C221" s="14" t="s">
        <v>376</v>
      </c>
      <c r="D221" s="15">
        <v>1.027455E7</v>
      </c>
      <c r="E221" s="15">
        <v>1.102221E7</v>
      </c>
      <c r="F221" s="15">
        <v>1.693297E7</v>
      </c>
      <c r="G221" s="17">
        <f t="shared" si="1"/>
        <v>7.276815043</v>
      </c>
      <c r="H221" s="17">
        <f t="shared" si="2"/>
        <v>11824275.84</v>
      </c>
      <c r="I221" s="18">
        <f t="shared" si="3"/>
        <v>153.6259062</v>
      </c>
      <c r="J221" s="19">
        <f t="shared" si="4"/>
        <v>18165150.91</v>
      </c>
      <c r="K221" s="20">
        <v>1.810907E7</v>
      </c>
      <c r="L221" s="18">
        <f t="shared" si="5"/>
        <v>0.3096840875</v>
      </c>
    </row>
    <row r="222">
      <c r="A222" s="13" t="s">
        <v>399</v>
      </c>
      <c r="B222" s="13" t="s">
        <v>377</v>
      </c>
      <c r="C222" s="14" t="s">
        <v>378</v>
      </c>
      <c r="D222" s="15">
        <v>1.929449E7</v>
      </c>
      <c r="E222" s="15">
        <v>2.060968E7</v>
      </c>
      <c r="F222" s="15">
        <v>2.958658E7</v>
      </c>
      <c r="G222" s="17">
        <f t="shared" si="1"/>
        <v>6.816401988</v>
      </c>
      <c r="H222" s="17">
        <f t="shared" si="2"/>
        <v>22014518.64</v>
      </c>
      <c r="I222" s="18">
        <f t="shared" si="3"/>
        <v>143.556717</v>
      </c>
      <c r="J222" s="19">
        <f t="shared" si="4"/>
        <v>31603320.23</v>
      </c>
      <c r="K222" s="20">
        <v>3.294935E7</v>
      </c>
      <c r="L222" s="18">
        <f t="shared" si="5"/>
        <v>-4.085148182</v>
      </c>
    </row>
    <row r="223">
      <c r="A223" s="13" t="s">
        <v>400</v>
      </c>
      <c r="B223" s="13" t="s">
        <v>63</v>
      </c>
      <c r="C223" s="14" t="s">
        <v>66</v>
      </c>
      <c r="D223" s="15">
        <v>9194040.0</v>
      </c>
      <c r="E223" s="15">
        <v>9206490.0</v>
      </c>
      <c r="F223" s="15">
        <v>1.926667E7</v>
      </c>
      <c r="G223" s="17">
        <f t="shared" si="1"/>
        <v>0.1354138116</v>
      </c>
      <c r="H223" s="17">
        <f t="shared" si="2"/>
        <v>9218956.859</v>
      </c>
      <c r="I223" s="18">
        <f t="shared" si="3"/>
        <v>209.2726978</v>
      </c>
      <c r="J223" s="19">
        <f t="shared" si="4"/>
        <v>19292759.73</v>
      </c>
      <c r="K223" s="20">
        <v>2.108258E7</v>
      </c>
      <c r="L223" s="18">
        <f t="shared" si="5"/>
        <v>-8.489569435</v>
      </c>
    </row>
    <row r="224">
      <c r="A224" s="13" t="s">
        <v>400</v>
      </c>
      <c r="B224" s="13" t="s">
        <v>347</v>
      </c>
      <c r="C224" s="14" t="s">
        <v>348</v>
      </c>
      <c r="D224" s="15">
        <v>517330.00000000006</v>
      </c>
      <c r="E224" s="15">
        <v>557400.0</v>
      </c>
      <c r="F224" s="15">
        <v>871350.0</v>
      </c>
      <c r="G224" s="17">
        <f t="shared" si="1"/>
        <v>7.745539598</v>
      </c>
      <c r="H224" s="17">
        <f t="shared" si="2"/>
        <v>600573.6377</v>
      </c>
      <c r="I224" s="18">
        <f t="shared" si="3"/>
        <v>156.3240043</v>
      </c>
      <c r="J224" s="19">
        <f t="shared" si="4"/>
        <v>938840.7593</v>
      </c>
      <c r="K224" s="20">
        <v>791270.0</v>
      </c>
      <c r="L224" s="18">
        <f t="shared" si="5"/>
        <v>18.64986152</v>
      </c>
    </row>
    <row r="225">
      <c r="A225" s="13" t="s">
        <v>400</v>
      </c>
      <c r="B225" s="13" t="s">
        <v>349</v>
      </c>
      <c r="C225" s="14" t="s">
        <v>350</v>
      </c>
      <c r="D225" s="15">
        <v>1.344125E7</v>
      </c>
      <c r="E225" s="15">
        <v>1.395028E7</v>
      </c>
      <c r="F225" s="15">
        <v>2.292755E7</v>
      </c>
      <c r="G225" s="17">
        <f t="shared" si="1"/>
        <v>3.787073375</v>
      </c>
      <c r="H225" s="17">
        <f t="shared" si="2"/>
        <v>14478587.34</v>
      </c>
      <c r="I225" s="18">
        <f t="shared" si="3"/>
        <v>164.3518983</v>
      </c>
      <c r="J225" s="19">
        <f t="shared" si="4"/>
        <v>23795833.14</v>
      </c>
      <c r="K225" s="20">
        <v>2.455234E7</v>
      </c>
      <c r="L225" s="18">
        <f t="shared" si="5"/>
        <v>-3.081200645</v>
      </c>
    </row>
    <row r="226">
      <c r="A226" s="13" t="s">
        <v>400</v>
      </c>
      <c r="B226" s="13" t="s">
        <v>351</v>
      </c>
      <c r="C226" s="14" t="s">
        <v>352</v>
      </c>
      <c r="D226" s="15">
        <v>191260.0</v>
      </c>
      <c r="E226" s="15">
        <v>211670.0</v>
      </c>
      <c r="F226" s="15">
        <v>277560.0</v>
      </c>
      <c r="G226" s="17">
        <f t="shared" si="1"/>
        <v>10.67133745</v>
      </c>
      <c r="H226" s="17">
        <f t="shared" si="2"/>
        <v>234258.02</v>
      </c>
      <c r="I226" s="18">
        <f t="shared" si="3"/>
        <v>131.1286436</v>
      </c>
      <c r="J226" s="19">
        <f t="shared" si="4"/>
        <v>307179.3642</v>
      </c>
      <c r="K226" s="20">
        <v>292220.0</v>
      </c>
      <c r="L226" s="18">
        <f t="shared" si="5"/>
        <v>5.119212996</v>
      </c>
    </row>
    <row r="227">
      <c r="A227" s="13" t="s">
        <v>400</v>
      </c>
      <c r="B227" s="13" t="s">
        <v>353</v>
      </c>
      <c r="C227" s="14" t="s">
        <v>354</v>
      </c>
      <c r="D227" s="15">
        <v>118570.0</v>
      </c>
      <c r="E227" s="15">
        <v>119620.0</v>
      </c>
      <c r="F227" s="15">
        <v>174220.0</v>
      </c>
      <c r="G227" s="17">
        <f t="shared" si="1"/>
        <v>0.885552838</v>
      </c>
      <c r="H227" s="17">
        <f t="shared" si="2"/>
        <v>120679.2983</v>
      </c>
      <c r="I227" s="18">
        <f t="shared" si="3"/>
        <v>145.644541</v>
      </c>
      <c r="J227" s="19">
        <f t="shared" si="4"/>
        <v>175762.8102</v>
      </c>
      <c r="K227" s="20">
        <v>174280.0</v>
      </c>
      <c r="L227" s="18">
        <f t="shared" si="5"/>
        <v>0.8508206073</v>
      </c>
    </row>
    <row r="228">
      <c r="A228" s="13" t="s">
        <v>400</v>
      </c>
      <c r="B228" s="13" t="s">
        <v>355</v>
      </c>
      <c r="C228" s="14" t="s">
        <v>356</v>
      </c>
      <c r="D228" s="15">
        <v>1.173207E7</v>
      </c>
      <c r="E228" s="15">
        <v>1.271305E7</v>
      </c>
      <c r="F228" s="15">
        <v>1.862762E7</v>
      </c>
      <c r="G228" s="17">
        <f t="shared" si="1"/>
        <v>8.361525289</v>
      </c>
      <c r="H228" s="17">
        <f t="shared" si="2"/>
        <v>13776054.89</v>
      </c>
      <c r="I228" s="18">
        <f t="shared" si="3"/>
        <v>146.5236116</v>
      </c>
      <c r="J228" s="19">
        <f t="shared" si="4"/>
        <v>20185173.16</v>
      </c>
      <c r="K228" s="20">
        <v>2.042061E7</v>
      </c>
      <c r="L228" s="18">
        <f t="shared" si="5"/>
        <v>-1.152937365</v>
      </c>
    </row>
    <row r="229">
      <c r="A229" s="13" t="s">
        <v>400</v>
      </c>
      <c r="B229" s="13" t="s">
        <v>357</v>
      </c>
      <c r="C229" s="14" t="s">
        <v>358</v>
      </c>
      <c r="D229" s="15">
        <v>9159470.0</v>
      </c>
      <c r="E229" s="15">
        <v>9521980.0</v>
      </c>
      <c r="F229" s="15">
        <v>1.562323E7</v>
      </c>
      <c r="G229" s="17">
        <f t="shared" si="1"/>
        <v>3.957761748</v>
      </c>
      <c r="H229" s="17">
        <f t="shared" si="2"/>
        <v>9898837.282</v>
      </c>
      <c r="I229" s="18">
        <f t="shared" si="3"/>
        <v>164.0754339</v>
      </c>
      <c r="J229" s="19">
        <f t="shared" si="4"/>
        <v>16241560.22</v>
      </c>
      <c r="K229" s="20">
        <v>1.676157E7</v>
      </c>
      <c r="L229" s="18">
        <f t="shared" si="5"/>
        <v>-3.102393029</v>
      </c>
    </row>
    <row r="230">
      <c r="A230" s="13" t="s">
        <v>400</v>
      </c>
      <c r="B230" s="13" t="s">
        <v>359</v>
      </c>
      <c r="C230" s="14" t="s">
        <v>360</v>
      </c>
      <c r="D230" s="15">
        <v>5822820.0</v>
      </c>
      <c r="E230" s="15">
        <v>6186170.0</v>
      </c>
      <c r="F230" s="15">
        <v>1.128292E7</v>
      </c>
      <c r="G230" s="17">
        <f t="shared" si="1"/>
        <v>6.240103592</v>
      </c>
      <c r="H230" s="17">
        <f t="shared" si="2"/>
        <v>6572193.416</v>
      </c>
      <c r="I230" s="18">
        <f t="shared" si="3"/>
        <v>182.3894267</v>
      </c>
      <c r="J230" s="19">
        <f t="shared" si="4"/>
        <v>11986985.9</v>
      </c>
      <c r="K230" s="20">
        <v>1.193375E7</v>
      </c>
      <c r="L230" s="18">
        <f t="shared" si="5"/>
        <v>0.4460952865</v>
      </c>
    </row>
    <row r="231">
      <c r="A231" s="13" t="s">
        <v>400</v>
      </c>
      <c r="B231" s="13" t="s">
        <v>361</v>
      </c>
      <c r="C231" s="14" t="s">
        <v>362</v>
      </c>
      <c r="D231" s="15">
        <v>1.117346E7</v>
      </c>
      <c r="E231" s="15">
        <v>1.213102E7</v>
      </c>
      <c r="F231" s="15">
        <v>2.053452E7</v>
      </c>
      <c r="G231" s="17">
        <f t="shared" si="1"/>
        <v>8.569950579</v>
      </c>
      <c r="H231" s="17">
        <f t="shared" si="2"/>
        <v>13170642.42</v>
      </c>
      <c r="I231" s="18">
        <f t="shared" si="3"/>
        <v>169.2728229</v>
      </c>
      <c r="J231" s="19">
        <f t="shared" si="4"/>
        <v>22294318.22</v>
      </c>
      <c r="K231" s="20">
        <v>2.271347E7</v>
      </c>
      <c r="L231" s="18">
        <f t="shared" si="5"/>
        <v>-1.845388592</v>
      </c>
    </row>
    <row r="232">
      <c r="A232" s="13" t="s">
        <v>400</v>
      </c>
      <c r="B232" s="13" t="s">
        <v>363</v>
      </c>
      <c r="C232" s="14" t="s">
        <v>364</v>
      </c>
      <c r="D232" s="15">
        <v>1.76313E7</v>
      </c>
      <c r="E232" s="15">
        <v>1.839674E7</v>
      </c>
      <c r="F232" s="15">
        <v>1.893112E7</v>
      </c>
      <c r="G232" s="17">
        <f t="shared" si="1"/>
        <v>4.341370177</v>
      </c>
      <c r="H232" s="17">
        <f t="shared" si="2"/>
        <v>19195410.58</v>
      </c>
      <c r="I232" s="18">
        <f t="shared" si="3"/>
        <v>102.9047538</v>
      </c>
      <c r="J232" s="19">
        <f t="shared" si="4"/>
        <v>19752990</v>
      </c>
      <c r="K232" s="20">
        <v>2.005623E7</v>
      </c>
      <c r="L232" s="18">
        <f t="shared" si="5"/>
        <v>-1.511949166</v>
      </c>
    </row>
    <row r="233">
      <c r="A233" s="13" t="s">
        <v>400</v>
      </c>
      <c r="B233" s="13" t="s">
        <v>365</v>
      </c>
      <c r="C233" s="14" t="s">
        <v>366</v>
      </c>
      <c r="D233" s="15">
        <v>4432250.0</v>
      </c>
      <c r="E233" s="15">
        <v>4721390.0</v>
      </c>
      <c r="F233" s="15">
        <v>8250020.0</v>
      </c>
      <c r="G233" s="17">
        <f t="shared" si="1"/>
        <v>6.523548988</v>
      </c>
      <c r="H233" s="17">
        <f t="shared" si="2"/>
        <v>5029392.19</v>
      </c>
      <c r="I233" s="18">
        <f t="shared" si="3"/>
        <v>174.7371007</v>
      </c>
      <c r="J233" s="19">
        <f t="shared" si="4"/>
        <v>8788214.096</v>
      </c>
      <c r="K233" s="20">
        <v>8561350.0</v>
      </c>
      <c r="L233" s="18">
        <f t="shared" si="5"/>
        <v>2.649863587</v>
      </c>
    </row>
    <row r="234">
      <c r="A234" s="13" t="s">
        <v>400</v>
      </c>
      <c r="B234" s="13" t="s">
        <v>367</v>
      </c>
      <c r="C234" s="14" t="s">
        <v>368</v>
      </c>
      <c r="D234" s="15">
        <v>8155530.0</v>
      </c>
      <c r="E234" s="15">
        <v>8487820.0</v>
      </c>
      <c r="F234" s="15">
        <v>1.254058E7</v>
      </c>
      <c r="G234" s="17">
        <f t="shared" si="1"/>
        <v>4.074413312</v>
      </c>
      <c r="H234" s="17">
        <f t="shared" si="2"/>
        <v>8833648.868</v>
      </c>
      <c r="I234" s="18">
        <f t="shared" si="3"/>
        <v>147.7479494</v>
      </c>
      <c r="J234" s="19">
        <f t="shared" si="4"/>
        <v>13051535.06</v>
      </c>
      <c r="K234" s="20">
        <v>1.348251E7</v>
      </c>
      <c r="L234" s="18">
        <f t="shared" si="5"/>
        <v>-3.196548262</v>
      </c>
    </row>
    <row r="235">
      <c r="A235" s="13" t="s">
        <v>400</v>
      </c>
      <c r="B235" s="13" t="s">
        <v>369</v>
      </c>
      <c r="C235" s="14" t="s">
        <v>370</v>
      </c>
      <c r="D235" s="15">
        <v>1304870.0</v>
      </c>
      <c r="E235" s="15">
        <v>1379820.0</v>
      </c>
      <c r="F235" s="15">
        <v>1873460.0</v>
      </c>
      <c r="G235" s="17">
        <f t="shared" si="1"/>
        <v>5.743867205</v>
      </c>
      <c r="H235" s="17">
        <f t="shared" si="2"/>
        <v>1459075.028</v>
      </c>
      <c r="I235" s="18">
        <f t="shared" si="3"/>
        <v>135.7756809</v>
      </c>
      <c r="J235" s="19">
        <f t="shared" si="4"/>
        <v>1981069.055</v>
      </c>
      <c r="K235" s="20">
        <v>1993810.0</v>
      </c>
      <c r="L235" s="18">
        <f t="shared" si="5"/>
        <v>-0.6390250555</v>
      </c>
    </row>
    <row r="236">
      <c r="A236" s="13" t="s">
        <v>400</v>
      </c>
      <c r="B236" s="13" t="s">
        <v>371</v>
      </c>
      <c r="C236" s="14" t="s">
        <v>372</v>
      </c>
      <c r="D236" s="15">
        <v>7684430.0</v>
      </c>
      <c r="E236" s="15">
        <v>8181350.0</v>
      </c>
      <c r="F236" s="15">
        <v>1.455151E7</v>
      </c>
      <c r="G236" s="17">
        <f t="shared" si="1"/>
        <v>6.466582427</v>
      </c>
      <c r="H236" s="17">
        <f t="shared" si="2"/>
        <v>8710403.741</v>
      </c>
      <c r="I236" s="18">
        <f t="shared" si="3"/>
        <v>177.8619665</v>
      </c>
      <c r="J236" s="19">
        <f t="shared" si="4"/>
        <v>15492495.39</v>
      </c>
      <c r="K236" s="20">
        <v>1.52915E7</v>
      </c>
      <c r="L236" s="18">
        <f t="shared" si="5"/>
        <v>1.314425586</v>
      </c>
    </row>
    <row r="237">
      <c r="A237" s="13" t="s">
        <v>400</v>
      </c>
      <c r="B237" s="13" t="s">
        <v>373</v>
      </c>
      <c r="C237" s="14" t="s">
        <v>374</v>
      </c>
      <c r="D237" s="15">
        <v>1.060842E7</v>
      </c>
      <c r="E237" s="15">
        <v>1.104087E7</v>
      </c>
      <c r="F237" s="15">
        <v>1.60274E7</v>
      </c>
      <c r="G237" s="17">
        <f t="shared" si="1"/>
        <v>4.076478872</v>
      </c>
      <c r="H237" s="17">
        <f t="shared" si="2"/>
        <v>11490948.73</v>
      </c>
      <c r="I237" s="18">
        <f t="shared" si="3"/>
        <v>145.1642851</v>
      </c>
      <c r="J237" s="19">
        <f t="shared" si="4"/>
        <v>16680753.57</v>
      </c>
      <c r="K237" s="20">
        <v>1.7051E7</v>
      </c>
      <c r="L237" s="18">
        <f t="shared" si="5"/>
        <v>-2.17140593</v>
      </c>
    </row>
    <row r="238">
      <c r="A238" s="13" t="s">
        <v>400</v>
      </c>
      <c r="B238" s="13" t="s">
        <v>375</v>
      </c>
      <c r="C238" s="14" t="s">
        <v>376</v>
      </c>
      <c r="D238" s="15">
        <v>3805740.0</v>
      </c>
      <c r="E238" s="15">
        <v>4009280.0</v>
      </c>
      <c r="F238" s="15">
        <v>6253690.0</v>
      </c>
      <c r="G238" s="17">
        <f t="shared" si="1"/>
        <v>5.348237137</v>
      </c>
      <c r="H238" s="17">
        <f t="shared" si="2"/>
        <v>4223705.802</v>
      </c>
      <c r="I238" s="18">
        <f t="shared" si="3"/>
        <v>155.9803755</v>
      </c>
      <c r="J238" s="19">
        <f t="shared" si="4"/>
        <v>6588152.171</v>
      </c>
      <c r="K238" s="20">
        <v>6789310.0</v>
      </c>
      <c r="L238" s="18">
        <f t="shared" si="5"/>
        <v>-2.96286116</v>
      </c>
    </row>
    <row r="239">
      <c r="A239" s="13" t="s">
        <v>400</v>
      </c>
      <c r="B239" s="13" t="s">
        <v>377</v>
      </c>
      <c r="C239" s="14" t="s">
        <v>378</v>
      </c>
      <c r="D239" s="15">
        <v>3652740.0</v>
      </c>
      <c r="E239" s="15">
        <v>3775490.0</v>
      </c>
      <c r="F239" s="15">
        <v>5548530.0</v>
      </c>
      <c r="G239" s="17">
        <f t="shared" si="1"/>
        <v>3.360491029</v>
      </c>
      <c r="H239" s="17">
        <f t="shared" si="2"/>
        <v>3902365.003</v>
      </c>
      <c r="I239" s="18">
        <f t="shared" si="3"/>
        <v>146.9618513</v>
      </c>
      <c r="J239" s="19">
        <f t="shared" si="4"/>
        <v>5734987.853</v>
      </c>
      <c r="K239" s="20">
        <v>6186010.0</v>
      </c>
      <c r="L239" s="18">
        <f t="shared" si="5"/>
        <v>-7.291002555</v>
      </c>
    </row>
    <row r="240">
      <c r="A240" s="13" t="s">
        <v>401</v>
      </c>
      <c r="B240" s="13" t="s">
        <v>63</v>
      </c>
      <c r="C240" s="14" t="s">
        <v>66</v>
      </c>
      <c r="D240" s="15">
        <v>1.7766837E8</v>
      </c>
      <c r="E240" s="15">
        <v>1.7780948E8</v>
      </c>
      <c r="F240" s="15">
        <v>3.3769752E8</v>
      </c>
      <c r="G240" s="17">
        <f t="shared" si="1"/>
        <v>0.07942325356</v>
      </c>
      <c r="H240" s="17">
        <f t="shared" si="2"/>
        <v>177950702.1</v>
      </c>
      <c r="I240" s="18">
        <f t="shared" si="3"/>
        <v>189.9209873</v>
      </c>
      <c r="J240" s="19">
        <f t="shared" si="4"/>
        <v>337965730.4</v>
      </c>
      <c r="K240" s="20">
        <v>3.6537514E8</v>
      </c>
      <c r="L240" s="18">
        <f t="shared" si="5"/>
        <v>-7.501717178</v>
      </c>
    </row>
    <row r="241">
      <c r="A241" s="13" t="s">
        <v>401</v>
      </c>
      <c r="B241" s="13" t="s">
        <v>347</v>
      </c>
      <c r="C241" s="14" t="s">
        <v>348</v>
      </c>
      <c r="D241" s="15">
        <v>7.305778E7</v>
      </c>
      <c r="E241" s="15">
        <v>7.258257E7</v>
      </c>
      <c r="F241" s="15">
        <v>1.1334446E8</v>
      </c>
      <c r="G241" s="17">
        <f t="shared" si="1"/>
        <v>-0.650457761</v>
      </c>
      <c r="H241" s="17">
        <f t="shared" si="2"/>
        <v>72110451.04</v>
      </c>
      <c r="I241" s="18">
        <f t="shared" si="3"/>
        <v>156.1593369</v>
      </c>
      <c r="J241" s="19">
        <f t="shared" si="4"/>
        <v>112607202.2</v>
      </c>
      <c r="K241" s="20">
        <v>1.1309901E8</v>
      </c>
      <c r="L241" s="18">
        <f t="shared" si="5"/>
        <v>-0.4348471633</v>
      </c>
    </row>
    <row r="242">
      <c r="A242" s="13" t="s">
        <v>401</v>
      </c>
      <c r="B242" s="13" t="s">
        <v>349</v>
      </c>
      <c r="C242" s="14" t="s">
        <v>350</v>
      </c>
      <c r="D242" s="15">
        <v>5.5844865E8</v>
      </c>
      <c r="E242" s="15">
        <v>5.8859882E8</v>
      </c>
      <c r="F242" s="15">
        <v>9.7750754E8</v>
      </c>
      <c r="G242" s="17">
        <f t="shared" si="1"/>
        <v>5.39891537</v>
      </c>
      <c r="H242" s="17">
        <f t="shared" si="2"/>
        <v>620376772.2</v>
      </c>
      <c r="I242" s="18">
        <f t="shared" si="3"/>
        <v>166.0736493</v>
      </c>
      <c r="J242" s="19">
        <f t="shared" si="4"/>
        <v>1030282345</v>
      </c>
      <c r="K242" s="20">
        <v>1.06568579E9</v>
      </c>
      <c r="L242" s="18">
        <f t="shared" si="5"/>
        <v>-3.322127921</v>
      </c>
    </row>
    <row r="243">
      <c r="A243" s="13" t="s">
        <v>401</v>
      </c>
      <c r="B243" s="13" t="s">
        <v>351</v>
      </c>
      <c r="C243" s="14" t="s">
        <v>352</v>
      </c>
      <c r="D243" s="15">
        <v>6282630.0</v>
      </c>
      <c r="E243" s="15">
        <v>6717940.0</v>
      </c>
      <c r="F243" s="15">
        <v>1.118177E7</v>
      </c>
      <c r="G243" s="17">
        <f t="shared" si="1"/>
        <v>6.928786193</v>
      </c>
      <c r="H243" s="17">
        <f t="shared" si="2"/>
        <v>7183411.699</v>
      </c>
      <c r="I243" s="18">
        <f t="shared" si="3"/>
        <v>166.4464107</v>
      </c>
      <c r="J243" s="19">
        <f t="shared" si="4"/>
        <v>11956530.94</v>
      </c>
      <c r="K243" s="20">
        <v>1.198183E7</v>
      </c>
      <c r="L243" s="18">
        <f t="shared" si="5"/>
        <v>-0.2111452433</v>
      </c>
    </row>
    <row r="244">
      <c r="A244" s="13" t="s">
        <v>401</v>
      </c>
      <c r="B244" s="13" t="s">
        <v>353</v>
      </c>
      <c r="C244" s="14" t="s">
        <v>354</v>
      </c>
      <c r="D244" s="15">
        <v>1853340.0</v>
      </c>
      <c r="E244" s="15">
        <v>1894780.0</v>
      </c>
      <c r="F244" s="15">
        <v>2626960.0</v>
      </c>
      <c r="G244" s="17">
        <f t="shared" si="1"/>
        <v>2.23596318</v>
      </c>
      <c r="H244" s="17">
        <f t="shared" si="2"/>
        <v>1937146.583</v>
      </c>
      <c r="I244" s="18">
        <f t="shared" si="3"/>
        <v>138.6419532</v>
      </c>
      <c r="J244" s="19">
        <f t="shared" si="4"/>
        <v>2685697.858</v>
      </c>
      <c r="K244" s="20">
        <v>2763350.0</v>
      </c>
      <c r="L244" s="18">
        <f t="shared" si="5"/>
        <v>-2.810072616</v>
      </c>
    </row>
    <row r="245">
      <c r="A245" s="13" t="s">
        <v>401</v>
      </c>
      <c r="B245" s="13" t="s">
        <v>355</v>
      </c>
      <c r="C245" s="14" t="s">
        <v>356</v>
      </c>
      <c r="D245" s="15">
        <v>1.7019058E8</v>
      </c>
      <c r="E245" s="15">
        <v>1.8196011E8</v>
      </c>
      <c r="F245" s="15">
        <v>2.8412128E8</v>
      </c>
      <c r="G245" s="17">
        <f t="shared" si="1"/>
        <v>6.915500259</v>
      </c>
      <c r="H245" s="17">
        <f t="shared" si="2"/>
        <v>194543561.9</v>
      </c>
      <c r="I245" s="18">
        <f t="shared" si="3"/>
        <v>156.1448166</v>
      </c>
      <c r="J245" s="19">
        <f t="shared" si="4"/>
        <v>303769687.9</v>
      </c>
      <c r="K245" s="20">
        <v>2.9957906E8</v>
      </c>
      <c r="L245" s="18">
        <f t="shared" si="5"/>
        <v>1.398838708</v>
      </c>
    </row>
    <row r="246">
      <c r="A246" s="13" t="s">
        <v>401</v>
      </c>
      <c r="B246" s="13" t="s">
        <v>357</v>
      </c>
      <c r="C246" s="14" t="s">
        <v>358</v>
      </c>
      <c r="D246" s="15">
        <v>3.5283767E8</v>
      </c>
      <c r="E246" s="15">
        <v>3.6887569E8</v>
      </c>
      <c r="F246" s="15">
        <v>5.9608366E8</v>
      </c>
      <c r="G246" s="17">
        <f t="shared" si="1"/>
        <v>4.5454387</v>
      </c>
      <c r="H246" s="17">
        <f t="shared" si="2"/>
        <v>385642708.4</v>
      </c>
      <c r="I246" s="18">
        <f t="shared" si="3"/>
        <v>161.5947259</v>
      </c>
      <c r="J246" s="19">
        <f t="shared" si="4"/>
        <v>623178277.4</v>
      </c>
      <c r="K246" s="20">
        <v>6.3123553E8</v>
      </c>
      <c r="L246" s="18">
        <f t="shared" si="5"/>
        <v>-1.276425716</v>
      </c>
    </row>
    <row r="247">
      <c r="A247" s="13" t="s">
        <v>401</v>
      </c>
      <c r="B247" s="13" t="s">
        <v>359</v>
      </c>
      <c r="C247" s="14" t="s">
        <v>360</v>
      </c>
      <c r="D247" s="15">
        <v>6.031416E7</v>
      </c>
      <c r="E247" s="15">
        <v>6.604482000000001E7</v>
      </c>
      <c r="F247" s="15">
        <v>1.3225292000000001E8</v>
      </c>
      <c r="G247" s="17">
        <f t="shared" si="1"/>
        <v>9.501350927</v>
      </c>
      <c r="H247" s="17">
        <f t="shared" si="2"/>
        <v>72319970.12</v>
      </c>
      <c r="I247" s="18">
        <f t="shared" si="3"/>
        <v>200.2472261</v>
      </c>
      <c r="J247" s="19">
        <f t="shared" si="4"/>
        <v>144818734</v>
      </c>
      <c r="K247" s="20">
        <v>1.4233391E8</v>
      </c>
      <c r="L247" s="18">
        <f t="shared" si="5"/>
        <v>1.745770941</v>
      </c>
    </row>
    <row r="248">
      <c r="A248" s="13" t="s">
        <v>401</v>
      </c>
      <c r="B248" s="13" t="s">
        <v>361</v>
      </c>
      <c r="C248" s="14" t="s">
        <v>362</v>
      </c>
      <c r="D248" s="15">
        <v>1.0173219E8</v>
      </c>
      <c r="E248" s="15">
        <v>1.0883345E8</v>
      </c>
      <c r="F248" s="15">
        <v>1.897167E8</v>
      </c>
      <c r="G248" s="17">
        <f t="shared" si="1"/>
        <v>6.980347125</v>
      </c>
      <c r="H248" s="17">
        <f t="shared" si="2"/>
        <v>116430402.6</v>
      </c>
      <c r="I248" s="18">
        <f t="shared" si="3"/>
        <v>174.3183736</v>
      </c>
      <c r="J248" s="19">
        <f t="shared" si="4"/>
        <v>202959584.2</v>
      </c>
      <c r="K248" s="20">
        <v>2.0849446E8</v>
      </c>
      <c r="L248" s="18">
        <f t="shared" si="5"/>
        <v>-2.654687221</v>
      </c>
    </row>
    <row r="249">
      <c r="A249" s="13" t="s">
        <v>401</v>
      </c>
      <c r="B249" s="13" t="s">
        <v>363</v>
      </c>
      <c r="C249" s="14" t="s">
        <v>364</v>
      </c>
      <c r="D249" s="15">
        <v>1.269945E8</v>
      </c>
      <c r="E249" s="15">
        <v>1.3515883E8</v>
      </c>
      <c r="F249" s="15">
        <v>1.5639433E8</v>
      </c>
      <c r="G249" s="17">
        <f t="shared" si="1"/>
        <v>6.428884715</v>
      </c>
      <c r="H249" s="17">
        <f t="shared" si="2"/>
        <v>143848035.4</v>
      </c>
      <c r="I249" s="18">
        <f t="shared" si="3"/>
        <v>115.7115151</v>
      </c>
      <c r="J249" s="19">
        <f t="shared" si="4"/>
        <v>166448741.2</v>
      </c>
      <c r="K249" s="20">
        <v>1.6856656E8</v>
      </c>
      <c r="L249" s="18">
        <f t="shared" si="5"/>
        <v>-1.256369486</v>
      </c>
    </row>
    <row r="250">
      <c r="A250" s="13" t="s">
        <v>401</v>
      </c>
      <c r="B250" s="13" t="s">
        <v>365</v>
      </c>
      <c r="C250" s="14" t="s">
        <v>366</v>
      </c>
      <c r="D250" s="15">
        <v>4.473109E7</v>
      </c>
      <c r="E250" s="15">
        <v>4.647315E7</v>
      </c>
      <c r="F250" s="15">
        <v>8.09782E7</v>
      </c>
      <c r="G250" s="17">
        <f t="shared" si="1"/>
        <v>3.894517214</v>
      </c>
      <c r="H250" s="17">
        <f t="shared" si="2"/>
        <v>48283054.83</v>
      </c>
      <c r="I250" s="18">
        <f t="shared" si="3"/>
        <v>174.2472804</v>
      </c>
      <c r="J250" s="19">
        <f t="shared" si="4"/>
        <v>84131909.94</v>
      </c>
      <c r="K250" s="20">
        <v>8.429503E7</v>
      </c>
      <c r="L250" s="18">
        <f t="shared" si="5"/>
        <v>-0.1935108885</v>
      </c>
    </row>
    <row r="251">
      <c r="A251" s="13" t="s">
        <v>401</v>
      </c>
      <c r="B251" s="13" t="s">
        <v>367</v>
      </c>
      <c r="C251" s="14" t="s">
        <v>368</v>
      </c>
      <c r="D251" s="15">
        <v>3.246901E7</v>
      </c>
      <c r="E251" s="15">
        <v>3.341439E7</v>
      </c>
      <c r="F251" s="15">
        <v>4.827829E7</v>
      </c>
      <c r="G251" s="17">
        <f t="shared" si="1"/>
        <v>2.911637897</v>
      </c>
      <c r="H251" s="17">
        <f t="shared" si="2"/>
        <v>34387296.04</v>
      </c>
      <c r="I251" s="18">
        <f t="shared" si="3"/>
        <v>144.4835294</v>
      </c>
      <c r="J251" s="19">
        <f t="shared" si="4"/>
        <v>49683978.99</v>
      </c>
      <c r="K251" s="20">
        <v>5.119248E7</v>
      </c>
      <c r="L251" s="18">
        <f t="shared" si="5"/>
        <v>-2.94672384</v>
      </c>
    </row>
    <row r="252">
      <c r="A252" s="13" t="s">
        <v>401</v>
      </c>
      <c r="B252" s="13" t="s">
        <v>369</v>
      </c>
      <c r="C252" s="14" t="s">
        <v>370</v>
      </c>
      <c r="D252" s="15">
        <v>1.419694E7</v>
      </c>
      <c r="E252" s="15">
        <v>1.531623E7</v>
      </c>
      <c r="F252" s="15">
        <v>2.618687E7</v>
      </c>
      <c r="G252" s="17">
        <f t="shared" si="1"/>
        <v>7.884022895</v>
      </c>
      <c r="H252" s="17">
        <f t="shared" si="2"/>
        <v>16523765.08</v>
      </c>
      <c r="I252" s="18">
        <f t="shared" si="3"/>
        <v>170.9746458</v>
      </c>
      <c r="J252" s="19">
        <f t="shared" si="4"/>
        <v>28251448.83</v>
      </c>
      <c r="K252" s="20">
        <v>2.940951E7</v>
      </c>
      <c r="L252" s="18">
        <f t="shared" si="5"/>
        <v>-3.937709855</v>
      </c>
    </row>
    <row r="253">
      <c r="A253" s="13" t="s">
        <v>401</v>
      </c>
      <c r="B253" s="13" t="s">
        <v>371</v>
      </c>
      <c r="C253" s="14" t="s">
        <v>372</v>
      </c>
      <c r="D253" s="15">
        <v>3.505416E7</v>
      </c>
      <c r="E253" s="15">
        <v>3.778098E7</v>
      </c>
      <c r="F253" s="15">
        <v>6.82039E7</v>
      </c>
      <c r="G253" s="17">
        <f t="shared" si="1"/>
        <v>7.778877029</v>
      </c>
      <c r="H253" s="17">
        <f t="shared" si="2"/>
        <v>40719915.97</v>
      </c>
      <c r="I253" s="18">
        <f t="shared" si="3"/>
        <v>180.5244332</v>
      </c>
      <c r="J253" s="19">
        <f t="shared" si="4"/>
        <v>73509397.51</v>
      </c>
      <c r="K253" s="20">
        <v>7.116583E7</v>
      </c>
      <c r="L253" s="18">
        <f t="shared" si="5"/>
        <v>3.293107816</v>
      </c>
    </row>
    <row r="254">
      <c r="A254" s="13" t="s">
        <v>401</v>
      </c>
      <c r="B254" s="13" t="s">
        <v>373</v>
      </c>
      <c r="C254" s="14" t="s">
        <v>374</v>
      </c>
      <c r="D254" s="15">
        <v>4.883168E7</v>
      </c>
      <c r="E254" s="15">
        <v>5.11804E7</v>
      </c>
      <c r="F254" s="15">
        <v>7.711559E7</v>
      </c>
      <c r="G254" s="17">
        <f t="shared" si="1"/>
        <v>4.809828374</v>
      </c>
      <c r="H254" s="17">
        <f t="shared" si="2"/>
        <v>53642089.4</v>
      </c>
      <c r="I254" s="18">
        <f t="shared" si="3"/>
        <v>150.6740666</v>
      </c>
      <c r="J254" s="19">
        <f t="shared" si="4"/>
        <v>80824717.53</v>
      </c>
      <c r="K254" s="20">
        <v>8.31696E7</v>
      </c>
      <c r="L254" s="18">
        <f t="shared" si="5"/>
        <v>-2.81939852</v>
      </c>
    </row>
    <row r="255">
      <c r="A255" s="13" t="s">
        <v>401</v>
      </c>
      <c r="B255" s="13" t="s">
        <v>375</v>
      </c>
      <c r="C255" s="14" t="s">
        <v>376</v>
      </c>
      <c r="D255" s="15">
        <v>1.365377E7</v>
      </c>
      <c r="E255" s="15">
        <v>1.440863E7</v>
      </c>
      <c r="F255" s="15">
        <v>2.147336E7</v>
      </c>
      <c r="G255" s="17">
        <f t="shared" si="1"/>
        <v>5.528582948</v>
      </c>
      <c r="H255" s="17">
        <f t="shared" si="2"/>
        <v>15205223.06</v>
      </c>
      <c r="I255" s="18">
        <f t="shared" si="3"/>
        <v>149.0312403</v>
      </c>
      <c r="J255" s="19">
        <f t="shared" si="4"/>
        <v>22660532.52</v>
      </c>
      <c r="K255" s="20">
        <v>2.371981E7</v>
      </c>
      <c r="L255" s="18">
        <f t="shared" si="5"/>
        <v>-4.465792435</v>
      </c>
    </row>
    <row r="256">
      <c r="A256" s="13" t="s">
        <v>401</v>
      </c>
      <c r="B256" s="13" t="s">
        <v>377</v>
      </c>
      <c r="C256" s="14" t="s">
        <v>378</v>
      </c>
      <c r="D256" s="15">
        <v>2.649218E7</v>
      </c>
      <c r="E256" s="15">
        <v>2.875988E7</v>
      </c>
      <c r="F256" s="15">
        <v>4.513222E7</v>
      </c>
      <c r="G256" s="17">
        <f t="shared" si="1"/>
        <v>8.559884464</v>
      </c>
      <c r="H256" s="17">
        <f t="shared" si="2"/>
        <v>31221692.5</v>
      </c>
      <c r="I256" s="18">
        <f t="shared" si="3"/>
        <v>156.9277062</v>
      </c>
      <c r="J256" s="19">
        <f t="shared" si="4"/>
        <v>48995485.89</v>
      </c>
      <c r="K256" s="20">
        <v>5.109995E7</v>
      </c>
      <c r="L256" s="18">
        <f t="shared" si="5"/>
        <v>-4.118329102</v>
      </c>
    </row>
    <row r="257">
      <c r="A257" s="13" t="s">
        <v>402</v>
      </c>
      <c r="B257" s="13" t="s">
        <v>63</v>
      </c>
      <c r="C257" s="14" t="s">
        <v>66</v>
      </c>
      <c r="D257" s="15">
        <v>2.653129E7</v>
      </c>
      <c r="E257" s="15">
        <v>2.670335E7</v>
      </c>
      <c r="F257" s="15">
        <v>4.93675E7</v>
      </c>
      <c r="G257" s="17">
        <f t="shared" si="1"/>
        <v>0.648517279</v>
      </c>
      <c r="H257" s="17">
        <f t="shared" si="2"/>
        <v>26876525.84</v>
      </c>
      <c r="I257" s="18">
        <f t="shared" si="3"/>
        <v>184.873808</v>
      </c>
      <c r="J257" s="19">
        <f t="shared" si="4"/>
        <v>49687656.77</v>
      </c>
      <c r="K257" s="20">
        <v>5.598425E7</v>
      </c>
      <c r="L257" s="18">
        <f t="shared" si="5"/>
        <v>-11.24707973</v>
      </c>
    </row>
    <row r="258">
      <c r="A258" s="13" t="s">
        <v>402</v>
      </c>
      <c r="B258" s="13" t="s">
        <v>347</v>
      </c>
      <c r="C258" s="14" t="s">
        <v>348</v>
      </c>
      <c r="D258" s="15">
        <v>1844630.0</v>
      </c>
      <c r="E258" s="15">
        <v>1713750.0</v>
      </c>
      <c r="F258" s="15">
        <v>3321900.0</v>
      </c>
      <c r="G258" s="17">
        <f t="shared" si="1"/>
        <v>-7.095189821</v>
      </c>
      <c r="H258" s="17">
        <f t="shared" si="2"/>
        <v>1592156.184</v>
      </c>
      <c r="I258" s="18">
        <f t="shared" si="3"/>
        <v>193.8380744</v>
      </c>
      <c r="J258" s="19">
        <f t="shared" si="4"/>
        <v>3086204.889</v>
      </c>
      <c r="K258" s="20">
        <v>3441020.0</v>
      </c>
      <c r="L258" s="18">
        <f t="shared" si="5"/>
        <v>-10.31133532</v>
      </c>
    </row>
    <row r="259">
      <c r="A259" s="13" t="s">
        <v>402</v>
      </c>
      <c r="B259" s="13" t="s">
        <v>349</v>
      </c>
      <c r="C259" s="14" t="s">
        <v>350</v>
      </c>
      <c r="D259" s="15">
        <v>1.6993438E8</v>
      </c>
      <c r="E259" s="15">
        <v>1.7839755E8</v>
      </c>
      <c r="F259" s="15">
        <v>2.651407E8</v>
      </c>
      <c r="G259" s="17">
        <f t="shared" si="1"/>
        <v>4.980257674</v>
      </c>
      <c r="H259" s="17">
        <f t="shared" si="2"/>
        <v>187282207.7</v>
      </c>
      <c r="I259" s="18">
        <f t="shared" si="3"/>
        <v>148.6235097</v>
      </c>
      <c r="J259" s="19">
        <f t="shared" si="4"/>
        <v>278345390.1</v>
      </c>
      <c r="K259" s="20">
        <v>2.8531472E8</v>
      </c>
      <c r="L259" s="18">
        <f t="shared" si="5"/>
        <v>-2.442681521</v>
      </c>
    </row>
    <row r="260">
      <c r="A260" s="13" t="s">
        <v>402</v>
      </c>
      <c r="B260" s="13" t="s">
        <v>351</v>
      </c>
      <c r="C260" s="14" t="s">
        <v>352</v>
      </c>
      <c r="D260" s="15">
        <v>4571070.0</v>
      </c>
      <c r="E260" s="15">
        <v>4156250.0</v>
      </c>
      <c r="F260" s="15">
        <v>1.083156E7</v>
      </c>
      <c r="G260" s="17">
        <f t="shared" si="1"/>
        <v>-9.074899312</v>
      </c>
      <c r="H260" s="17">
        <f t="shared" si="2"/>
        <v>3779074.497</v>
      </c>
      <c r="I260" s="18">
        <f t="shared" si="3"/>
        <v>260.6089624</v>
      </c>
      <c r="J260" s="19">
        <f t="shared" si="4"/>
        <v>9848606.836</v>
      </c>
      <c r="K260" s="20">
        <v>1.137292E7</v>
      </c>
      <c r="L260" s="18">
        <f t="shared" si="5"/>
        <v>-13.40300612</v>
      </c>
    </row>
    <row r="261">
      <c r="A261" s="13" t="s">
        <v>402</v>
      </c>
      <c r="B261" s="13" t="s">
        <v>353</v>
      </c>
      <c r="C261" s="14" t="s">
        <v>354</v>
      </c>
      <c r="D261" s="15">
        <v>540240.0</v>
      </c>
      <c r="E261" s="15">
        <v>561190.0</v>
      </c>
      <c r="F261" s="15">
        <v>718350.0</v>
      </c>
      <c r="G261" s="17">
        <f t="shared" si="1"/>
        <v>3.877906116</v>
      </c>
      <c r="H261" s="17">
        <f t="shared" si="2"/>
        <v>582952.4213</v>
      </c>
      <c r="I261" s="18">
        <f t="shared" si="3"/>
        <v>128.0047756</v>
      </c>
      <c r="J261" s="19">
        <f t="shared" si="4"/>
        <v>746206.9386</v>
      </c>
      <c r="K261" s="20">
        <v>769820.0</v>
      </c>
      <c r="L261" s="18">
        <f t="shared" si="5"/>
        <v>-3.067348395</v>
      </c>
    </row>
    <row r="262">
      <c r="A262" s="13" t="s">
        <v>402</v>
      </c>
      <c r="B262" s="13" t="s">
        <v>355</v>
      </c>
      <c r="C262" s="14" t="s">
        <v>356</v>
      </c>
      <c r="D262" s="15">
        <v>5.27014E7</v>
      </c>
      <c r="E262" s="15">
        <v>5.580568E7</v>
      </c>
      <c r="F262" s="15">
        <v>1.0216815E8</v>
      </c>
      <c r="G262" s="17">
        <f t="shared" si="1"/>
        <v>5.890317904</v>
      </c>
      <c r="H262" s="17">
        <f t="shared" si="2"/>
        <v>59092811.96</v>
      </c>
      <c r="I262" s="18">
        <f t="shared" si="3"/>
        <v>183.0784071</v>
      </c>
      <c r="J262" s="19">
        <f t="shared" si="4"/>
        <v>108186178.8</v>
      </c>
      <c r="K262" s="20">
        <v>1.105236E8</v>
      </c>
      <c r="L262" s="18">
        <f t="shared" si="5"/>
        <v>-2.114861593</v>
      </c>
    </row>
    <row r="263">
      <c r="A263" s="13" t="s">
        <v>402</v>
      </c>
      <c r="B263" s="13" t="s">
        <v>357</v>
      </c>
      <c r="C263" s="14" t="s">
        <v>358</v>
      </c>
      <c r="D263" s="15">
        <v>6.657478E7</v>
      </c>
      <c r="E263" s="15">
        <v>6.945289E7</v>
      </c>
      <c r="F263" s="15">
        <v>1.0816085E8</v>
      </c>
      <c r="G263" s="17">
        <f t="shared" si="1"/>
        <v>4.323123561</v>
      </c>
      <c r="H263" s="17">
        <f t="shared" si="2"/>
        <v>72455424.25</v>
      </c>
      <c r="I263" s="18">
        <f t="shared" si="3"/>
        <v>155.7326844</v>
      </c>
      <c r="J263" s="19">
        <f t="shared" si="4"/>
        <v>112836777.2</v>
      </c>
      <c r="K263" s="20">
        <v>1.1566709E8</v>
      </c>
      <c r="L263" s="18">
        <f t="shared" si="5"/>
        <v>-2.446947364</v>
      </c>
    </row>
    <row r="264">
      <c r="A264" s="13" t="s">
        <v>402</v>
      </c>
      <c r="B264" s="13" t="s">
        <v>359</v>
      </c>
      <c r="C264" s="14" t="s">
        <v>360</v>
      </c>
      <c r="D264" s="15">
        <v>3.14332E7</v>
      </c>
      <c r="E264" s="15">
        <v>3.3428910000000004E7</v>
      </c>
      <c r="F264" s="15">
        <v>1.0020091E8</v>
      </c>
      <c r="G264" s="17">
        <f t="shared" si="1"/>
        <v>6.349051322</v>
      </c>
      <c r="H264" s="17">
        <f t="shared" si="2"/>
        <v>35551328.65</v>
      </c>
      <c r="I264" s="18">
        <f t="shared" si="3"/>
        <v>299.7432761</v>
      </c>
      <c r="J264" s="19">
        <f t="shared" si="4"/>
        <v>106562717.2</v>
      </c>
      <c r="K264" s="20">
        <v>1.0358751E8</v>
      </c>
      <c r="L264" s="18">
        <f t="shared" si="5"/>
        <v>2.87216789</v>
      </c>
    </row>
    <row r="265">
      <c r="A265" s="13" t="s">
        <v>402</v>
      </c>
      <c r="B265" s="13" t="s">
        <v>361</v>
      </c>
      <c r="C265" s="14" t="s">
        <v>362</v>
      </c>
      <c r="D265" s="15">
        <v>1.328407E7</v>
      </c>
      <c r="E265" s="15">
        <v>1.422136E7</v>
      </c>
      <c r="F265" s="15">
        <v>2.107186E7</v>
      </c>
      <c r="G265" s="17">
        <f t="shared" si="1"/>
        <v>7.055744211</v>
      </c>
      <c r="H265" s="17">
        <f t="shared" si="2"/>
        <v>15224782.78</v>
      </c>
      <c r="I265" s="18">
        <f t="shared" si="3"/>
        <v>148.1704985</v>
      </c>
      <c r="J265" s="19">
        <f t="shared" si="4"/>
        <v>22558636.54</v>
      </c>
      <c r="K265" s="20">
        <v>2.282846E7</v>
      </c>
      <c r="L265" s="18">
        <f t="shared" si="5"/>
        <v>-1.181960841</v>
      </c>
    </row>
    <row r="266">
      <c r="A266" s="13" t="s">
        <v>402</v>
      </c>
      <c r="B266" s="13" t="s">
        <v>363</v>
      </c>
      <c r="C266" s="14" t="s">
        <v>364</v>
      </c>
      <c r="D266" s="15">
        <v>3.573464E7</v>
      </c>
      <c r="E266" s="15">
        <v>3.782343E7</v>
      </c>
      <c r="F266" s="15">
        <v>3.273419E7</v>
      </c>
      <c r="G266" s="17">
        <f t="shared" si="1"/>
        <v>5.845280658</v>
      </c>
      <c r="H266" s="17">
        <f t="shared" si="2"/>
        <v>40034315.64</v>
      </c>
      <c r="I266" s="18">
        <f t="shared" si="3"/>
        <v>86.54474224</v>
      </c>
      <c r="J266" s="19">
        <f t="shared" si="4"/>
        <v>34647595.28</v>
      </c>
      <c r="K266" s="20">
        <v>3.466322E7</v>
      </c>
      <c r="L266" s="18">
        <f t="shared" si="5"/>
        <v>-0.04507579934</v>
      </c>
    </row>
    <row r="267">
      <c r="A267" s="13" t="s">
        <v>402</v>
      </c>
      <c r="B267" s="13" t="s">
        <v>365</v>
      </c>
      <c r="C267" s="14" t="s">
        <v>366</v>
      </c>
      <c r="D267" s="15">
        <v>1.480991E7</v>
      </c>
      <c r="E267" s="15">
        <v>1.485003E7</v>
      </c>
      <c r="F267" s="15">
        <v>2.605481E7</v>
      </c>
      <c r="G267" s="17">
        <f t="shared" si="1"/>
        <v>0.2708996881</v>
      </c>
      <c r="H267" s="17">
        <f t="shared" si="2"/>
        <v>14890258.68</v>
      </c>
      <c r="I267" s="18">
        <f t="shared" si="3"/>
        <v>175.4529115</v>
      </c>
      <c r="J267" s="19">
        <f t="shared" si="4"/>
        <v>26125392.4</v>
      </c>
      <c r="K267" s="20">
        <v>2.599258E7</v>
      </c>
      <c r="L267" s="18">
        <f t="shared" si="5"/>
        <v>0.5109627402</v>
      </c>
    </row>
    <row r="268">
      <c r="A268" s="13" t="s">
        <v>402</v>
      </c>
      <c r="B268" s="13" t="s">
        <v>367</v>
      </c>
      <c r="C268" s="14" t="s">
        <v>368</v>
      </c>
      <c r="D268" s="15">
        <v>4.607219E7</v>
      </c>
      <c r="E268" s="15">
        <v>4.771711E7</v>
      </c>
      <c r="F268" s="15">
        <v>6.74274E7</v>
      </c>
      <c r="G268" s="17">
        <f t="shared" si="1"/>
        <v>3.570309985</v>
      </c>
      <c r="H268" s="17">
        <f t="shared" si="2"/>
        <v>49420758.74</v>
      </c>
      <c r="I268" s="18">
        <f t="shared" si="3"/>
        <v>141.306546</v>
      </c>
      <c r="J268" s="19">
        <f t="shared" si="4"/>
        <v>69834767.2</v>
      </c>
      <c r="K268" s="20">
        <v>7.345886E7</v>
      </c>
      <c r="L268" s="18">
        <f t="shared" si="5"/>
        <v>-4.933499928</v>
      </c>
    </row>
    <row r="269">
      <c r="A269" s="13" t="s">
        <v>402</v>
      </c>
      <c r="B269" s="13" t="s">
        <v>369</v>
      </c>
      <c r="C269" s="14" t="s">
        <v>370</v>
      </c>
      <c r="D269" s="15">
        <v>5079950.0</v>
      </c>
      <c r="E269" s="15">
        <v>5411810.0</v>
      </c>
      <c r="F269" s="15">
        <v>9660480.0</v>
      </c>
      <c r="G269" s="17">
        <f t="shared" si="1"/>
        <v>6.532741464</v>
      </c>
      <c r="H269" s="17">
        <f t="shared" si="2"/>
        <v>5765349.556</v>
      </c>
      <c r="I269" s="18">
        <f t="shared" si="3"/>
        <v>178.5073755</v>
      </c>
      <c r="J269" s="19">
        <f t="shared" si="4"/>
        <v>10291574.18</v>
      </c>
      <c r="K269" s="20">
        <v>1.043532E7</v>
      </c>
      <c r="L269" s="18">
        <f t="shared" si="5"/>
        <v>-1.377493143</v>
      </c>
    </row>
    <row r="270">
      <c r="A270" s="13" t="s">
        <v>402</v>
      </c>
      <c r="B270" s="13" t="s">
        <v>371</v>
      </c>
      <c r="C270" s="14" t="s">
        <v>372</v>
      </c>
      <c r="D270" s="15">
        <v>8284549.999999999</v>
      </c>
      <c r="E270" s="15">
        <v>9670750.0</v>
      </c>
      <c r="F270" s="15">
        <v>1.920251E7</v>
      </c>
      <c r="G270" s="17">
        <f t="shared" si="1"/>
        <v>16.73235118</v>
      </c>
      <c r="H270" s="17">
        <f t="shared" si="2"/>
        <v>11288893.85</v>
      </c>
      <c r="I270" s="18">
        <f t="shared" si="3"/>
        <v>198.5627795</v>
      </c>
      <c r="J270" s="19">
        <f t="shared" si="4"/>
        <v>22415541.41</v>
      </c>
      <c r="K270" s="20">
        <v>2.035261E7</v>
      </c>
      <c r="L270" s="18">
        <f t="shared" si="5"/>
        <v>10.13595509</v>
      </c>
    </row>
    <row r="271">
      <c r="A271" s="13" t="s">
        <v>402</v>
      </c>
      <c r="B271" s="13" t="s">
        <v>373</v>
      </c>
      <c r="C271" s="14" t="s">
        <v>374</v>
      </c>
      <c r="D271" s="15">
        <v>1.480059E7</v>
      </c>
      <c r="E271" s="15">
        <v>1.553608E7</v>
      </c>
      <c r="F271" s="15">
        <v>2.945336E7</v>
      </c>
      <c r="G271" s="17">
        <f t="shared" si="1"/>
        <v>4.969328925</v>
      </c>
      <c r="H271" s="17">
        <f t="shared" si="2"/>
        <v>16308118.92</v>
      </c>
      <c r="I271" s="18">
        <f t="shared" si="3"/>
        <v>189.5803832</v>
      </c>
      <c r="J271" s="19">
        <f t="shared" si="4"/>
        <v>30916994.34</v>
      </c>
      <c r="K271" s="20">
        <v>3.194414E7</v>
      </c>
      <c r="L271" s="18">
        <f t="shared" si="5"/>
        <v>-3.215443152</v>
      </c>
    </row>
    <row r="272">
      <c r="A272" s="13" t="s">
        <v>402</v>
      </c>
      <c r="B272" s="13" t="s">
        <v>375</v>
      </c>
      <c r="C272" s="14" t="s">
        <v>376</v>
      </c>
      <c r="D272" s="15">
        <v>7355420.0</v>
      </c>
      <c r="E272" s="15">
        <v>8014950.0</v>
      </c>
      <c r="F272" s="15">
        <v>1.320808E7</v>
      </c>
      <c r="G272" s="17">
        <f t="shared" si="1"/>
        <v>8.966585185</v>
      </c>
      <c r="H272" s="17">
        <f t="shared" si="2"/>
        <v>8733617.319</v>
      </c>
      <c r="I272" s="18">
        <f t="shared" si="3"/>
        <v>164.793043</v>
      </c>
      <c r="J272" s="19">
        <f t="shared" si="4"/>
        <v>14392393.74</v>
      </c>
      <c r="K272" s="20">
        <v>1.384012E7</v>
      </c>
      <c r="L272" s="18">
        <f t="shared" si="5"/>
        <v>3.99038263</v>
      </c>
    </row>
    <row r="273">
      <c r="A273" s="13" t="s">
        <v>402</v>
      </c>
      <c r="B273" s="13" t="s">
        <v>377</v>
      </c>
      <c r="C273" s="14" t="s">
        <v>378</v>
      </c>
      <c r="D273" s="15">
        <v>7873420.0</v>
      </c>
      <c r="E273" s="15">
        <v>8270150.0</v>
      </c>
      <c r="F273" s="15">
        <v>1.490365E7</v>
      </c>
      <c r="G273" s="17">
        <f t="shared" si="1"/>
        <v>5.03885224</v>
      </c>
      <c r="H273" s="17">
        <f t="shared" si="2"/>
        <v>8686870.638</v>
      </c>
      <c r="I273" s="18">
        <f t="shared" si="3"/>
        <v>180.2101534</v>
      </c>
      <c r="J273" s="19">
        <f t="shared" si="4"/>
        <v>15654622.9</v>
      </c>
      <c r="K273" s="20">
        <v>1.602773E7</v>
      </c>
      <c r="L273" s="18">
        <f t="shared" si="5"/>
        <v>-2.327884848</v>
      </c>
    </row>
    <row r="274">
      <c r="A274" s="13" t="s">
        <v>403</v>
      </c>
      <c r="B274" s="13" t="s">
        <v>63</v>
      </c>
      <c r="C274" s="14" t="s">
        <v>66</v>
      </c>
      <c r="D274" s="15">
        <v>2.10587E7</v>
      </c>
      <c r="E274" s="15">
        <v>2.158655E7</v>
      </c>
      <c r="F274" s="15">
        <v>4.006982E7</v>
      </c>
      <c r="G274" s="17">
        <f t="shared" si="1"/>
        <v>2.506564983</v>
      </c>
      <c r="H274" s="17">
        <f t="shared" si="2"/>
        <v>22127630.9</v>
      </c>
      <c r="I274" s="18">
        <f t="shared" si="3"/>
        <v>185.6240112</v>
      </c>
      <c r="J274" s="19">
        <f t="shared" si="4"/>
        <v>41074196.08</v>
      </c>
      <c r="K274" s="20">
        <v>4.252878E7</v>
      </c>
      <c r="L274" s="18">
        <f t="shared" si="5"/>
        <v>-3.420234306</v>
      </c>
    </row>
    <row r="275">
      <c r="A275" s="13" t="s">
        <v>403</v>
      </c>
      <c r="B275" s="13" t="s">
        <v>347</v>
      </c>
      <c r="C275" s="14" t="s">
        <v>348</v>
      </c>
      <c r="D275" s="15">
        <v>1447480.0</v>
      </c>
      <c r="E275" s="15">
        <v>1467160.0</v>
      </c>
      <c r="F275" s="15">
        <v>2549560.0</v>
      </c>
      <c r="G275" s="17">
        <f t="shared" si="1"/>
        <v>1.359604278</v>
      </c>
      <c r="H275" s="17">
        <f t="shared" si="2"/>
        <v>1487107.57</v>
      </c>
      <c r="I275" s="18">
        <f t="shared" si="3"/>
        <v>173.7751847</v>
      </c>
      <c r="J275" s="19">
        <f t="shared" si="4"/>
        <v>2584223.927</v>
      </c>
      <c r="K275" s="20">
        <v>2652260.0</v>
      </c>
      <c r="L275" s="18">
        <f t="shared" si="5"/>
        <v>-2.565211298</v>
      </c>
    </row>
    <row r="276">
      <c r="A276" s="13" t="s">
        <v>403</v>
      </c>
      <c r="B276" s="13" t="s">
        <v>349</v>
      </c>
      <c r="C276" s="14" t="s">
        <v>350</v>
      </c>
      <c r="D276" s="15">
        <v>1.047881E7</v>
      </c>
      <c r="E276" s="15">
        <v>1.102225E7</v>
      </c>
      <c r="F276" s="15">
        <v>1.866458E7</v>
      </c>
      <c r="G276" s="17">
        <f t="shared" si="1"/>
        <v>5.186085061</v>
      </c>
      <c r="H276" s="17">
        <f t="shared" si="2"/>
        <v>11593873.26</v>
      </c>
      <c r="I276" s="18">
        <f t="shared" si="3"/>
        <v>169.3354805</v>
      </c>
      <c r="J276" s="19">
        <f t="shared" si="4"/>
        <v>19632541</v>
      </c>
      <c r="K276" s="20">
        <v>2.018505E7</v>
      </c>
      <c r="L276" s="18">
        <f t="shared" si="5"/>
        <v>-2.737218907</v>
      </c>
    </row>
    <row r="277">
      <c r="A277" s="13" t="s">
        <v>403</v>
      </c>
      <c r="B277" s="13" t="s">
        <v>351</v>
      </c>
      <c r="C277" s="14" t="s">
        <v>352</v>
      </c>
      <c r="D277" s="15">
        <v>354560.0</v>
      </c>
      <c r="E277" s="15">
        <v>396330.0</v>
      </c>
      <c r="F277" s="15">
        <v>717470.0</v>
      </c>
      <c r="G277" s="17">
        <f t="shared" si="1"/>
        <v>11.78079874</v>
      </c>
      <c r="H277" s="17">
        <f t="shared" si="2"/>
        <v>443020.8396</v>
      </c>
      <c r="I277" s="18">
        <f t="shared" si="3"/>
        <v>181.0284359</v>
      </c>
      <c r="J277" s="19">
        <f t="shared" si="4"/>
        <v>801993.6967</v>
      </c>
      <c r="K277" s="20">
        <v>760530.0</v>
      </c>
      <c r="L277" s="18">
        <f t="shared" si="5"/>
        <v>5.451947549</v>
      </c>
    </row>
    <row r="278">
      <c r="A278" s="13" t="s">
        <v>403</v>
      </c>
      <c r="B278" s="13" t="s">
        <v>353</v>
      </c>
      <c r="C278" s="14" t="s">
        <v>354</v>
      </c>
      <c r="D278" s="15">
        <v>333470.0</v>
      </c>
      <c r="E278" s="15">
        <v>337620.0</v>
      </c>
      <c r="F278" s="15">
        <v>458720.0</v>
      </c>
      <c r="G278" s="17">
        <f t="shared" si="1"/>
        <v>1.244489759</v>
      </c>
      <c r="H278" s="17">
        <f t="shared" si="2"/>
        <v>341821.6463</v>
      </c>
      <c r="I278" s="18">
        <f t="shared" si="3"/>
        <v>135.8687282</v>
      </c>
      <c r="J278" s="19">
        <f t="shared" si="4"/>
        <v>464428.7234</v>
      </c>
      <c r="K278" s="20">
        <v>483370.0</v>
      </c>
      <c r="L278" s="18">
        <f t="shared" si="5"/>
        <v>-3.918587537</v>
      </c>
    </row>
    <row r="279">
      <c r="A279" s="13" t="s">
        <v>403</v>
      </c>
      <c r="B279" s="13" t="s">
        <v>355</v>
      </c>
      <c r="C279" s="14" t="s">
        <v>356</v>
      </c>
      <c r="D279" s="15">
        <v>1.658354E7</v>
      </c>
      <c r="E279" s="15">
        <v>1.688513E7</v>
      </c>
      <c r="F279" s="15">
        <v>2.756321E7</v>
      </c>
      <c r="G279" s="17">
        <f t="shared" si="1"/>
        <v>1.818610502</v>
      </c>
      <c r="H279" s="17">
        <f t="shared" si="2"/>
        <v>17192204.75</v>
      </c>
      <c r="I279" s="18">
        <f t="shared" si="3"/>
        <v>163.2395486</v>
      </c>
      <c r="J279" s="19">
        <f t="shared" si="4"/>
        <v>28064477.43</v>
      </c>
      <c r="K279" s="20">
        <v>2.92534E7</v>
      </c>
      <c r="L279" s="18">
        <f t="shared" si="5"/>
        <v>-4.064220119</v>
      </c>
    </row>
    <row r="280">
      <c r="A280" s="13" t="s">
        <v>403</v>
      </c>
      <c r="B280" s="13" t="s">
        <v>357</v>
      </c>
      <c r="C280" s="14" t="s">
        <v>358</v>
      </c>
      <c r="D280" s="15">
        <v>1.558986E7</v>
      </c>
      <c r="E280" s="15">
        <v>1.62051E7</v>
      </c>
      <c r="F280" s="15">
        <v>2.589343E7</v>
      </c>
      <c r="G280" s="17">
        <f t="shared" si="1"/>
        <v>3.946411321</v>
      </c>
      <c r="H280" s="17">
        <f t="shared" si="2"/>
        <v>16844619.9</v>
      </c>
      <c r="I280" s="18">
        <f t="shared" si="3"/>
        <v>159.7856848</v>
      </c>
      <c r="J280" s="19">
        <f t="shared" si="4"/>
        <v>26915291.25</v>
      </c>
      <c r="K280" s="20">
        <v>2.845085E7</v>
      </c>
      <c r="L280" s="18">
        <f t="shared" si="5"/>
        <v>-5.397233288</v>
      </c>
    </row>
    <row r="281">
      <c r="A281" s="13" t="s">
        <v>403</v>
      </c>
      <c r="B281" s="13" t="s">
        <v>359</v>
      </c>
      <c r="C281" s="14" t="s">
        <v>360</v>
      </c>
      <c r="D281" s="15">
        <v>1.011171E7</v>
      </c>
      <c r="E281" s="15">
        <v>1.07176E7</v>
      </c>
      <c r="F281" s="15">
        <v>3.06229E7</v>
      </c>
      <c r="G281" s="17">
        <f t="shared" si="1"/>
        <v>5.991963773</v>
      </c>
      <c r="H281" s="17">
        <f t="shared" si="2"/>
        <v>11359794.71</v>
      </c>
      <c r="I281" s="18">
        <f t="shared" si="3"/>
        <v>285.725349</v>
      </c>
      <c r="J281" s="19">
        <f t="shared" si="4"/>
        <v>32457813.07</v>
      </c>
      <c r="K281" s="20">
        <v>3.3055660000000004E7</v>
      </c>
      <c r="L281" s="18">
        <f t="shared" si="5"/>
        <v>-1.808606834</v>
      </c>
    </row>
    <row r="282">
      <c r="A282" s="13" t="s">
        <v>403</v>
      </c>
      <c r="B282" s="13" t="s">
        <v>361</v>
      </c>
      <c r="C282" s="14" t="s">
        <v>362</v>
      </c>
      <c r="D282" s="15">
        <v>2.838973E7</v>
      </c>
      <c r="E282" s="15">
        <v>3.176749E7</v>
      </c>
      <c r="F282" s="15">
        <v>6.386622E7</v>
      </c>
      <c r="G282" s="17">
        <f t="shared" si="1"/>
        <v>11.89782361</v>
      </c>
      <c r="H282" s="17">
        <f t="shared" si="2"/>
        <v>35547129.93</v>
      </c>
      <c r="I282" s="18">
        <f t="shared" si="3"/>
        <v>201.0427012</v>
      </c>
      <c r="J282" s="19">
        <f t="shared" si="4"/>
        <v>71464910.2</v>
      </c>
      <c r="K282" s="20">
        <v>7.21998E7</v>
      </c>
      <c r="L282" s="18">
        <f t="shared" si="5"/>
        <v>-1.017855722</v>
      </c>
    </row>
    <row r="283">
      <c r="A283" s="13" t="s">
        <v>403</v>
      </c>
      <c r="B283" s="13" t="s">
        <v>363</v>
      </c>
      <c r="C283" s="14" t="s">
        <v>364</v>
      </c>
      <c r="D283" s="15">
        <v>1.28585E7</v>
      </c>
      <c r="E283" s="15">
        <v>1.310422E7</v>
      </c>
      <c r="F283" s="15">
        <v>1.610149E7</v>
      </c>
      <c r="G283" s="17">
        <f t="shared" si="1"/>
        <v>1.910953844</v>
      </c>
      <c r="H283" s="17">
        <f t="shared" si="2"/>
        <v>13354635.6</v>
      </c>
      <c r="I283" s="18">
        <f t="shared" si="3"/>
        <v>122.8725556</v>
      </c>
      <c r="J283" s="19">
        <f t="shared" si="4"/>
        <v>16409182.04</v>
      </c>
      <c r="K283" s="20">
        <v>1.690804E7</v>
      </c>
      <c r="L283" s="18">
        <f t="shared" si="5"/>
        <v>-2.950418605</v>
      </c>
    </row>
    <row r="284">
      <c r="A284" s="13" t="s">
        <v>403</v>
      </c>
      <c r="B284" s="13" t="s">
        <v>365</v>
      </c>
      <c r="C284" s="14" t="s">
        <v>366</v>
      </c>
      <c r="D284" s="15">
        <v>7651310.0</v>
      </c>
      <c r="E284" s="15">
        <v>8803550.0</v>
      </c>
      <c r="F284" s="15">
        <v>1.545537E7</v>
      </c>
      <c r="G284" s="17">
        <f t="shared" si="1"/>
        <v>15.05938199</v>
      </c>
      <c r="H284" s="17">
        <f t="shared" si="2"/>
        <v>10129310.22</v>
      </c>
      <c r="I284" s="18">
        <f t="shared" si="3"/>
        <v>175.5583827</v>
      </c>
      <c r="J284" s="19">
        <f t="shared" si="4"/>
        <v>17782853.21</v>
      </c>
      <c r="K284" s="20">
        <v>1.610496E7</v>
      </c>
      <c r="L284" s="18">
        <f t="shared" si="5"/>
        <v>10.41848726</v>
      </c>
    </row>
    <row r="285">
      <c r="A285" s="13" t="s">
        <v>403</v>
      </c>
      <c r="B285" s="13" t="s">
        <v>367</v>
      </c>
      <c r="C285" s="14" t="s">
        <v>368</v>
      </c>
      <c r="D285" s="15">
        <v>7756110.0</v>
      </c>
      <c r="E285" s="15">
        <v>7890050.0</v>
      </c>
      <c r="F285" s="15">
        <v>1.144902E7</v>
      </c>
      <c r="G285" s="17">
        <f t="shared" si="1"/>
        <v>1.726896602</v>
      </c>
      <c r="H285" s="17">
        <f t="shared" si="2"/>
        <v>8026303.005</v>
      </c>
      <c r="I285" s="18">
        <f t="shared" si="3"/>
        <v>145.1070652</v>
      </c>
      <c r="J285" s="19">
        <f t="shared" si="4"/>
        <v>11646732.74</v>
      </c>
      <c r="K285" s="20">
        <v>1.211252E7</v>
      </c>
      <c r="L285" s="18">
        <f t="shared" si="5"/>
        <v>-3.845502527</v>
      </c>
    </row>
    <row r="286">
      <c r="A286" s="13" t="s">
        <v>403</v>
      </c>
      <c r="B286" s="13" t="s">
        <v>369</v>
      </c>
      <c r="C286" s="14" t="s">
        <v>370</v>
      </c>
      <c r="D286" s="15">
        <v>1946700.0</v>
      </c>
      <c r="E286" s="15">
        <v>2075989.9999999998</v>
      </c>
      <c r="F286" s="15">
        <v>3445130.0</v>
      </c>
      <c r="G286" s="17">
        <f t="shared" si="1"/>
        <v>6.641495865</v>
      </c>
      <c r="H286" s="17">
        <f t="shared" si="2"/>
        <v>2213866.79</v>
      </c>
      <c r="I286" s="18">
        <f t="shared" si="3"/>
        <v>165.9511847</v>
      </c>
      <c r="J286" s="19">
        <f t="shared" si="4"/>
        <v>3673938.166</v>
      </c>
      <c r="K286" s="20">
        <v>3819550.0</v>
      </c>
      <c r="L286" s="18">
        <f t="shared" si="5"/>
        <v>-3.812277193</v>
      </c>
    </row>
    <row r="287">
      <c r="A287" s="13" t="s">
        <v>403</v>
      </c>
      <c r="B287" s="13" t="s">
        <v>371</v>
      </c>
      <c r="C287" s="14" t="s">
        <v>372</v>
      </c>
      <c r="D287" s="15">
        <v>8547930.0</v>
      </c>
      <c r="E287" s="15">
        <v>9171240.0</v>
      </c>
      <c r="F287" s="15">
        <v>1.495585E7</v>
      </c>
      <c r="G287" s="17">
        <f t="shared" si="1"/>
        <v>7.291940856</v>
      </c>
      <c r="H287" s="17">
        <f t="shared" si="2"/>
        <v>9840001.397</v>
      </c>
      <c r="I287" s="18">
        <f t="shared" si="3"/>
        <v>163.0733685</v>
      </c>
      <c r="J287" s="19">
        <f t="shared" si="4"/>
        <v>16046421.74</v>
      </c>
      <c r="K287" s="20">
        <v>1.666618E7</v>
      </c>
      <c r="L287" s="18">
        <f t="shared" si="5"/>
        <v>-3.718658166</v>
      </c>
    </row>
    <row r="288">
      <c r="A288" s="13" t="s">
        <v>403</v>
      </c>
      <c r="B288" s="13" t="s">
        <v>373</v>
      </c>
      <c r="C288" s="14" t="s">
        <v>374</v>
      </c>
      <c r="D288" s="15">
        <v>8976160.0</v>
      </c>
      <c r="E288" s="15">
        <v>9101770.0</v>
      </c>
      <c r="F288" s="15">
        <v>1.424444E7</v>
      </c>
      <c r="G288" s="17">
        <f t="shared" si="1"/>
        <v>1.399373451</v>
      </c>
      <c r="H288" s="17">
        <f t="shared" si="2"/>
        <v>9229137.753</v>
      </c>
      <c r="I288" s="18">
        <f t="shared" si="3"/>
        <v>156.5018672</v>
      </c>
      <c r="J288" s="19">
        <f t="shared" si="4"/>
        <v>14443772.91</v>
      </c>
      <c r="K288" s="20">
        <v>1.550908E7</v>
      </c>
      <c r="L288" s="18">
        <f t="shared" si="5"/>
        <v>-6.868925096</v>
      </c>
    </row>
    <row r="289">
      <c r="A289" s="13" t="s">
        <v>403</v>
      </c>
      <c r="B289" s="13" t="s">
        <v>375</v>
      </c>
      <c r="C289" s="14" t="s">
        <v>376</v>
      </c>
      <c r="D289" s="15">
        <v>4413770.0</v>
      </c>
      <c r="E289" s="15">
        <v>4518030.0</v>
      </c>
      <c r="F289" s="15">
        <v>7085730.0</v>
      </c>
      <c r="G289" s="17">
        <f t="shared" si="1"/>
        <v>2.362152989</v>
      </c>
      <c r="H289" s="17">
        <f t="shared" si="2"/>
        <v>4624752.781</v>
      </c>
      <c r="I289" s="18">
        <f t="shared" si="3"/>
        <v>156.832292</v>
      </c>
      <c r="J289" s="19">
        <f t="shared" si="4"/>
        <v>7253105.783</v>
      </c>
      <c r="K289" s="20">
        <v>7682950.0</v>
      </c>
      <c r="L289" s="18">
        <f t="shared" si="5"/>
        <v>-5.594780872</v>
      </c>
    </row>
    <row r="290">
      <c r="A290" s="13" t="s">
        <v>403</v>
      </c>
      <c r="B290" s="13" t="s">
        <v>377</v>
      </c>
      <c r="C290" s="14" t="s">
        <v>378</v>
      </c>
      <c r="D290" s="15">
        <v>2965960.0</v>
      </c>
      <c r="E290" s="15">
        <v>3148610.0</v>
      </c>
      <c r="F290" s="15">
        <v>5296620.0</v>
      </c>
      <c r="G290" s="17">
        <f t="shared" si="1"/>
        <v>6.158208472</v>
      </c>
      <c r="H290" s="17">
        <f t="shared" si="2"/>
        <v>3342507.968</v>
      </c>
      <c r="I290" s="18">
        <f t="shared" si="3"/>
        <v>168.2208975</v>
      </c>
      <c r="J290" s="19">
        <f t="shared" si="4"/>
        <v>5622796.902</v>
      </c>
      <c r="K290" s="20">
        <v>5775990.0</v>
      </c>
      <c r="L290" s="18">
        <f t="shared" si="5"/>
        <v>-2.652239675</v>
      </c>
    </row>
    <row r="291">
      <c r="A291" s="13" t="s">
        <v>404</v>
      </c>
      <c r="B291" s="13" t="s">
        <v>63</v>
      </c>
      <c r="C291" s="14" t="s">
        <v>66</v>
      </c>
      <c r="D291" s="15">
        <v>2.264274E7</v>
      </c>
      <c r="E291" s="15">
        <v>2.299249E7</v>
      </c>
      <c r="F291" s="15">
        <v>3.909653E7</v>
      </c>
      <c r="G291" s="17">
        <f t="shared" si="1"/>
        <v>1.544645215</v>
      </c>
      <c r="H291" s="17">
        <f t="shared" si="2"/>
        <v>23347642.4</v>
      </c>
      <c r="I291" s="18">
        <f t="shared" si="3"/>
        <v>170.0404349</v>
      </c>
      <c r="J291" s="19">
        <f t="shared" si="4"/>
        <v>39700432.68</v>
      </c>
      <c r="K291" s="20">
        <v>4.223952E7</v>
      </c>
      <c r="L291" s="18">
        <f t="shared" si="5"/>
        <v>-6.011165184</v>
      </c>
    </row>
    <row r="292">
      <c r="A292" s="13" t="s">
        <v>404</v>
      </c>
      <c r="B292" s="13" t="s">
        <v>347</v>
      </c>
      <c r="C292" s="14" t="s">
        <v>348</v>
      </c>
      <c r="D292" s="15">
        <v>1.821841E7</v>
      </c>
      <c r="E292" s="15">
        <v>2.034279E7</v>
      </c>
      <c r="F292" s="15">
        <v>3.666293E7</v>
      </c>
      <c r="G292" s="17">
        <f t="shared" si="1"/>
        <v>11.66062241</v>
      </c>
      <c r="H292" s="17">
        <f t="shared" si="2"/>
        <v>22714885.93</v>
      </c>
      <c r="I292" s="18">
        <f t="shared" si="3"/>
        <v>180.2256721</v>
      </c>
      <c r="J292" s="19">
        <f t="shared" si="4"/>
        <v>40938055.83</v>
      </c>
      <c r="K292" s="20">
        <v>3.185369E7</v>
      </c>
      <c r="L292" s="18">
        <f t="shared" si="5"/>
        <v>28.51903762</v>
      </c>
    </row>
    <row r="293">
      <c r="A293" s="13" t="s">
        <v>404</v>
      </c>
      <c r="B293" s="13" t="s">
        <v>349</v>
      </c>
      <c r="C293" s="14" t="s">
        <v>350</v>
      </c>
      <c r="D293" s="15">
        <v>4644520.0</v>
      </c>
      <c r="E293" s="15">
        <v>4839210.0</v>
      </c>
      <c r="F293" s="15">
        <v>7056020.0</v>
      </c>
      <c r="G293" s="17">
        <f t="shared" si="1"/>
        <v>4.19182176</v>
      </c>
      <c r="H293" s="17">
        <f t="shared" si="2"/>
        <v>5042061.058</v>
      </c>
      <c r="I293" s="18">
        <f t="shared" si="3"/>
        <v>145.8093366</v>
      </c>
      <c r="J293" s="19">
        <f t="shared" si="4"/>
        <v>7351795.782</v>
      </c>
      <c r="K293" s="20">
        <v>1.291514E7</v>
      </c>
      <c r="L293" s="18">
        <f t="shared" si="5"/>
        <v>-43.07614333</v>
      </c>
    </row>
    <row r="294">
      <c r="A294" s="13" t="s">
        <v>404</v>
      </c>
      <c r="B294" s="13" t="s">
        <v>351</v>
      </c>
      <c r="C294" s="14" t="s">
        <v>352</v>
      </c>
      <c r="D294" s="15">
        <v>118670.0</v>
      </c>
      <c r="E294" s="15">
        <v>129449.99999999999</v>
      </c>
      <c r="F294" s="15">
        <v>153710.0</v>
      </c>
      <c r="G294" s="17">
        <f t="shared" si="1"/>
        <v>9.084014494</v>
      </c>
      <c r="H294" s="17">
        <f t="shared" si="2"/>
        <v>141209.2568</v>
      </c>
      <c r="I294" s="18">
        <f t="shared" si="3"/>
        <v>118.7408266</v>
      </c>
      <c r="J294" s="19">
        <f t="shared" si="4"/>
        <v>167673.0387</v>
      </c>
      <c r="K294" s="20">
        <v>173700.0</v>
      </c>
      <c r="L294" s="18">
        <f t="shared" si="5"/>
        <v>-3.469753207</v>
      </c>
    </row>
    <row r="295">
      <c r="A295" s="13" t="s">
        <v>404</v>
      </c>
      <c r="B295" s="13" t="s">
        <v>353</v>
      </c>
      <c r="C295" s="14" t="s">
        <v>354</v>
      </c>
      <c r="D295" s="15">
        <v>80410.0</v>
      </c>
      <c r="E295" s="15">
        <v>81030.0</v>
      </c>
      <c r="F295" s="15">
        <v>131870.0</v>
      </c>
      <c r="G295" s="17">
        <f t="shared" si="1"/>
        <v>0.7710483771</v>
      </c>
      <c r="H295" s="17">
        <f t="shared" si="2"/>
        <v>81654.7805</v>
      </c>
      <c r="I295" s="18">
        <f t="shared" si="3"/>
        <v>162.7421942</v>
      </c>
      <c r="J295" s="19">
        <f t="shared" si="4"/>
        <v>132886.7815</v>
      </c>
      <c r="K295" s="20">
        <v>138900.0</v>
      </c>
      <c r="L295" s="18">
        <f t="shared" si="5"/>
        <v>-4.32917099</v>
      </c>
    </row>
    <row r="296">
      <c r="A296" s="13" t="s">
        <v>404</v>
      </c>
      <c r="B296" s="13" t="s">
        <v>355</v>
      </c>
      <c r="C296" s="14" t="s">
        <v>356</v>
      </c>
      <c r="D296" s="15">
        <v>1.057541E7</v>
      </c>
      <c r="E296" s="15">
        <v>1.088496E7</v>
      </c>
      <c r="F296" s="15">
        <v>1.6603619999999998E7</v>
      </c>
      <c r="G296" s="17">
        <f t="shared" si="1"/>
        <v>2.927073277</v>
      </c>
      <c r="H296" s="17">
        <f t="shared" si="2"/>
        <v>11203570.76</v>
      </c>
      <c r="I296" s="18">
        <f t="shared" si="3"/>
        <v>152.5372624</v>
      </c>
      <c r="J296" s="19">
        <f t="shared" si="4"/>
        <v>17089620.12</v>
      </c>
      <c r="K296" s="20">
        <v>1.738274E7</v>
      </c>
      <c r="L296" s="18">
        <f t="shared" si="5"/>
        <v>-1.686269691</v>
      </c>
    </row>
    <row r="297">
      <c r="A297" s="13" t="s">
        <v>404</v>
      </c>
      <c r="B297" s="13" t="s">
        <v>357</v>
      </c>
      <c r="C297" s="14" t="s">
        <v>358</v>
      </c>
      <c r="D297" s="15">
        <v>1.47377E7</v>
      </c>
      <c r="E297" s="15">
        <v>1.560308E7</v>
      </c>
      <c r="F297" s="15">
        <v>2.588435E7</v>
      </c>
      <c r="G297" s="17">
        <f t="shared" si="1"/>
        <v>5.871879601</v>
      </c>
      <c r="H297" s="17">
        <f t="shared" si="2"/>
        <v>16519274.07</v>
      </c>
      <c r="I297" s="18">
        <f t="shared" si="3"/>
        <v>165.8925674</v>
      </c>
      <c r="J297" s="19">
        <f t="shared" si="4"/>
        <v>27404247.87</v>
      </c>
      <c r="K297" s="20">
        <v>2.803336E7</v>
      </c>
      <c r="L297" s="18">
        <f t="shared" si="5"/>
        <v>-2.244155294</v>
      </c>
    </row>
    <row r="298">
      <c r="A298" s="13" t="s">
        <v>404</v>
      </c>
      <c r="B298" s="13" t="s">
        <v>359</v>
      </c>
      <c r="C298" s="14" t="s">
        <v>360</v>
      </c>
      <c r="D298" s="15">
        <v>5844350.0</v>
      </c>
      <c r="E298" s="15">
        <v>6090240.0</v>
      </c>
      <c r="F298" s="15">
        <v>1.062692E7</v>
      </c>
      <c r="G298" s="17">
        <f t="shared" si="1"/>
        <v>4.207311335</v>
      </c>
      <c r="H298" s="17">
        <f t="shared" si="2"/>
        <v>6346475.358</v>
      </c>
      <c r="I298" s="18">
        <f t="shared" si="3"/>
        <v>174.4909889</v>
      </c>
      <c r="J298" s="19">
        <f t="shared" si="4"/>
        <v>11074027.61</v>
      </c>
      <c r="K298" s="20">
        <v>1.12436E7</v>
      </c>
      <c r="L298" s="18">
        <f t="shared" si="5"/>
        <v>-1.508168116</v>
      </c>
    </row>
    <row r="299">
      <c r="A299" s="13" t="s">
        <v>404</v>
      </c>
      <c r="B299" s="13" t="s">
        <v>361</v>
      </c>
      <c r="C299" s="14" t="s">
        <v>362</v>
      </c>
      <c r="D299" s="15">
        <v>1556050.0</v>
      </c>
      <c r="E299" s="15">
        <v>1686300.0</v>
      </c>
      <c r="F299" s="15">
        <v>3196230.0</v>
      </c>
      <c r="G299" s="17">
        <f t="shared" si="1"/>
        <v>8.370553645</v>
      </c>
      <c r="H299" s="17">
        <f t="shared" si="2"/>
        <v>1827452.646</v>
      </c>
      <c r="I299" s="18">
        <f t="shared" si="3"/>
        <v>189.5410069</v>
      </c>
      <c r="J299" s="19">
        <f t="shared" si="4"/>
        <v>3463772.147</v>
      </c>
      <c r="K299" s="20">
        <v>3501570.0</v>
      </c>
      <c r="L299" s="18">
        <f t="shared" si="5"/>
        <v>-1.079454451</v>
      </c>
    </row>
    <row r="300">
      <c r="A300" s="13" t="s">
        <v>404</v>
      </c>
      <c r="B300" s="13" t="s">
        <v>363</v>
      </c>
      <c r="C300" s="14" t="s">
        <v>364</v>
      </c>
      <c r="D300" s="15">
        <v>3014950.0</v>
      </c>
      <c r="E300" s="15">
        <v>3145870.0</v>
      </c>
      <c r="F300" s="15">
        <v>3643210.0</v>
      </c>
      <c r="G300" s="17">
        <f t="shared" si="1"/>
        <v>4.34236057</v>
      </c>
      <c r="H300" s="17">
        <f t="shared" si="2"/>
        <v>3282475.018</v>
      </c>
      <c r="I300" s="18">
        <f t="shared" si="3"/>
        <v>115.8092992</v>
      </c>
      <c r="J300" s="19">
        <f t="shared" si="4"/>
        <v>3801411.315</v>
      </c>
      <c r="K300" s="20">
        <v>3757760.0</v>
      </c>
      <c r="L300" s="18">
        <f t="shared" si="5"/>
        <v>1.161631251</v>
      </c>
    </row>
    <row r="301">
      <c r="A301" s="13" t="s">
        <v>404</v>
      </c>
      <c r="B301" s="13" t="s">
        <v>365</v>
      </c>
      <c r="C301" s="14" t="s">
        <v>366</v>
      </c>
      <c r="D301" s="15">
        <v>3818830.0</v>
      </c>
      <c r="E301" s="15">
        <v>4037080.0</v>
      </c>
      <c r="F301" s="15">
        <v>6973020.0</v>
      </c>
      <c r="G301" s="17">
        <f t="shared" si="1"/>
        <v>5.715101222</v>
      </c>
      <c r="H301" s="17">
        <f t="shared" si="2"/>
        <v>4267803.208</v>
      </c>
      <c r="I301" s="18">
        <f t="shared" si="3"/>
        <v>172.7243453</v>
      </c>
      <c r="J301" s="19">
        <f t="shared" si="4"/>
        <v>7371535.151</v>
      </c>
      <c r="K301" s="20">
        <v>7789260.0</v>
      </c>
      <c r="L301" s="18">
        <f t="shared" si="5"/>
        <v>-5.362830985</v>
      </c>
    </row>
    <row r="302">
      <c r="A302" s="13" t="s">
        <v>404</v>
      </c>
      <c r="B302" s="13" t="s">
        <v>367</v>
      </c>
      <c r="C302" s="14" t="s">
        <v>368</v>
      </c>
      <c r="D302" s="15">
        <v>3267520.0</v>
      </c>
      <c r="E302" s="15">
        <v>3398750.0</v>
      </c>
      <c r="F302" s="15">
        <v>5270090.0</v>
      </c>
      <c r="G302" s="17">
        <f t="shared" si="1"/>
        <v>4.016195769</v>
      </c>
      <c r="H302" s="17">
        <f t="shared" si="2"/>
        <v>3535250.454</v>
      </c>
      <c r="I302" s="18">
        <f t="shared" si="3"/>
        <v>155.0596543</v>
      </c>
      <c r="J302" s="19">
        <f t="shared" si="4"/>
        <v>5481747.132</v>
      </c>
      <c r="K302" s="20">
        <v>5523480.0</v>
      </c>
      <c r="L302" s="18">
        <f t="shared" si="5"/>
        <v>-0.7555538969</v>
      </c>
    </row>
    <row r="303">
      <c r="A303" s="13" t="s">
        <v>404</v>
      </c>
      <c r="B303" s="13" t="s">
        <v>369</v>
      </c>
      <c r="C303" s="14" t="s">
        <v>370</v>
      </c>
      <c r="D303" s="15">
        <v>195860.0</v>
      </c>
      <c r="E303" s="15">
        <v>206130.0</v>
      </c>
      <c r="F303" s="15">
        <v>323760.0</v>
      </c>
      <c r="G303" s="17">
        <f t="shared" si="1"/>
        <v>5.243541305</v>
      </c>
      <c r="H303" s="17">
        <f t="shared" si="2"/>
        <v>216938.5117</v>
      </c>
      <c r="I303" s="18">
        <f t="shared" si="3"/>
        <v>157.0659293</v>
      </c>
      <c r="J303" s="19">
        <f t="shared" si="4"/>
        <v>340736.4893</v>
      </c>
      <c r="K303" s="20">
        <v>343860.0</v>
      </c>
      <c r="L303" s="18">
        <f t="shared" si="5"/>
        <v>-0.9083669723</v>
      </c>
    </row>
    <row r="304">
      <c r="A304" s="13" t="s">
        <v>404</v>
      </c>
      <c r="B304" s="13" t="s">
        <v>371</v>
      </c>
      <c r="C304" s="14" t="s">
        <v>372</v>
      </c>
      <c r="D304" s="15">
        <v>5233330.0</v>
      </c>
      <c r="E304" s="15">
        <v>5576670.0</v>
      </c>
      <c r="F304" s="15">
        <v>1.060248E7</v>
      </c>
      <c r="G304" s="17">
        <f t="shared" si="1"/>
        <v>6.560641121</v>
      </c>
      <c r="H304" s="17">
        <f t="shared" si="2"/>
        <v>5942535.305</v>
      </c>
      <c r="I304" s="18">
        <f t="shared" si="3"/>
        <v>190.1220621</v>
      </c>
      <c r="J304" s="19">
        <f t="shared" si="4"/>
        <v>11298070.66</v>
      </c>
      <c r="K304" s="20">
        <v>1.113665E7</v>
      </c>
      <c r="L304" s="18">
        <f t="shared" si="5"/>
        <v>1.449454394</v>
      </c>
    </row>
    <row r="305">
      <c r="A305" s="13" t="s">
        <v>404</v>
      </c>
      <c r="B305" s="13" t="s">
        <v>373</v>
      </c>
      <c r="C305" s="14" t="s">
        <v>374</v>
      </c>
      <c r="D305" s="15">
        <v>5080240.0</v>
      </c>
      <c r="E305" s="15">
        <v>5256240.0</v>
      </c>
      <c r="F305" s="15">
        <v>8693990.0</v>
      </c>
      <c r="G305" s="17">
        <f t="shared" si="1"/>
        <v>3.464403257</v>
      </c>
      <c r="H305" s="17">
        <f t="shared" si="2"/>
        <v>5438337.35</v>
      </c>
      <c r="I305" s="18">
        <f t="shared" si="3"/>
        <v>165.403216</v>
      </c>
      <c r="J305" s="19">
        <f t="shared" si="4"/>
        <v>8995184.873</v>
      </c>
      <c r="K305" s="20">
        <v>9075280.0</v>
      </c>
      <c r="L305" s="18">
        <f t="shared" si="5"/>
        <v>-0.882563704</v>
      </c>
    </row>
    <row r="306">
      <c r="A306" s="13" t="s">
        <v>404</v>
      </c>
      <c r="B306" s="13" t="s">
        <v>375</v>
      </c>
      <c r="C306" s="14" t="s">
        <v>376</v>
      </c>
      <c r="D306" s="15">
        <v>2392520.0</v>
      </c>
      <c r="E306" s="15">
        <v>2540690.0</v>
      </c>
      <c r="F306" s="15">
        <v>3521310.0</v>
      </c>
      <c r="G306" s="17">
        <f t="shared" si="1"/>
        <v>6.193051678</v>
      </c>
      <c r="H306" s="17">
        <f t="shared" si="2"/>
        <v>2698036.245</v>
      </c>
      <c r="I306" s="18">
        <f t="shared" si="3"/>
        <v>138.5966017</v>
      </c>
      <c r="J306" s="19">
        <f t="shared" si="4"/>
        <v>3739386.548</v>
      </c>
      <c r="K306" s="20">
        <v>3681250.0</v>
      </c>
      <c r="L306" s="18">
        <f t="shared" si="5"/>
        <v>1.579261067</v>
      </c>
    </row>
    <row r="307">
      <c r="A307" s="13" t="s">
        <v>404</v>
      </c>
      <c r="B307" s="13" t="s">
        <v>377</v>
      </c>
      <c r="C307" s="14" t="s">
        <v>378</v>
      </c>
      <c r="D307" s="15">
        <v>2484710.0</v>
      </c>
      <c r="E307" s="15">
        <v>2604260.0</v>
      </c>
      <c r="F307" s="15">
        <v>3825590.0</v>
      </c>
      <c r="G307" s="17">
        <f t="shared" si="1"/>
        <v>4.811426686</v>
      </c>
      <c r="H307" s="17">
        <f t="shared" si="2"/>
        <v>2729562.061</v>
      </c>
      <c r="I307" s="18">
        <f t="shared" si="3"/>
        <v>146.8973912</v>
      </c>
      <c r="J307" s="19">
        <f t="shared" si="4"/>
        <v>4009655.458</v>
      </c>
      <c r="K307" s="20">
        <v>4161779.9999999995</v>
      </c>
      <c r="L307" s="18">
        <f t="shared" si="5"/>
        <v>-3.655275912</v>
      </c>
    </row>
    <row r="308">
      <c r="A308" s="13" t="s">
        <v>405</v>
      </c>
      <c r="B308" s="13" t="s">
        <v>63</v>
      </c>
      <c r="C308" s="14" t="s">
        <v>66</v>
      </c>
      <c r="D308" s="15">
        <v>2.08423E7</v>
      </c>
      <c r="E308" s="15">
        <v>2.122473E7</v>
      </c>
      <c r="F308" s="15">
        <v>3.964135E7</v>
      </c>
      <c r="G308" s="17">
        <f t="shared" si="1"/>
        <v>1.83487427</v>
      </c>
      <c r="H308" s="17">
        <f t="shared" si="2"/>
        <v>21614177.11</v>
      </c>
      <c r="I308" s="18">
        <f t="shared" si="3"/>
        <v>186.7696315</v>
      </c>
      <c r="J308" s="19">
        <f t="shared" si="4"/>
        <v>40368718.93</v>
      </c>
      <c r="K308" s="20">
        <v>4.240523E7</v>
      </c>
      <c r="L308" s="18">
        <f t="shared" si="5"/>
        <v>-4.802499759</v>
      </c>
    </row>
    <row r="309">
      <c r="A309" s="13" t="s">
        <v>405</v>
      </c>
      <c r="B309" s="13" t="s">
        <v>347</v>
      </c>
      <c r="C309" s="14" t="s">
        <v>348</v>
      </c>
      <c r="D309" s="15">
        <v>877390.0</v>
      </c>
      <c r="E309" s="15">
        <v>921090.0</v>
      </c>
      <c r="F309" s="15">
        <v>1405760.0</v>
      </c>
      <c r="G309" s="17">
        <f t="shared" si="1"/>
        <v>4.980681339</v>
      </c>
      <c r="H309" s="17">
        <f t="shared" si="2"/>
        <v>966966.5577</v>
      </c>
      <c r="I309" s="18">
        <f t="shared" si="3"/>
        <v>152.6191795</v>
      </c>
      <c r="J309" s="19">
        <f t="shared" si="4"/>
        <v>1475776.426</v>
      </c>
      <c r="K309" s="20">
        <v>1422840.0</v>
      </c>
      <c r="L309" s="18">
        <f t="shared" si="5"/>
        <v>3.720476371</v>
      </c>
    </row>
    <row r="310">
      <c r="A310" s="13" t="s">
        <v>405</v>
      </c>
      <c r="B310" s="13" t="s">
        <v>349</v>
      </c>
      <c r="C310" s="14" t="s">
        <v>350</v>
      </c>
      <c r="D310" s="15">
        <v>944420.0</v>
      </c>
      <c r="E310" s="15">
        <v>1005910.0</v>
      </c>
      <c r="F310" s="15">
        <v>1923320.0</v>
      </c>
      <c r="G310" s="17">
        <f t="shared" si="1"/>
        <v>6.510874399</v>
      </c>
      <c r="H310" s="17">
        <f t="shared" si="2"/>
        <v>1071403.537</v>
      </c>
      <c r="I310" s="18">
        <f t="shared" si="3"/>
        <v>191.2019962</v>
      </c>
      <c r="J310" s="19">
        <f t="shared" si="4"/>
        <v>2048544.949</v>
      </c>
      <c r="K310" s="20">
        <v>2197590.0</v>
      </c>
      <c r="L310" s="18">
        <f t="shared" si="5"/>
        <v>-6.78220462</v>
      </c>
    </row>
    <row r="311">
      <c r="A311" s="13" t="s">
        <v>405</v>
      </c>
      <c r="B311" s="13" t="s">
        <v>351</v>
      </c>
      <c r="C311" s="14" t="s">
        <v>352</v>
      </c>
      <c r="D311" s="15">
        <v>73140.0</v>
      </c>
      <c r="E311" s="15">
        <v>78970.0</v>
      </c>
      <c r="F311" s="15">
        <v>126160.0</v>
      </c>
      <c r="G311" s="17">
        <f t="shared" si="1"/>
        <v>7.971014493</v>
      </c>
      <c r="H311" s="17">
        <f t="shared" si="2"/>
        <v>85264.71014</v>
      </c>
      <c r="I311" s="18">
        <f t="shared" si="3"/>
        <v>159.7568697</v>
      </c>
      <c r="J311" s="19">
        <f t="shared" si="4"/>
        <v>136216.2319</v>
      </c>
      <c r="K311" s="20">
        <v>136140.0</v>
      </c>
      <c r="L311" s="18">
        <f t="shared" si="5"/>
        <v>0.05599521379</v>
      </c>
    </row>
    <row r="312">
      <c r="A312" s="13" t="s">
        <v>405</v>
      </c>
      <c r="B312" s="13" t="s">
        <v>353</v>
      </c>
      <c r="C312" s="14" t="s">
        <v>354</v>
      </c>
      <c r="D312" s="15">
        <v>55840.0</v>
      </c>
      <c r="E312" s="15">
        <v>57970.0</v>
      </c>
      <c r="F312" s="15">
        <v>76060.0</v>
      </c>
      <c r="G312" s="17">
        <f t="shared" si="1"/>
        <v>3.814469914</v>
      </c>
      <c r="H312" s="17">
        <f t="shared" si="2"/>
        <v>60181.24821</v>
      </c>
      <c r="I312" s="18">
        <f t="shared" si="3"/>
        <v>131.2057961</v>
      </c>
      <c r="J312" s="19">
        <f t="shared" si="4"/>
        <v>78961.28582</v>
      </c>
      <c r="K312" s="20">
        <v>80250.0</v>
      </c>
      <c r="L312" s="18">
        <f t="shared" si="5"/>
        <v>-1.605874372</v>
      </c>
    </row>
    <row r="313">
      <c r="A313" s="13" t="s">
        <v>405</v>
      </c>
      <c r="B313" s="13" t="s">
        <v>355</v>
      </c>
      <c r="C313" s="14" t="s">
        <v>356</v>
      </c>
      <c r="D313" s="15">
        <v>7834710.0</v>
      </c>
      <c r="E313" s="15">
        <v>8025900.0</v>
      </c>
      <c r="F313" s="15">
        <v>1.404691E7</v>
      </c>
      <c r="G313" s="17">
        <f t="shared" si="1"/>
        <v>2.440294535</v>
      </c>
      <c r="H313" s="17">
        <f t="shared" si="2"/>
        <v>8221755.599</v>
      </c>
      <c r="I313" s="18">
        <f t="shared" si="3"/>
        <v>175.0197486</v>
      </c>
      <c r="J313" s="19">
        <f t="shared" si="4"/>
        <v>14389695.98</v>
      </c>
      <c r="K313" s="20">
        <v>1.420621E7</v>
      </c>
      <c r="L313" s="18">
        <f t="shared" si="5"/>
        <v>1.291589925</v>
      </c>
    </row>
    <row r="314">
      <c r="A314" s="13" t="s">
        <v>405</v>
      </c>
      <c r="B314" s="13" t="s">
        <v>357</v>
      </c>
      <c r="C314" s="14" t="s">
        <v>358</v>
      </c>
      <c r="D314" s="15">
        <v>9292590.0</v>
      </c>
      <c r="E314" s="15">
        <v>9872600.0</v>
      </c>
      <c r="F314" s="15">
        <v>1.762228E7</v>
      </c>
      <c r="G314" s="17">
        <f t="shared" si="1"/>
        <v>6.241639844</v>
      </c>
      <c r="H314" s="17">
        <f t="shared" si="2"/>
        <v>10488812.14</v>
      </c>
      <c r="I314" s="18">
        <f t="shared" si="3"/>
        <v>178.4968499</v>
      </c>
      <c r="J314" s="19">
        <f t="shared" si="4"/>
        <v>18722199.25</v>
      </c>
      <c r="K314" s="20">
        <v>2.010949E7</v>
      </c>
      <c r="L314" s="18">
        <f t="shared" si="5"/>
        <v>-6.898686889</v>
      </c>
    </row>
    <row r="315">
      <c r="A315" s="13" t="s">
        <v>405</v>
      </c>
      <c r="B315" s="13" t="s">
        <v>359</v>
      </c>
      <c r="C315" s="14" t="s">
        <v>360</v>
      </c>
      <c r="D315" s="15">
        <v>3559840.0</v>
      </c>
      <c r="E315" s="15">
        <v>3757400.0</v>
      </c>
      <c r="F315" s="15">
        <v>7142580.0</v>
      </c>
      <c r="G315" s="17">
        <f t="shared" si="1"/>
        <v>5.549687626</v>
      </c>
      <c r="H315" s="17">
        <f t="shared" si="2"/>
        <v>3965923.963</v>
      </c>
      <c r="I315" s="18">
        <f t="shared" si="3"/>
        <v>190.0936818</v>
      </c>
      <c r="J315" s="19">
        <f t="shared" si="4"/>
        <v>7538970.878</v>
      </c>
      <c r="K315" s="20">
        <v>7436560.0</v>
      </c>
      <c r="L315" s="18">
        <f t="shared" si="5"/>
        <v>1.377127038</v>
      </c>
    </row>
    <row r="316">
      <c r="A316" s="13" t="s">
        <v>405</v>
      </c>
      <c r="B316" s="13" t="s">
        <v>361</v>
      </c>
      <c r="C316" s="14" t="s">
        <v>362</v>
      </c>
      <c r="D316" s="15">
        <v>524190.00000000006</v>
      </c>
      <c r="E316" s="15">
        <v>586850.0</v>
      </c>
      <c r="F316" s="15">
        <v>972590.0</v>
      </c>
      <c r="G316" s="17">
        <f t="shared" si="1"/>
        <v>11.95368092</v>
      </c>
      <c r="H316" s="17">
        <f t="shared" si="2"/>
        <v>657000.1765</v>
      </c>
      <c r="I316" s="18">
        <f t="shared" si="3"/>
        <v>165.7305956</v>
      </c>
      <c r="J316" s="19">
        <f t="shared" si="4"/>
        <v>1088850.305</v>
      </c>
      <c r="K316" s="20">
        <v>1081370.0</v>
      </c>
      <c r="L316" s="18">
        <f t="shared" si="5"/>
        <v>0.6917433656</v>
      </c>
    </row>
    <row r="317">
      <c r="A317" s="13" t="s">
        <v>405</v>
      </c>
      <c r="B317" s="13" t="s">
        <v>363</v>
      </c>
      <c r="C317" s="14" t="s">
        <v>364</v>
      </c>
      <c r="D317" s="15">
        <v>7582170.0</v>
      </c>
      <c r="E317" s="15">
        <v>7819390.0</v>
      </c>
      <c r="F317" s="15">
        <v>9432690.0</v>
      </c>
      <c r="G317" s="17">
        <f t="shared" si="1"/>
        <v>3.128655781</v>
      </c>
      <c r="H317" s="17">
        <f t="shared" si="2"/>
        <v>8064031.797</v>
      </c>
      <c r="I317" s="18">
        <f t="shared" si="3"/>
        <v>120.6320442</v>
      </c>
      <c r="J317" s="19">
        <f t="shared" si="4"/>
        <v>9727806.401</v>
      </c>
      <c r="K317" s="20">
        <v>9815090.0</v>
      </c>
      <c r="L317" s="18">
        <f t="shared" si="5"/>
        <v>-0.8892796607</v>
      </c>
    </row>
    <row r="318">
      <c r="A318" s="13" t="s">
        <v>405</v>
      </c>
      <c r="B318" s="13" t="s">
        <v>365</v>
      </c>
      <c r="C318" s="14" t="s">
        <v>366</v>
      </c>
      <c r="D318" s="15">
        <v>3069460.0</v>
      </c>
      <c r="E318" s="15">
        <v>3197000.0</v>
      </c>
      <c r="F318" s="15">
        <v>5893100.0</v>
      </c>
      <c r="G318" s="17">
        <f t="shared" si="1"/>
        <v>4.155128264</v>
      </c>
      <c r="H318" s="17">
        <f t="shared" si="2"/>
        <v>3329839.451</v>
      </c>
      <c r="I318" s="18">
        <f t="shared" si="3"/>
        <v>184.3321864</v>
      </c>
      <c r="J318" s="19">
        <f t="shared" si="4"/>
        <v>6137965.864</v>
      </c>
      <c r="K318" s="20">
        <v>6291570.0</v>
      </c>
      <c r="L318" s="18">
        <f t="shared" si="5"/>
        <v>-2.441427756</v>
      </c>
    </row>
    <row r="319">
      <c r="A319" s="13" t="s">
        <v>405</v>
      </c>
      <c r="B319" s="13" t="s">
        <v>367</v>
      </c>
      <c r="C319" s="14" t="s">
        <v>368</v>
      </c>
      <c r="D319" s="15">
        <v>1771210.0</v>
      </c>
      <c r="E319" s="15">
        <v>1807720.0</v>
      </c>
      <c r="F319" s="15">
        <v>3412620.0</v>
      </c>
      <c r="G319" s="17">
        <f t="shared" si="1"/>
        <v>2.061302725</v>
      </c>
      <c r="H319" s="17">
        <f t="shared" si="2"/>
        <v>1844982.582</v>
      </c>
      <c r="I319" s="18">
        <f t="shared" si="3"/>
        <v>188.7803421</v>
      </c>
      <c r="J319" s="19">
        <f t="shared" si="4"/>
        <v>3482964.429</v>
      </c>
      <c r="K319" s="20">
        <v>3811910.0</v>
      </c>
      <c r="L319" s="18">
        <f t="shared" si="5"/>
        <v>-8.629415987</v>
      </c>
    </row>
    <row r="320">
      <c r="A320" s="13" t="s">
        <v>405</v>
      </c>
      <c r="B320" s="13" t="s">
        <v>369</v>
      </c>
      <c r="C320" s="14" t="s">
        <v>370</v>
      </c>
      <c r="D320" s="15">
        <v>100740.0</v>
      </c>
      <c r="E320" s="15">
        <v>106350.0</v>
      </c>
      <c r="F320" s="15">
        <v>204860.0</v>
      </c>
      <c r="G320" s="17">
        <f t="shared" si="1"/>
        <v>5.568790947</v>
      </c>
      <c r="H320" s="17">
        <f t="shared" si="2"/>
        <v>112272.4092</v>
      </c>
      <c r="I320" s="18">
        <f t="shared" si="3"/>
        <v>192.6281147</v>
      </c>
      <c r="J320" s="19">
        <f t="shared" si="4"/>
        <v>216268.2251</v>
      </c>
      <c r="K320" s="20">
        <v>221180.0</v>
      </c>
      <c r="L320" s="18">
        <f t="shared" si="5"/>
        <v>-2.220713838</v>
      </c>
    </row>
    <row r="321">
      <c r="A321" s="13" t="s">
        <v>405</v>
      </c>
      <c r="B321" s="13" t="s">
        <v>371</v>
      </c>
      <c r="C321" s="14" t="s">
        <v>372</v>
      </c>
      <c r="D321" s="15">
        <v>9539650.0</v>
      </c>
      <c r="E321" s="15">
        <v>1.014586E7</v>
      </c>
      <c r="F321" s="15">
        <v>1.748533E7</v>
      </c>
      <c r="G321" s="17">
        <f t="shared" si="1"/>
        <v>6.354635652</v>
      </c>
      <c r="H321" s="17">
        <f t="shared" si="2"/>
        <v>10790592.44</v>
      </c>
      <c r="I321" s="18">
        <f t="shared" si="3"/>
        <v>172.3395552</v>
      </c>
      <c r="J321" s="19">
        <f t="shared" si="4"/>
        <v>18596459.01</v>
      </c>
      <c r="K321" s="20">
        <v>1.920854E7</v>
      </c>
      <c r="L321" s="18">
        <f t="shared" si="5"/>
        <v>-3.186504471</v>
      </c>
    </row>
    <row r="322">
      <c r="A322" s="13" t="s">
        <v>405</v>
      </c>
      <c r="B322" s="13" t="s">
        <v>373</v>
      </c>
      <c r="C322" s="14" t="s">
        <v>374</v>
      </c>
      <c r="D322" s="15">
        <v>6015490.0</v>
      </c>
      <c r="E322" s="15">
        <v>6269210.0</v>
      </c>
      <c r="F322" s="15">
        <v>1.219537E7</v>
      </c>
      <c r="G322" s="17">
        <f t="shared" si="1"/>
        <v>4.21777777</v>
      </c>
      <c r="H322" s="17">
        <f t="shared" si="2"/>
        <v>6533631.346</v>
      </c>
      <c r="I322" s="18">
        <f t="shared" si="3"/>
        <v>194.5280187</v>
      </c>
      <c r="J322" s="19">
        <f t="shared" si="4"/>
        <v>12709743.6</v>
      </c>
      <c r="K322" s="20">
        <v>1.344705E7</v>
      </c>
      <c r="L322" s="18">
        <f t="shared" si="5"/>
        <v>-5.483034533</v>
      </c>
    </row>
    <row r="323">
      <c r="A323" s="13" t="s">
        <v>405</v>
      </c>
      <c r="B323" s="13" t="s">
        <v>375</v>
      </c>
      <c r="C323" s="14" t="s">
        <v>376</v>
      </c>
      <c r="D323" s="15">
        <v>1870770.0</v>
      </c>
      <c r="E323" s="15">
        <v>1952650.0</v>
      </c>
      <c r="F323" s="15">
        <v>3679220.0</v>
      </c>
      <c r="G323" s="17">
        <f t="shared" si="1"/>
        <v>4.376807411</v>
      </c>
      <c r="H323" s="17">
        <f t="shared" si="2"/>
        <v>2038113.73</v>
      </c>
      <c r="I323" s="18">
        <f t="shared" si="3"/>
        <v>188.4218882</v>
      </c>
      <c r="J323" s="19">
        <f t="shared" si="4"/>
        <v>3840252.374</v>
      </c>
      <c r="K323" s="20">
        <v>4103510.0</v>
      </c>
      <c r="L323" s="18">
        <f t="shared" si="5"/>
        <v>-6.415425486</v>
      </c>
    </row>
    <row r="324">
      <c r="A324" s="13" t="s">
        <v>405</v>
      </c>
      <c r="B324" s="13" t="s">
        <v>377</v>
      </c>
      <c r="C324" s="14" t="s">
        <v>378</v>
      </c>
      <c r="D324" s="15">
        <v>1292740.0</v>
      </c>
      <c r="E324" s="15">
        <v>1331980.0</v>
      </c>
      <c r="F324" s="15">
        <v>2198290.0</v>
      </c>
      <c r="G324" s="17">
        <f t="shared" si="1"/>
        <v>3.035413153</v>
      </c>
      <c r="H324" s="17">
        <f t="shared" si="2"/>
        <v>1372411.096</v>
      </c>
      <c r="I324" s="18">
        <f t="shared" si="3"/>
        <v>165.0392649</v>
      </c>
      <c r="J324" s="19">
        <f t="shared" si="4"/>
        <v>2265017.184</v>
      </c>
      <c r="K324" s="20">
        <v>2398860.0</v>
      </c>
      <c r="L324" s="18">
        <f t="shared" si="5"/>
        <v>-5.579434239</v>
      </c>
    </row>
    <row r="325">
      <c r="A325" s="13" t="s">
        <v>406</v>
      </c>
      <c r="B325" s="13" t="s">
        <v>63</v>
      </c>
      <c r="C325" s="14" t="s">
        <v>66</v>
      </c>
      <c r="D325" s="15">
        <v>3.510857E7</v>
      </c>
      <c r="E325" s="15">
        <v>3.615073E7</v>
      </c>
      <c r="F325" s="15">
        <v>6.523575E7</v>
      </c>
      <c r="G325" s="17">
        <f t="shared" si="1"/>
        <v>2.968392048</v>
      </c>
      <c r="H325" s="17">
        <f t="shared" si="2"/>
        <v>37223825.39</v>
      </c>
      <c r="I325" s="18">
        <f t="shared" si="3"/>
        <v>180.4548622</v>
      </c>
      <c r="J325" s="19">
        <f t="shared" si="4"/>
        <v>67172202.82</v>
      </c>
      <c r="K325" s="20">
        <v>7.118189E7</v>
      </c>
      <c r="L325" s="18">
        <f t="shared" si="5"/>
        <v>-5.633015904</v>
      </c>
    </row>
    <row r="326">
      <c r="A326" s="13" t="s">
        <v>406</v>
      </c>
      <c r="B326" s="13" t="s">
        <v>347</v>
      </c>
      <c r="C326" s="14" t="s">
        <v>348</v>
      </c>
      <c r="D326" s="15">
        <v>7022020.0</v>
      </c>
      <c r="E326" s="15">
        <v>7167790.0</v>
      </c>
      <c r="F326" s="15">
        <v>1.532889E7</v>
      </c>
      <c r="G326" s="17">
        <f t="shared" si="1"/>
        <v>2.075898388</v>
      </c>
      <c r="H326" s="17">
        <f t="shared" si="2"/>
        <v>7316586.037</v>
      </c>
      <c r="I326" s="18">
        <f t="shared" si="3"/>
        <v>213.8579674</v>
      </c>
      <c r="J326" s="19">
        <f t="shared" si="4"/>
        <v>15647102.18</v>
      </c>
      <c r="K326" s="20">
        <v>2.134074E7</v>
      </c>
      <c r="L326" s="18">
        <f t="shared" si="5"/>
        <v>-26.67966443</v>
      </c>
    </row>
    <row r="327">
      <c r="A327" s="13" t="s">
        <v>406</v>
      </c>
      <c r="B327" s="13" t="s">
        <v>349</v>
      </c>
      <c r="C327" s="14" t="s">
        <v>350</v>
      </c>
      <c r="D327" s="15">
        <v>2.425561E7</v>
      </c>
      <c r="E327" s="15">
        <v>2.50346E7</v>
      </c>
      <c r="F327" s="15">
        <v>4.684654E7</v>
      </c>
      <c r="G327" s="17">
        <f t="shared" si="1"/>
        <v>3.211586928</v>
      </c>
      <c r="H327" s="17">
        <f t="shared" si="2"/>
        <v>25838607.94</v>
      </c>
      <c r="I327" s="18">
        <f t="shared" si="3"/>
        <v>187.127176</v>
      </c>
      <c r="J327" s="19">
        <f t="shared" si="4"/>
        <v>48351057.35</v>
      </c>
      <c r="K327" s="20">
        <v>5.160276E7</v>
      </c>
      <c r="L327" s="18">
        <f t="shared" si="5"/>
        <v>-6.30141226</v>
      </c>
    </row>
    <row r="328">
      <c r="A328" s="13" t="s">
        <v>406</v>
      </c>
      <c r="B328" s="13" t="s">
        <v>351</v>
      </c>
      <c r="C328" s="14" t="s">
        <v>352</v>
      </c>
      <c r="D328" s="15">
        <v>196450.0</v>
      </c>
      <c r="E328" s="15">
        <v>211010.0</v>
      </c>
      <c r="F328" s="15">
        <v>392220.0</v>
      </c>
      <c r="G328" s="17">
        <f t="shared" si="1"/>
        <v>7.411555103</v>
      </c>
      <c r="H328" s="17">
        <f t="shared" si="2"/>
        <v>226649.1224</v>
      </c>
      <c r="I328" s="18">
        <f t="shared" si="3"/>
        <v>185.8774466</v>
      </c>
      <c r="J328" s="19">
        <f t="shared" si="4"/>
        <v>421289.6014</v>
      </c>
      <c r="K328" s="20">
        <v>415940.0</v>
      </c>
      <c r="L328" s="18">
        <f t="shared" si="5"/>
        <v>1.286147383</v>
      </c>
    </row>
    <row r="329">
      <c r="A329" s="13" t="s">
        <v>406</v>
      </c>
      <c r="B329" s="13" t="s">
        <v>353</v>
      </c>
      <c r="C329" s="14" t="s">
        <v>354</v>
      </c>
      <c r="D329" s="15">
        <v>249700.0</v>
      </c>
      <c r="E329" s="15">
        <v>257970.00000000003</v>
      </c>
      <c r="F329" s="15">
        <v>343480.0</v>
      </c>
      <c r="G329" s="17">
        <f t="shared" si="1"/>
        <v>3.311974369</v>
      </c>
      <c r="H329" s="17">
        <f t="shared" si="2"/>
        <v>266513.9003</v>
      </c>
      <c r="I329" s="18">
        <f t="shared" si="3"/>
        <v>133.1472652</v>
      </c>
      <c r="J329" s="19">
        <f t="shared" si="4"/>
        <v>354855.9696</v>
      </c>
      <c r="K329" s="20">
        <v>351350.0</v>
      </c>
      <c r="L329" s="18">
        <f t="shared" si="5"/>
        <v>0.9978567137</v>
      </c>
    </row>
    <row r="330">
      <c r="A330" s="13" t="s">
        <v>406</v>
      </c>
      <c r="B330" s="13" t="s">
        <v>355</v>
      </c>
      <c r="C330" s="14" t="s">
        <v>356</v>
      </c>
      <c r="D330" s="15">
        <v>1.591061E7</v>
      </c>
      <c r="E330" s="15">
        <v>1.6666490000000002E7</v>
      </c>
      <c r="F330" s="15">
        <v>3.683061E7</v>
      </c>
      <c r="G330" s="17">
        <f t="shared" si="1"/>
        <v>4.750792082</v>
      </c>
      <c r="H330" s="17">
        <f t="shared" si="2"/>
        <v>17458280.29</v>
      </c>
      <c r="I330" s="18">
        <f t="shared" si="3"/>
        <v>220.9860025</v>
      </c>
      <c r="J330" s="19">
        <f t="shared" si="4"/>
        <v>38580355.7</v>
      </c>
      <c r="K330" s="20">
        <v>4.050042E7</v>
      </c>
      <c r="L330" s="18">
        <f t="shared" si="5"/>
        <v>-4.740850333</v>
      </c>
    </row>
    <row r="331">
      <c r="A331" s="13" t="s">
        <v>406</v>
      </c>
      <c r="B331" s="13" t="s">
        <v>357</v>
      </c>
      <c r="C331" s="14" t="s">
        <v>358</v>
      </c>
      <c r="D331" s="15">
        <v>2.333502E7</v>
      </c>
      <c r="E331" s="15">
        <v>2.481006E7</v>
      </c>
      <c r="F331" s="15">
        <v>4.31879E7</v>
      </c>
      <c r="G331" s="17">
        <f t="shared" si="1"/>
        <v>6.321143072</v>
      </c>
      <c r="H331" s="17">
        <f t="shared" si="2"/>
        <v>26378339.39</v>
      </c>
      <c r="I331" s="18">
        <f t="shared" si="3"/>
        <v>174.0741457</v>
      </c>
      <c r="J331" s="19">
        <f t="shared" si="4"/>
        <v>45917868.95</v>
      </c>
      <c r="K331" s="20">
        <v>4.604512E7</v>
      </c>
      <c r="L331" s="18">
        <f t="shared" si="5"/>
        <v>-0.2763616456</v>
      </c>
    </row>
    <row r="332">
      <c r="A332" s="13" t="s">
        <v>406</v>
      </c>
      <c r="B332" s="13" t="s">
        <v>359</v>
      </c>
      <c r="C332" s="14" t="s">
        <v>360</v>
      </c>
      <c r="D332" s="15">
        <v>5821700.0</v>
      </c>
      <c r="E332" s="15">
        <v>6067070.0</v>
      </c>
      <c r="F332" s="15">
        <v>1.384212E7</v>
      </c>
      <c r="G332" s="17">
        <f t="shared" si="1"/>
        <v>4.214748269</v>
      </c>
      <c r="H332" s="17">
        <f t="shared" si="2"/>
        <v>6322781.728</v>
      </c>
      <c r="I332" s="18">
        <f t="shared" si="3"/>
        <v>228.1516449</v>
      </c>
      <c r="J332" s="19">
        <f t="shared" si="4"/>
        <v>14425530.51</v>
      </c>
      <c r="K332" s="20">
        <v>1.456351E7</v>
      </c>
      <c r="L332" s="18">
        <f t="shared" si="5"/>
        <v>-0.9474329118</v>
      </c>
    </row>
    <row r="333">
      <c r="A333" s="13" t="s">
        <v>406</v>
      </c>
      <c r="B333" s="13" t="s">
        <v>361</v>
      </c>
      <c r="C333" s="14" t="s">
        <v>362</v>
      </c>
      <c r="D333" s="15">
        <v>3418440.0</v>
      </c>
      <c r="E333" s="15">
        <v>3630460.0</v>
      </c>
      <c r="F333" s="15">
        <v>6431370.0</v>
      </c>
      <c r="G333" s="17">
        <f t="shared" si="1"/>
        <v>6.202244299</v>
      </c>
      <c r="H333" s="17">
        <f t="shared" si="2"/>
        <v>3855629.998</v>
      </c>
      <c r="I333" s="18">
        <f t="shared" si="3"/>
        <v>177.1502785</v>
      </c>
      <c r="J333" s="19">
        <f t="shared" si="4"/>
        <v>6830259.279</v>
      </c>
      <c r="K333" s="20">
        <v>6790020.0</v>
      </c>
      <c r="L333" s="18">
        <f t="shared" si="5"/>
        <v>0.5926238677</v>
      </c>
    </row>
    <row r="334">
      <c r="A334" s="13" t="s">
        <v>406</v>
      </c>
      <c r="B334" s="13" t="s">
        <v>363</v>
      </c>
      <c r="C334" s="14" t="s">
        <v>364</v>
      </c>
      <c r="D334" s="15">
        <v>9731420.0</v>
      </c>
      <c r="E334" s="15">
        <v>1.040118E7</v>
      </c>
      <c r="F334" s="15">
        <v>1.217934E7</v>
      </c>
      <c r="G334" s="17">
        <f t="shared" si="1"/>
        <v>6.88244881</v>
      </c>
      <c r="H334" s="17">
        <f t="shared" si="2"/>
        <v>11117035.89</v>
      </c>
      <c r="I334" s="18">
        <f t="shared" si="3"/>
        <v>117.0957526</v>
      </c>
      <c r="J334" s="19">
        <f t="shared" si="4"/>
        <v>13017576.84</v>
      </c>
      <c r="K334" s="20">
        <v>1.298686E7</v>
      </c>
      <c r="L334" s="18">
        <f t="shared" si="5"/>
        <v>0.2365224613</v>
      </c>
    </row>
    <row r="335">
      <c r="A335" s="13" t="s">
        <v>406</v>
      </c>
      <c r="B335" s="13" t="s">
        <v>365</v>
      </c>
      <c r="C335" s="14" t="s">
        <v>366</v>
      </c>
      <c r="D335" s="15">
        <v>5599460.0</v>
      </c>
      <c r="E335" s="15">
        <v>5873800.0</v>
      </c>
      <c r="F335" s="15">
        <v>9620020.0</v>
      </c>
      <c r="G335" s="17">
        <f t="shared" si="1"/>
        <v>4.899401014</v>
      </c>
      <c r="H335" s="17">
        <f t="shared" si="2"/>
        <v>6161581.017</v>
      </c>
      <c r="I335" s="18">
        <f t="shared" si="3"/>
        <v>163.7784739</v>
      </c>
      <c r="J335" s="19">
        <f t="shared" si="4"/>
        <v>10091343.36</v>
      </c>
      <c r="K335" s="20">
        <v>1.018203E7</v>
      </c>
      <c r="L335" s="18">
        <f t="shared" si="5"/>
        <v>-0.8906538539</v>
      </c>
    </row>
    <row r="336">
      <c r="A336" s="13" t="s">
        <v>406</v>
      </c>
      <c r="B336" s="13" t="s">
        <v>367</v>
      </c>
      <c r="C336" s="14" t="s">
        <v>368</v>
      </c>
      <c r="D336" s="15">
        <v>4487680.0</v>
      </c>
      <c r="E336" s="15">
        <v>4891490.0</v>
      </c>
      <c r="F336" s="15">
        <v>8122050.0</v>
      </c>
      <c r="G336" s="17">
        <f t="shared" si="1"/>
        <v>8.998190602</v>
      </c>
      <c r="H336" s="17">
        <f t="shared" si="2"/>
        <v>5331635.593</v>
      </c>
      <c r="I336" s="18">
        <f t="shared" si="3"/>
        <v>166.0444977</v>
      </c>
      <c r="J336" s="19">
        <f t="shared" si="4"/>
        <v>8852887.54</v>
      </c>
      <c r="K336" s="20">
        <v>8483150.0</v>
      </c>
      <c r="L336" s="18">
        <f t="shared" si="5"/>
        <v>4.358493481</v>
      </c>
    </row>
    <row r="337">
      <c r="A337" s="13" t="s">
        <v>406</v>
      </c>
      <c r="B337" s="13" t="s">
        <v>369</v>
      </c>
      <c r="C337" s="14" t="s">
        <v>370</v>
      </c>
      <c r="D337" s="15">
        <v>763070.0</v>
      </c>
      <c r="E337" s="15">
        <v>808670.0</v>
      </c>
      <c r="F337" s="15">
        <v>1298540.0</v>
      </c>
      <c r="G337" s="17">
        <f t="shared" si="1"/>
        <v>5.975860668</v>
      </c>
      <c r="H337" s="17">
        <f t="shared" si="2"/>
        <v>856994.9925</v>
      </c>
      <c r="I337" s="18">
        <f t="shared" si="3"/>
        <v>160.5772441</v>
      </c>
      <c r="J337" s="19">
        <f t="shared" si="4"/>
        <v>1376138.941</v>
      </c>
      <c r="K337" s="20">
        <v>1358190.0</v>
      </c>
      <c r="L337" s="18">
        <f t="shared" si="5"/>
        <v>1.321533888</v>
      </c>
    </row>
    <row r="338">
      <c r="A338" s="13" t="s">
        <v>406</v>
      </c>
      <c r="B338" s="13" t="s">
        <v>371</v>
      </c>
      <c r="C338" s="14" t="s">
        <v>372</v>
      </c>
      <c r="D338" s="15">
        <v>7085230.0</v>
      </c>
      <c r="E338" s="15">
        <v>7697430.0</v>
      </c>
      <c r="F338" s="15">
        <v>1.969043E7</v>
      </c>
      <c r="G338" s="17">
        <f t="shared" si="1"/>
        <v>8.640509906</v>
      </c>
      <c r="H338" s="17">
        <f t="shared" si="2"/>
        <v>8362527.202</v>
      </c>
      <c r="I338" s="18">
        <f t="shared" si="3"/>
        <v>255.8052493</v>
      </c>
      <c r="J338" s="19">
        <f t="shared" si="4"/>
        <v>21391783.55</v>
      </c>
      <c r="K338" s="20">
        <v>2.068107E7</v>
      </c>
      <c r="L338" s="18">
        <f t="shared" si="5"/>
        <v>3.436541507</v>
      </c>
    </row>
    <row r="339">
      <c r="A339" s="13" t="s">
        <v>406</v>
      </c>
      <c r="B339" s="13" t="s">
        <v>373</v>
      </c>
      <c r="C339" s="14" t="s">
        <v>374</v>
      </c>
      <c r="D339" s="15">
        <v>5888790.0</v>
      </c>
      <c r="E339" s="15">
        <v>6448270.0</v>
      </c>
      <c r="F339" s="15">
        <v>1.048079E7</v>
      </c>
      <c r="G339" s="17">
        <f t="shared" si="1"/>
        <v>9.500763315</v>
      </c>
      <c r="H339" s="17">
        <f t="shared" si="2"/>
        <v>7060904.871</v>
      </c>
      <c r="I339" s="18">
        <f t="shared" si="3"/>
        <v>162.5364633</v>
      </c>
      <c r="J339" s="19">
        <f t="shared" si="4"/>
        <v>11476545.05</v>
      </c>
      <c r="K339" s="20">
        <v>1.100243E7</v>
      </c>
      <c r="L339" s="18">
        <f t="shared" si="5"/>
        <v>4.309184893</v>
      </c>
    </row>
    <row r="340">
      <c r="A340" s="13" t="s">
        <v>406</v>
      </c>
      <c r="B340" s="13" t="s">
        <v>375</v>
      </c>
      <c r="C340" s="14" t="s">
        <v>376</v>
      </c>
      <c r="D340" s="15">
        <v>4397640.0</v>
      </c>
      <c r="E340" s="15">
        <v>4643000.0</v>
      </c>
      <c r="F340" s="15">
        <v>7889700.0</v>
      </c>
      <c r="G340" s="17">
        <f t="shared" si="1"/>
        <v>5.5793562</v>
      </c>
      <c r="H340" s="17">
        <f t="shared" si="2"/>
        <v>4902049.508</v>
      </c>
      <c r="I340" s="18">
        <f t="shared" si="3"/>
        <v>169.9267715</v>
      </c>
      <c r="J340" s="19">
        <f t="shared" si="4"/>
        <v>8329894.466</v>
      </c>
      <c r="K340" s="20">
        <v>8425510.0</v>
      </c>
      <c r="L340" s="18">
        <f t="shared" si="5"/>
        <v>-1.134833783</v>
      </c>
    </row>
    <row r="341">
      <c r="A341" s="13" t="s">
        <v>406</v>
      </c>
      <c r="B341" s="13" t="s">
        <v>377</v>
      </c>
      <c r="C341" s="14" t="s">
        <v>378</v>
      </c>
      <c r="D341" s="15">
        <v>1709400.0</v>
      </c>
      <c r="E341" s="15">
        <v>1814450.0</v>
      </c>
      <c r="F341" s="15">
        <v>2447140.0</v>
      </c>
      <c r="G341" s="17">
        <f t="shared" si="1"/>
        <v>6.145431145</v>
      </c>
      <c r="H341" s="17">
        <f t="shared" si="2"/>
        <v>1925955.775</v>
      </c>
      <c r="I341" s="18">
        <f t="shared" si="3"/>
        <v>134.8695197</v>
      </c>
      <c r="J341" s="19">
        <f t="shared" si="4"/>
        <v>2597527.304</v>
      </c>
      <c r="K341" s="20">
        <v>2658510.0</v>
      </c>
      <c r="L341" s="18">
        <f t="shared" si="5"/>
        <v>-2.293867477</v>
      </c>
    </row>
    <row r="342">
      <c r="A342" s="13" t="s">
        <v>407</v>
      </c>
      <c r="B342" s="13" t="s">
        <v>63</v>
      </c>
      <c r="C342" s="14" t="s">
        <v>66</v>
      </c>
      <c r="D342" s="15">
        <v>2.383078E7</v>
      </c>
      <c r="E342" s="15">
        <v>2.413862E7</v>
      </c>
      <c r="F342" s="15">
        <v>4.978651E7</v>
      </c>
      <c r="G342" s="17">
        <f t="shared" si="1"/>
        <v>1.291774755</v>
      </c>
      <c r="H342" s="17">
        <f t="shared" si="2"/>
        <v>24450436.6</v>
      </c>
      <c r="I342" s="18">
        <f t="shared" si="3"/>
        <v>206.2525115</v>
      </c>
      <c r="J342" s="19">
        <f t="shared" si="4"/>
        <v>50429639.57</v>
      </c>
      <c r="K342" s="20">
        <v>5.526468E7</v>
      </c>
      <c r="L342" s="18">
        <f t="shared" si="5"/>
        <v>-8.748879813</v>
      </c>
    </row>
    <row r="343">
      <c r="A343" s="13" t="s">
        <v>407</v>
      </c>
      <c r="B343" s="13" t="s">
        <v>347</v>
      </c>
      <c r="C343" s="14" t="s">
        <v>348</v>
      </c>
      <c r="D343" s="15">
        <v>1.579075E7</v>
      </c>
      <c r="E343" s="15">
        <v>1.717859E7</v>
      </c>
      <c r="F343" s="15">
        <v>2.371805E7</v>
      </c>
      <c r="G343" s="17">
        <f t="shared" si="1"/>
        <v>8.788942894</v>
      </c>
      <c r="H343" s="17">
        <f t="shared" si="2"/>
        <v>18688406.47</v>
      </c>
      <c r="I343" s="18">
        <f t="shared" si="3"/>
        <v>138.0675015</v>
      </c>
      <c r="J343" s="19">
        <f t="shared" si="4"/>
        <v>25802615.87</v>
      </c>
      <c r="K343" s="20">
        <v>2.381512E7</v>
      </c>
      <c r="L343" s="18">
        <f t="shared" si="5"/>
        <v>8.345521123</v>
      </c>
    </row>
    <row r="344">
      <c r="A344" s="13" t="s">
        <v>407</v>
      </c>
      <c r="B344" s="13" t="s">
        <v>349</v>
      </c>
      <c r="C344" s="14" t="s">
        <v>350</v>
      </c>
      <c r="D344" s="15">
        <v>1.788264E7</v>
      </c>
      <c r="E344" s="15">
        <v>1.782934E7</v>
      </c>
      <c r="F344" s="15">
        <v>3.503613E7</v>
      </c>
      <c r="G344" s="17">
        <f t="shared" si="1"/>
        <v>-0.298054426</v>
      </c>
      <c r="H344" s="17">
        <f t="shared" si="2"/>
        <v>17776198.86</v>
      </c>
      <c r="I344" s="18">
        <f t="shared" si="3"/>
        <v>196.5082835</v>
      </c>
      <c r="J344" s="19">
        <f t="shared" si="4"/>
        <v>34931703.26</v>
      </c>
      <c r="K344" s="20">
        <v>4.001793E7</v>
      </c>
      <c r="L344" s="18">
        <f t="shared" si="5"/>
        <v>-12.70986964</v>
      </c>
    </row>
    <row r="345">
      <c r="A345" s="13" t="s">
        <v>407</v>
      </c>
      <c r="B345" s="13" t="s">
        <v>351</v>
      </c>
      <c r="C345" s="14" t="s">
        <v>352</v>
      </c>
      <c r="D345" s="15">
        <v>122110.0</v>
      </c>
      <c r="E345" s="15">
        <v>128530.0</v>
      </c>
      <c r="F345" s="15">
        <v>212940.0</v>
      </c>
      <c r="G345" s="17">
        <f t="shared" si="1"/>
        <v>5.257554664</v>
      </c>
      <c r="H345" s="17">
        <f t="shared" si="2"/>
        <v>135287.535</v>
      </c>
      <c r="I345" s="18">
        <f t="shared" si="3"/>
        <v>165.6733836</v>
      </c>
      <c r="J345" s="19">
        <f t="shared" si="4"/>
        <v>224135.4369</v>
      </c>
      <c r="K345" s="20">
        <v>215460.0</v>
      </c>
      <c r="L345" s="18">
        <f t="shared" si="5"/>
        <v>4.026472153</v>
      </c>
    </row>
    <row r="346">
      <c r="A346" s="13" t="s">
        <v>407</v>
      </c>
      <c r="B346" s="13" t="s">
        <v>353</v>
      </c>
      <c r="C346" s="14" t="s">
        <v>354</v>
      </c>
      <c r="D346" s="15">
        <v>96160.0</v>
      </c>
      <c r="E346" s="15">
        <v>104160.0</v>
      </c>
      <c r="F346" s="15">
        <v>216260.0</v>
      </c>
      <c r="G346" s="17">
        <f t="shared" si="1"/>
        <v>8.319467554</v>
      </c>
      <c r="H346" s="17">
        <f t="shared" si="2"/>
        <v>112825.5574</v>
      </c>
      <c r="I346" s="18">
        <f t="shared" si="3"/>
        <v>207.6228879</v>
      </c>
      <c r="J346" s="19">
        <f t="shared" si="4"/>
        <v>234251.6805</v>
      </c>
      <c r="K346" s="20">
        <v>231780.0</v>
      </c>
      <c r="L346" s="18">
        <f t="shared" si="5"/>
        <v>1.066390772</v>
      </c>
    </row>
    <row r="347">
      <c r="A347" s="13" t="s">
        <v>407</v>
      </c>
      <c r="B347" s="13" t="s">
        <v>355</v>
      </c>
      <c r="C347" s="14" t="s">
        <v>356</v>
      </c>
      <c r="D347" s="15">
        <v>9523680.0</v>
      </c>
      <c r="E347" s="15">
        <v>9996440.0</v>
      </c>
      <c r="F347" s="15">
        <v>1.969384E7</v>
      </c>
      <c r="G347" s="17">
        <f t="shared" si="1"/>
        <v>4.964047511</v>
      </c>
      <c r="H347" s="17">
        <f t="shared" si="2"/>
        <v>10492668.03</v>
      </c>
      <c r="I347" s="18">
        <f t="shared" si="3"/>
        <v>197.008535</v>
      </c>
      <c r="J347" s="19">
        <f t="shared" si="4"/>
        <v>20671451.57</v>
      </c>
      <c r="K347" s="20">
        <v>2.027061E7</v>
      </c>
      <c r="L347" s="18">
        <f t="shared" si="5"/>
        <v>1.977451958</v>
      </c>
    </row>
    <row r="348">
      <c r="A348" s="13" t="s">
        <v>407</v>
      </c>
      <c r="B348" s="13" t="s">
        <v>357</v>
      </c>
      <c r="C348" s="14" t="s">
        <v>358</v>
      </c>
      <c r="D348" s="15">
        <v>1.392979E7</v>
      </c>
      <c r="E348" s="15">
        <v>1.460467E7</v>
      </c>
      <c r="F348" s="15">
        <v>2.796643E7</v>
      </c>
      <c r="G348" s="17">
        <f t="shared" si="1"/>
        <v>4.844868444</v>
      </c>
      <c r="H348" s="17">
        <f t="shared" si="2"/>
        <v>15312247.05</v>
      </c>
      <c r="I348" s="18">
        <f t="shared" si="3"/>
        <v>191.48964</v>
      </c>
      <c r="J348" s="19">
        <f t="shared" si="4"/>
        <v>29321366.74</v>
      </c>
      <c r="K348" s="20">
        <v>3.04724E7</v>
      </c>
      <c r="L348" s="18">
        <f t="shared" si="5"/>
        <v>-3.777297679</v>
      </c>
    </row>
    <row r="349">
      <c r="A349" s="13" t="s">
        <v>407</v>
      </c>
      <c r="B349" s="13" t="s">
        <v>359</v>
      </c>
      <c r="C349" s="14" t="s">
        <v>360</v>
      </c>
      <c r="D349" s="15">
        <v>7505380.0</v>
      </c>
      <c r="E349" s="15">
        <v>7954520.0</v>
      </c>
      <c r="F349" s="15">
        <v>1.613633E7</v>
      </c>
      <c r="G349" s="17">
        <f t="shared" si="1"/>
        <v>5.984240638</v>
      </c>
      <c r="H349" s="17">
        <f t="shared" si="2"/>
        <v>8430537.618</v>
      </c>
      <c r="I349" s="18">
        <f t="shared" si="3"/>
        <v>202.8573691</v>
      </c>
      <c r="J349" s="19">
        <f t="shared" si="4"/>
        <v>17101966.82</v>
      </c>
      <c r="K349" s="20">
        <v>1.823969E7</v>
      </c>
      <c r="L349" s="18">
        <f t="shared" si="5"/>
        <v>-6.237623461</v>
      </c>
    </row>
    <row r="350">
      <c r="A350" s="13" t="s">
        <v>407</v>
      </c>
      <c r="B350" s="13" t="s">
        <v>361</v>
      </c>
      <c r="C350" s="14" t="s">
        <v>362</v>
      </c>
      <c r="D350" s="15">
        <v>1997550.0</v>
      </c>
      <c r="E350" s="15">
        <v>2166490.0</v>
      </c>
      <c r="F350" s="15">
        <v>4161790.0</v>
      </c>
      <c r="G350" s="17">
        <f t="shared" si="1"/>
        <v>8.457360266</v>
      </c>
      <c r="H350" s="17">
        <f t="shared" si="2"/>
        <v>2349717.864</v>
      </c>
      <c r="I350" s="18">
        <f t="shared" si="3"/>
        <v>192.0982788</v>
      </c>
      <c r="J350" s="19">
        <f t="shared" si="4"/>
        <v>4513767.574</v>
      </c>
      <c r="K350" s="20">
        <v>4453550.0</v>
      </c>
      <c r="L350" s="18">
        <f t="shared" si="5"/>
        <v>1.352125245</v>
      </c>
    </row>
    <row r="351">
      <c r="A351" s="13" t="s">
        <v>407</v>
      </c>
      <c r="B351" s="13" t="s">
        <v>363</v>
      </c>
      <c r="C351" s="14" t="s">
        <v>364</v>
      </c>
      <c r="D351" s="15">
        <v>1657070.0</v>
      </c>
      <c r="E351" s="15">
        <v>1747060.0</v>
      </c>
      <c r="F351" s="15">
        <v>2302140.0</v>
      </c>
      <c r="G351" s="17">
        <f t="shared" si="1"/>
        <v>5.430669797</v>
      </c>
      <c r="H351" s="17">
        <f t="shared" si="2"/>
        <v>1841937.06</v>
      </c>
      <c r="I351" s="18">
        <f t="shared" si="3"/>
        <v>131.7722345</v>
      </c>
      <c r="J351" s="19">
        <f t="shared" si="4"/>
        <v>2427161.622</v>
      </c>
      <c r="K351" s="20">
        <v>2434740.0</v>
      </c>
      <c r="L351" s="18">
        <f t="shared" si="5"/>
        <v>-0.3112602718</v>
      </c>
    </row>
    <row r="352">
      <c r="A352" s="13" t="s">
        <v>407</v>
      </c>
      <c r="B352" s="13" t="s">
        <v>365</v>
      </c>
      <c r="C352" s="14" t="s">
        <v>366</v>
      </c>
      <c r="D352" s="15">
        <v>3974440.0</v>
      </c>
      <c r="E352" s="15">
        <v>4189540.0</v>
      </c>
      <c r="F352" s="15">
        <v>7338180.0</v>
      </c>
      <c r="G352" s="17">
        <f t="shared" si="1"/>
        <v>5.412083212</v>
      </c>
      <c r="H352" s="17">
        <f t="shared" si="2"/>
        <v>4416281.391</v>
      </c>
      <c r="I352" s="18">
        <f t="shared" si="3"/>
        <v>175.1547903</v>
      </c>
      <c r="J352" s="19">
        <f t="shared" si="4"/>
        <v>7735328.408</v>
      </c>
      <c r="K352" s="20">
        <v>8044570.0</v>
      </c>
      <c r="L352" s="18">
        <f t="shared" si="5"/>
        <v>-3.844103441</v>
      </c>
    </row>
    <row r="353">
      <c r="A353" s="13" t="s">
        <v>407</v>
      </c>
      <c r="B353" s="13" t="s">
        <v>367</v>
      </c>
      <c r="C353" s="14" t="s">
        <v>368</v>
      </c>
      <c r="D353" s="15">
        <v>2172780.0</v>
      </c>
      <c r="E353" s="15">
        <v>2298750.0</v>
      </c>
      <c r="F353" s="15">
        <v>4447150.0</v>
      </c>
      <c r="G353" s="17">
        <f t="shared" si="1"/>
        <v>5.797641731</v>
      </c>
      <c r="H353" s="17">
        <f t="shared" si="2"/>
        <v>2432023.289</v>
      </c>
      <c r="I353" s="18">
        <f t="shared" si="3"/>
        <v>193.4594889</v>
      </c>
      <c r="J353" s="19">
        <f t="shared" si="4"/>
        <v>4704979.824</v>
      </c>
      <c r="K353" s="20">
        <v>4784090.0</v>
      </c>
      <c r="L353" s="18">
        <f t="shared" si="5"/>
        <v>-1.653609689</v>
      </c>
    </row>
    <row r="354">
      <c r="A354" s="13" t="s">
        <v>407</v>
      </c>
      <c r="B354" s="13" t="s">
        <v>369</v>
      </c>
      <c r="C354" s="14" t="s">
        <v>370</v>
      </c>
      <c r="D354" s="15">
        <v>40510.0</v>
      </c>
      <c r="E354" s="15">
        <v>43440.0</v>
      </c>
      <c r="F354" s="15">
        <v>83200.0</v>
      </c>
      <c r="G354" s="17">
        <f t="shared" si="1"/>
        <v>7.232782029</v>
      </c>
      <c r="H354" s="17">
        <f t="shared" si="2"/>
        <v>46581.92051</v>
      </c>
      <c r="I354" s="18">
        <f t="shared" si="3"/>
        <v>191.5285451</v>
      </c>
      <c r="J354" s="19">
        <f t="shared" si="4"/>
        <v>89217.67465</v>
      </c>
      <c r="K354" s="20">
        <v>90150.0</v>
      </c>
      <c r="L354" s="18">
        <f t="shared" si="5"/>
        <v>-1.034193402</v>
      </c>
    </row>
    <row r="355">
      <c r="A355" s="13" t="s">
        <v>407</v>
      </c>
      <c r="B355" s="13" t="s">
        <v>371</v>
      </c>
      <c r="C355" s="14" t="s">
        <v>372</v>
      </c>
      <c r="D355" s="15">
        <v>6483420.0</v>
      </c>
      <c r="E355" s="15">
        <v>7114900.0</v>
      </c>
      <c r="F355" s="15">
        <v>1.311209E7</v>
      </c>
      <c r="G355" s="17">
        <f t="shared" si="1"/>
        <v>9.739921214</v>
      </c>
      <c r="H355" s="17">
        <f t="shared" si="2"/>
        <v>7807885.654</v>
      </c>
      <c r="I355" s="18">
        <f t="shared" si="3"/>
        <v>184.2905733</v>
      </c>
      <c r="J355" s="19">
        <f t="shared" si="4"/>
        <v>14389197.24</v>
      </c>
      <c r="K355" s="20">
        <v>1.33774E7</v>
      </c>
      <c r="L355" s="18">
        <f t="shared" si="5"/>
        <v>7.563481959</v>
      </c>
    </row>
    <row r="356">
      <c r="A356" s="13" t="s">
        <v>407</v>
      </c>
      <c r="B356" s="13" t="s">
        <v>373</v>
      </c>
      <c r="C356" s="14" t="s">
        <v>374</v>
      </c>
      <c r="D356" s="15">
        <v>5119950.0</v>
      </c>
      <c r="E356" s="15">
        <v>5503720.0</v>
      </c>
      <c r="F356" s="15">
        <v>1.10363E7</v>
      </c>
      <c r="G356" s="17">
        <f t="shared" si="1"/>
        <v>7.495581012</v>
      </c>
      <c r="H356" s="17">
        <f t="shared" si="2"/>
        <v>5916255.791</v>
      </c>
      <c r="I356" s="18">
        <f t="shared" si="3"/>
        <v>200.5243726</v>
      </c>
      <c r="J356" s="19">
        <f t="shared" si="4"/>
        <v>11863534.81</v>
      </c>
      <c r="K356" s="20">
        <v>1.119008E7</v>
      </c>
      <c r="L356" s="18">
        <f t="shared" si="5"/>
        <v>6.018319862</v>
      </c>
    </row>
    <row r="357">
      <c r="A357" s="13" t="s">
        <v>407</v>
      </c>
      <c r="B357" s="13" t="s">
        <v>375</v>
      </c>
      <c r="C357" s="14" t="s">
        <v>376</v>
      </c>
      <c r="D357" s="15">
        <v>2451130.0</v>
      </c>
      <c r="E357" s="15">
        <v>2597200.0</v>
      </c>
      <c r="F357" s="15">
        <v>5545760.0</v>
      </c>
      <c r="G357" s="17">
        <f t="shared" si="1"/>
        <v>5.959292245</v>
      </c>
      <c r="H357" s="17">
        <f t="shared" si="2"/>
        <v>2751974.738</v>
      </c>
      <c r="I357" s="18">
        <f t="shared" si="3"/>
        <v>213.5284152</v>
      </c>
      <c r="J357" s="19">
        <f t="shared" si="4"/>
        <v>5876248.046</v>
      </c>
      <c r="K357" s="20">
        <v>5864630.0</v>
      </c>
      <c r="L357" s="18">
        <f t="shared" si="5"/>
        <v>0.1981036416</v>
      </c>
    </row>
    <row r="358">
      <c r="A358" s="13" t="s">
        <v>407</v>
      </c>
      <c r="B358" s="13" t="s">
        <v>377</v>
      </c>
      <c r="C358" s="14" t="s">
        <v>378</v>
      </c>
      <c r="D358" s="15">
        <v>1033390.0000000001</v>
      </c>
      <c r="E358" s="15">
        <v>1086350.0</v>
      </c>
      <c r="F358" s="15">
        <v>2071380.0</v>
      </c>
      <c r="G358" s="17">
        <f t="shared" si="1"/>
        <v>5.124880249</v>
      </c>
      <c r="H358" s="17">
        <f t="shared" si="2"/>
        <v>1142024.137</v>
      </c>
      <c r="I358" s="18">
        <f t="shared" si="3"/>
        <v>190.6733557</v>
      </c>
      <c r="J358" s="19">
        <f t="shared" si="4"/>
        <v>2177535.744</v>
      </c>
      <c r="K358" s="20">
        <v>2288830.0</v>
      </c>
      <c r="L358" s="18">
        <f t="shared" si="5"/>
        <v>-4.862495489</v>
      </c>
    </row>
    <row r="359">
      <c r="A359" s="13" t="s">
        <v>408</v>
      </c>
      <c r="B359" s="13" t="s">
        <v>63</v>
      </c>
      <c r="C359" s="14" t="s">
        <v>66</v>
      </c>
      <c r="D359" s="15">
        <v>1.953727E7</v>
      </c>
      <c r="E359" s="15">
        <v>2.035074E7</v>
      </c>
      <c r="F359" s="15">
        <v>3.311922E7</v>
      </c>
      <c r="G359" s="17">
        <f t="shared" si="1"/>
        <v>4.163683053</v>
      </c>
      <c r="H359" s="17">
        <f t="shared" si="2"/>
        <v>21198080.31</v>
      </c>
      <c r="I359" s="18">
        <f t="shared" si="3"/>
        <v>162.7420919</v>
      </c>
      <c r="J359" s="19">
        <f t="shared" si="4"/>
        <v>34498199.35</v>
      </c>
      <c r="K359" s="20">
        <v>3.645987E7</v>
      </c>
      <c r="L359" s="18">
        <f t="shared" si="5"/>
        <v>-5.380355579</v>
      </c>
    </row>
    <row r="360">
      <c r="A360" s="13" t="s">
        <v>408</v>
      </c>
      <c r="B360" s="13" t="s">
        <v>347</v>
      </c>
      <c r="C360" s="14" t="s">
        <v>348</v>
      </c>
      <c r="D360" s="15">
        <v>3.617609E7</v>
      </c>
      <c r="E360" s="15">
        <v>3.727051E7</v>
      </c>
      <c r="F360" s="15">
        <v>8.45122E7</v>
      </c>
      <c r="G360" s="17">
        <f t="shared" si="1"/>
        <v>3.025257843</v>
      </c>
      <c r="H360" s="17">
        <f t="shared" si="2"/>
        <v>38398039.03</v>
      </c>
      <c r="I360" s="18">
        <f t="shared" si="3"/>
        <v>226.7535379</v>
      </c>
      <c r="J360" s="19">
        <f t="shared" si="4"/>
        <v>87068911.96</v>
      </c>
      <c r="K360" s="20">
        <v>8.398948E7</v>
      </c>
      <c r="L360" s="18">
        <f t="shared" si="5"/>
        <v>3.666449606</v>
      </c>
    </row>
    <row r="361">
      <c r="A361" s="13" t="s">
        <v>408</v>
      </c>
      <c r="B361" s="13" t="s">
        <v>349</v>
      </c>
      <c r="C361" s="14" t="s">
        <v>350</v>
      </c>
      <c r="D361" s="15">
        <v>1.839503E7</v>
      </c>
      <c r="E361" s="15">
        <v>1.928469E7</v>
      </c>
      <c r="F361" s="15">
        <v>3.141355E7</v>
      </c>
      <c r="G361" s="17">
        <f t="shared" si="1"/>
        <v>4.836415053</v>
      </c>
      <c r="H361" s="17">
        <f t="shared" si="2"/>
        <v>20217377.65</v>
      </c>
      <c r="I361" s="18">
        <f t="shared" si="3"/>
        <v>162.8937255</v>
      </c>
      <c r="J361" s="19">
        <f t="shared" si="4"/>
        <v>32932839.66</v>
      </c>
      <c r="K361" s="20">
        <v>3.544111E7</v>
      </c>
      <c r="L361" s="18">
        <f t="shared" si="5"/>
        <v>-7.077290579</v>
      </c>
    </row>
    <row r="362">
      <c r="A362" s="13" t="s">
        <v>408</v>
      </c>
      <c r="B362" s="13" t="s">
        <v>351</v>
      </c>
      <c r="C362" s="14" t="s">
        <v>352</v>
      </c>
      <c r="D362" s="15">
        <v>199860.0</v>
      </c>
      <c r="E362" s="15">
        <v>213360.0</v>
      </c>
      <c r="F362" s="15">
        <v>379200.0</v>
      </c>
      <c r="G362" s="17">
        <f t="shared" si="1"/>
        <v>6.75472831</v>
      </c>
      <c r="H362" s="17">
        <f t="shared" si="2"/>
        <v>227771.8883</v>
      </c>
      <c r="I362" s="18">
        <f t="shared" si="3"/>
        <v>177.727784</v>
      </c>
      <c r="J362" s="19">
        <f t="shared" si="4"/>
        <v>404813.9298</v>
      </c>
      <c r="K362" s="20">
        <v>413320.0</v>
      </c>
      <c r="L362" s="18">
        <f t="shared" si="5"/>
        <v>-2.057986608</v>
      </c>
    </row>
    <row r="363">
      <c r="A363" s="13" t="s">
        <v>408</v>
      </c>
      <c r="B363" s="13" t="s">
        <v>353</v>
      </c>
      <c r="C363" s="14" t="s">
        <v>354</v>
      </c>
      <c r="D363" s="15">
        <v>660540.0</v>
      </c>
      <c r="E363" s="15">
        <v>691980.0</v>
      </c>
      <c r="F363" s="15">
        <v>1061250.0</v>
      </c>
      <c r="G363" s="17">
        <f t="shared" si="1"/>
        <v>4.759742029</v>
      </c>
      <c r="H363" s="17">
        <f t="shared" si="2"/>
        <v>724916.4629</v>
      </c>
      <c r="I363" s="18">
        <f t="shared" si="3"/>
        <v>153.3642591</v>
      </c>
      <c r="J363" s="19">
        <f t="shared" si="4"/>
        <v>1111762.762</v>
      </c>
      <c r="K363" s="20">
        <v>1149440.0</v>
      </c>
      <c r="L363" s="18">
        <f t="shared" si="5"/>
        <v>-3.277877724</v>
      </c>
    </row>
    <row r="364">
      <c r="A364" s="13" t="s">
        <v>408</v>
      </c>
      <c r="B364" s="13" t="s">
        <v>355</v>
      </c>
      <c r="C364" s="14" t="s">
        <v>356</v>
      </c>
      <c r="D364" s="15">
        <v>1.146997E7</v>
      </c>
      <c r="E364" s="15">
        <v>1.215743E7</v>
      </c>
      <c r="F364" s="15">
        <v>2.03331E7</v>
      </c>
      <c r="G364" s="17">
        <f t="shared" si="1"/>
        <v>5.993564063</v>
      </c>
      <c r="H364" s="17">
        <f t="shared" si="2"/>
        <v>12886093.36</v>
      </c>
      <c r="I364" s="18">
        <f t="shared" si="3"/>
        <v>167.2483411</v>
      </c>
      <c r="J364" s="19">
        <f t="shared" si="4"/>
        <v>21551777.37</v>
      </c>
      <c r="K364" s="20">
        <v>2.167273E7</v>
      </c>
      <c r="L364" s="18">
        <f t="shared" si="5"/>
        <v>-0.5580867082</v>
      </c>
    </row>
    <row r="365">
      <c r="A365" s="13" t="s">
        <v>408</v>
      </c>
      <c r="B365" s="13" t="s">
        <v>357</v>
      </c>
      <c r="C365" s="14" t="s">
        <v>358</v>
      </c>
      <c r="D365" s="15">
        <v>1.401715E7</v>
      </c>
      <c r="E365" s="15">
        <v>1.490809E7</v>
      </c>
      <c r="F365" s="15">
        <v>2.817944E7</v>
      </c>
      <c r="G365" s="17">
        <f t="shared" si="1"/>
        <v>6.356070956</v>
      </c>
      <c r="H365" s="17">
        <f t="shared" si="2"/>
        <v>15855658.78</v>
      </c>
      <c r="I365" s="18">
        <f t="shared" si="3"/>
        <v>189.0211288</v>
      </c>
      <c r="J365" s="19">
        <f t="shared" si="4"/>
        <v>29970545.2</v>
      </c>
      <c r="K365" s="20">
        <v>3.120593E7</v>
      </c>
      <c r="L365" s="18">
        <f t="shared" si="5"/>
        <v>-3.958814234</v>
      </c>
    </row>
    <row r="366">
      <c r="A366" s="13" t="s">
        <v>408</v>
      </c>
      <c r="B366" s="13" t="s">
        <v>359</v>
      </c>
      <c r="C366" s="14" t="s">
        <v>360</v>
      </c>
      <c r="D366" s="15">
        <v>1.029923E7</v>
      </c>
      <c r="E366" s="15">
        <v>1.09341E7</v>
      </c>
      <c r="F366" s="15">
        <v>2.081606E7</v>
      </c>
      <c r="G366" s="17">
        <f t="shared" si="1"/>
        <v>6.16424723</v>
      </c>
      <c r="H366" s="17">
        <f t="shared" si="2"/>
        <v>11608104.96</v>
      </c>
      <c r="I366" s="18">
        <f t="shared" si="3"/>
        <v>190.377443</v>
      </c>
      <c r="J366" s="19">
        <f t="shared" si="4"/>
        <v>22099213.4</v>
      </c>
      <c r="K366" s="20">
        <v>2.225963E7</v>
      </c>
      <c r="L366" s="18">
        <f t="shared" si="5"/>
        <v>-0.7206615655</v>
      </c>
    </row>
    <row r="367">
      <c r="A367" s="13" t="s">
        <v>408</v>
      </c>
      <c r="B367" s="13" t="s">
        <v>361</v>
      </c>
      <c r="C367" s="14" t="s">
        <v>362</v>
      </c>
      <c r="D367" s="15">
        <v>3241510.0</v>
      </c>
      <c r="E367" s="15">
        <v>3503160.0</v>
      </c>
      <c r="F367" s="15">
        <v>5534470.0</v>
      </c>
      <c r="G367" s="17">
        <f t="shared" si="1"/>
        <v>8.071855401</v>
      </c>
      <c r="H367" s="17">
        <f t="shared" si="2"/>
        <v>3785930.01</v>
      </c>
      <c r="I367" s="18">
        <f t="shared" si="3"/>
        <v>157.9850763</v>
      </c>
      <c r="J367" s="19">
        <f t="shared" si="4"/>
        <v>5981204.416</v>
      </c>
      <c r="K367" s="20">
        <v>6244560.0</v>
      </c>
      <c r="L367" s="18">
        <f t="shared" si="5"/>
        <v>-4.217360141</v>
      </c>
    </row>
    <row r="368">
      <c r="A368" s="13" t="s">
        <v>408</v>
      </c>
      <c r="B368" s="13" t="s">
        <v>363</v>
      </c>
      <c r="C368" s="14" t="s">
        <v>364</v>
      </c>
      <c r="D368" s="15">
        <v>6734370.0</v>
      </c>
      <c r="E368" s="15">
        <v>7187320.0</v>
      </c>
      <c r="F368" s="15">
        <v>9656890.0</v>
      </c>
      <c r="G368" s="17">
        <f t="shared" si="1"/>
        <v>6.725944669</v>
      </c>
      <c r="H368" s="17">
        <f t="shared" si="2"/>
        <v>7670735.166</v>
      </c>
      <c r="I368" s="18">
        <f t="shared" si="3"/>
        <v>134.3600953</v>
      </c>
      <c r="J368" s="19">
        <f t="shared" si="4"/>
        <v>10306407.08</v>
      </c>
      <c r="K368" s="20">
        <v>1.052213E7</v>
      </c>
      <c r="L368" s="18">
        <f t="shared" si="5"/>
        <v>-2.050183013</v>
      </c>
    </row>
    <row r="369">
      <c r="A369" s="13" t="s">
        <v>408</v>
      </c>
      <c r="B369" s="13" t="s">
        <v>365</v>
      </c>
      <c r="C369" s="14" t="s">
        <v>366</v>
      </c>
      <c r="D369" s="15">
        <v>4762900.0</v>
      </c>
      <c r="E369" s="15">
        <v>5099810.0</v>
      </c>
      <c r="F369" s="15">
        <v>8924720.0</v>
      </c>
      <c r="G369" s="17">
        <f t="shared" si="1"/>
        <v>7.073631611</v>
      </c>
      <c r="H369" s="17">
        <f t="shared" si="2"/>
        <v>5460551.772</v>
      </c>
      <c r="I369" s="18">
        <f t="shared" si="3"/>
        <v>175.0010295</v>
      </c>
      <c r="J369" s="19">
        <f t="shared" si="4"/>
        <v>9556021.815</v>
      </c>
      <c r="K369" s="20">
        <v>9514880.0</v>
      </c>
      <c r="L369" s="18">
        <f t="shared" si="5"/>
        <v>0.4323944717</v>
      </c>
    </row>
    <row r="370">
      <c r="A370" s="13" t="s">
        <v>408</v>
      </c>
      <c r="B370" s="13" t="s">
        <v>367</v>
      </c>
      <c r="C370" s="14" t="s">
        <v>368</v>
      </c>
      <c r="D370" s="15">
        <v>3735360.0</v>
      </c>
      <c r="E370" s="15">
        <v>3952950.0</v>
      </c>
      <c r="F370" s="15">
        <v>5998490.0</v>
      </c>
      <c r="G370" s="17">
        <f t="shared" si="1"/>
        <v>5.825141352</v>
      </c>
      <c r="H370" s="17">
        <f t="shared" si="2"/>
        <v>4183214.925</v>
      </c>
      <c r="I370" s="18">
        <f t="shared" si="3"/>
        <v>151.7471762</v>
      </c>
      <c r="J370" s="19">
        <f t="shared" si="4"/>
        <v>6347910.521</v>
      </c>
      <c r="K370" s="20">
        <v>6602230.0</v>
      </c>
      <c r="L370" s="18">
        <f t="shared" si="5"/>
        <v>-3.852023915</v>
      </c>
    </row>
    <row r="371">
      <c r="A371" s="13" t="s">
        <v>408</v>
      </c>
      <c r="B371" s="13" t="s">
        <v>369</v>
      </c>
      <c r="C371" s="14" t="s">
        <v>370</v>
      </c>
      <c r="D371" s="15">
        <v>966410.0</v>
      </c>
      <c r="E371" s="15">
        <v>1032790.0</v>
      </c>
      <c r="F371" s="15">
        <v>1923830.0</v>
      </c>
      <c r="G371" s="17">
        <f t="shared" si="1"/>
        <v>6.868720315</v>
      </c>
      <c r="H371" s="17">
        <f t="shared" si="2"/>
        <v>1103729.457</v>
      </c>
      <c r="I371" s="18">
        <f t="shared" si="3"/>
        <v>186.2750414</v>
      </c>
      <c r="J371" s="19">
        <f t="shared" si="4"/>
        <v>2055972.502</v>
      </c>
      <c r="K371" s="20">
        <v>2138760.0</v>
      </c>
      <c r="L371" s="18">
        <f t="shared" si="5"/>
        <v>-3.870817574</v>
      </c>
    </row>
    <row r="372">
      <c r="A372" s="13" t="s">
        <v>408</v>
      </c>
      <c r="B372" s="13" t="s">
        <v>371</v>
      </c>
      <c r="C372" s="14" t="s">
        <v>372</v>
      </c>
      <c r="D372" s="15">
        <v>7391990.0</v>
      </c>
      <c r="E372" s="15">
        <v>7905770.0</v>
      </c>
      <c r="F372" s="15">
        <v>1.427642E7</v>
      </c>
      <c r="G372" s="17">
        <f t="shared" si="1"/>
        <v>6.950496416</v>
      </c>
      <c r="H372" s="17">
        <f t="shared" si="2"/>
        <v>8455260.26</v>
      </c>
      <c r="I372" s="18">
        <f t="shared" si="3"/>
        <v>180.5822836</v>
      </c>
      <c r="J372" s="19">
        <f t="shared" si="4"/>
        <v>15268702.06</v>
      </c>
      <c r="K372" s="20">
        <v>1.49324E7</v>
      </c>
      <c r="L372" s="18">
        <f t="shared" si="5"/>
        <v>2.252163486</v>
      </c>
    </row>
    <row r="373">
      <c r="A373" s="13" t="s">
        <v>408</v>
      </c>
      <c r="B373" s="13" t="s">
        <v>373</v>
      </c>
      <c r="C373" s="14" t="s">
        <v>374</v>
      </c>
      <c r="D373" s="15">
        <v>6656620.0</v>
      </c>
      <c r="E373" s="15">
        <v>6985640.0</v>
      </c>
      <c r="F373" s="15">
        <v>1.151329E7</v>
      </c>
      <c r="G373" s="17">
        <f t="shared" si="1"/>
        <v>4.942748722</v>
      </c>
      <c r="H373" s="17">
        <f t="shared" si="2"/>
        <v>7330922.632</v>
      </c>
      <c r="I373" s="18">
        <f t="shared" si="3"/>
        <v>164.8136749</v>
      </c>
      <c r="J373" s="19">
        <f t="shared" si="4"/>
        <v>12082362.99</v>
      </c>
      <c r="K373" s="20">
        <v>1.257879E7</v>
      </c>
      <c r="L373" s="18">
        <f t="shared" si="5"/>
        <v>-3.946540213</v>
      </c>
    </row>
    <row r="374">
      <c r="A374" s="13" t="s">
        <v>408</v>
      </c>
      <c r="B374" s="13" t="s">
        <v>375</v>
      </c>
      <c r="C374" s="14" t="s">
        <v>376</v>
      </c>
      <c r="D374" s="15">
        <v>3220530.0</v>
      </c>
      <c r="E374" s="15">
        <v>3399820.0</v>
      </c>
      <c r="F374" s="15">
        <v>5756060.0</v>
      </c>
      <c r="G374" s="17">
        <f t="shared" si="1"/>
        <v>5.567096099</v>
      </c>
      <c r="H374" s="17">
        <f t="shared" si="2"/>
        <v>3589091.247</v>
      </c>
      <c r="I374" s="18">
        <f t="shared" si="3"/>
        <v>169.3048456</v>
      </c>
      <c r="J374" s="19">
        <f t="shared" si="4"/>
        <v>6076505.392</v>
      </c>
      <c r="K374" s="20">
        <v>6243950.0</v>
      </c>
      <c r="L374" s="18">
        <f t="shared" si="5"/>
        <v>-2.681709627</v>
      </c>
    </row>
    <row r="375">
      <c r="A375" s="13" t="s">
        <v>408</v>
      </c>
      <c r="B375" s="13" t="s">
        <v>377</v>
      </c>
      <c r="C375" s="14" t="s">
        <v>378</v>
      </c>
      <c r="D375" s="15">
        <v>1761260.0</v>
      </c>
      <c r="E375" s="15">
        <v>1891780.0</v>
      </c>
      <c r="F375" s="15">
        <v>3441880.0</v>
      </c>
      <c r="G375" s="17">
        <f t="shared" si="1"/>
        <v>7.410603772</v>
      </c>
      <c r="H375" s="17">
        <f t="shared" si="2"/>
        <v>2031972.32</v>
      </c>
      <c r="I375" s="18">
        <f t="shared" si="3"/>
        <v>181.9387032</v>
      </c>
      <c r="J375" s="19">
        <f t="shared" si="4"/>
        <v>3696944.089</v>
      </c>
      <c r="K375" s="20">
        <v>3757710.0</v>
      </c>
      <c r="L375" s="18">
        <f t="shared" si="5"/>
        <v>-1.617099534</v>
      </c>
    </row>
    <row r="376">
      <c r="A376" s="13" t="s">
        <v>409</v>
      </c>
      <c r="B376" s="13" t="s">
        <v>63</v>
      </c>
      <c r="C376" s="14" t="s">
        <v>66</v>
      </c>
      <c r="D376" s="15">
        <v>3.455117E7</v>
      </c>
      <c r="E376" s="15">
        <v>3.536874E7</v>
      </c>
      <c r="F376" s="15">
        <v>7.435672E7</v>
      </c>
      <c r="G376" s="17">
        <f t="shared" si="1"/>
        <v>2.366258509</v>
      </c>
      <c r="H376" s="17">
        <f t="shared" si="2"/>
        <v>36205655.82</v>
      </c>
      <c r="I376" s="18">
        <f t="shared" si="3"/>
        <v>210.232878</v>
      </c>
      <c r="J376" s="19">
        <f t="shared" si="4"/>
        <v>76116192.21</v>
      </c>
      <c r="K376" s="20">
        <v>8.516303E7</v>
      </c>
      <c r="L376" s="18">
        <f t="shared" si="5"/>
        <v>-10.62296373</v>
      </c>
    </row>
    <row r="377">
      <c r="A377" s="13" t="s">
        <v>409</v>
      </c>
      <c r="B377" s="13" t="s">
        <v>347</v>
      </c>
      <c r="C377" s="14" t="s">
        <v>348</v>
      </c>
      <c r="D377" s="15">
        <v>2.4817992E8</v>
      </c>
      <c r="E377" s="15">
        <v>2.6512606E8</v>
      </c>
      <c r="F377" s="15">
        <v>3.2911643E8</v>
      </c>
      <c r="G377" s="17">
        <f t="shared" si="1"/>
        <v>6.828167243</v>
      </c>
      <c r="H377" s="17">
        <f t="shared" si="2"/>
        <v>283229310.8</v>
      </c>
      <c r="I377" s="18">
        <f t="shared" si="3"/>
        <v>124.1358281</v>
      </c>
      <c r="J377" s="19">
        <f t="shared" si="4"/>
        <v>351589050.3</v>
      </c>
      <c r="K377" s="20">
        <v>3.0391548E8</v>
      </c>
      <c r="L377" s="18">
        <f t="shared" si="5"/>
        <v>15.68645673</v>
      </c>
    </row>
    <row r="378">
      <c r="A378" s="13" t="s">
        <v>409</v>
      </c>
      <c r="B378" s="13" t="s">
        <v>349</v>
      </c>
      <c r="C378" s="14" t="s">
        <v>350</v>
      </c>
      <c r="D378" s="15">
        <v>1.0436385E8</v>
      </c>
      <c r="E378" s="15">
        <v>1.045266E8</v>
      </c>
      <c r="F378" s="15">
        <v>1.5681417E8</v>
      </c>
      <c r="G378" s="17">
        <f t="shared" si="1"/>
        <v>0.1559448027</v>
      </c>
      <c r="H378" s="17">
        <f t="shared" si="2"/>
        <v>104689603.8</v>
      </c>
      <c r="I378" s="18">
        <f t="shared" si="3"/>
        <v>150.023219</v>
      </c>
      <c r="J378" s="19">
        <f t="shared" si="4"/>
        <v>157058713.5</v>
      </c>
      <c r="K378" s="20">
        <v>1.7891237E8</v>
      </c>
      <c r="L378" s="18">
        <f t="shared" si="5"/>
        <v>-12.21472638</v>
      </c>
    </row>
    <row r="379">
      <c r="A379" s="13" t="s">
        <v>409</v>
      </c>
      <c r="B379" s="13" t="s">
        <v>351</v>
      </c>
      <c r="C379" s="14" t="s">
        <v>352</v>
      </c>
      <c r="D379" s="15">
        <v>391370.0</v>
      </c>
      <c r="E379" s="15">
        <v>455590.0</v>
      </c>
      <c r="F379" s="15">
        <v>588780.0</v>
      </c>
      <c r="G379" s="17">
        <f t="shared" si="1"/>
        <v>16.40902471</v>
      </c>
      <c r="H379" s="17">
        <f t="shared" si="2"/>
        <v>530347.8757</v>
      </c>
      <c r="I379" s="18">
        <f t="shared" si="3"/>
        <v>129.2346188</v>
      </c>
      <c r="J379" s="19">
        <f t="shared" si="4"/>
        <v>685393.0557</v>
      </c>
      <c r="K379" s="20">
        <v>628080.0</v>
      </c>
      <c r="L379" s="18">
        <f t="shared" si="5"/>
        <v>9.125120315</v>
      </c>
    </row>
    <row r="380">
      <c r="A380" s="13" t="s">
        <v>409</v>
      </c>
      <c r="B380" s="13" t="s">
        <v>353</v>
      </c>
      <c r="C380" s="14" t="s">
        <v>354</v>
      </c>
      <c r="D380" s="15">
        <v>299260.0</v>
      </c>
      <c r="E380" s="15">
        <v>322450.0</v>
      </c>
      <c r="F380" s="15">
        <v>472080.0</v>
      </c>
      <c r="G380" s="17">
        <f t="shared" si="1"/>
        <v>7.749114482</v>
      </c>
      <c r="H380" s="17">
        <f t="shared" si="2"/>
        <v>347437.0196</v>
      </c>
      <c r="I380" s="18">
        <f t="shared" si="3"/>
        <v>146.4040937</v>
      </c>
      <c r="J380" s="19">
        <f t="shared" si="4"/>
        <v>508662.0196</v>
      </c>
      <c r="K380" s="20">
        <v>522679.99999999994</v>
      </c>
      <c r="L380" s="18">
        <f t="shared" si="5"/>
        <v>-2.68194313</v>
      </c>
    </row>
    <row r="381">
      <c r="A381" s="13" t="s">
        <v>409</v>
      </c>
      <c r="B381" s="13" t="s">
        <v>355</v>
      </c>
      <c r="C381" s="14" t="s">
        <v>356</v>
      </c>
      <c r="D381" s="15">
        <v>4.619019E7</v>
      </c>
      <c r="E381" s="15">
        <v>5.247179E7</v>
      </c>
      <c r="F381" s="15">
        <v>1.019742E8</v>
      </c>
      <c r="G381" s="17">
        <f t="shared" si="1"/>
        <v>13.59942447</v>
      </c>
      <c r="H381" s="17">
        <f t="shared" si="2"/>
        <v>59607651.45</v>
      </c>
      <c r="I381" s="18">
        <f t="shared" si="3"/>
        <v>194.3409973</v>
      </c>
      <c r="J381" s="19">
        <f t="shared" si="4"/>
        <v>115842104.3</v>
      </c>
      <c r="K381" s="20">
        <v>1.0295162E8</v>
      </c>
      <c r="L381" s="18">
        <f t="shared" si="5"/>
        <v>12.52091449</v>
      </c>
    </row>
    <row r="382">
      <c r="A382" s="13" t="s">
        <v>409</v>
      </c>
      <c r="B382" s="13" t="s">
        <v>357</v>
      </c>
      <c r="C382" s="14" t="s">
        <v>358</v>
      </c>
      <c r="D382" s="15">
        <v>3.219596E7</v>
      </c>
      <c r="E382" s="15">
        <v>3.495511E7</v>
      </c>
      <c r="F382" s="15">
        <v>5.929575E7</v>
      </c>
      <c r="G382" s="17">
        <f t="shared" si="1"/>
        <v>8.569864045</v>
      </c>
      <c r="H382" s="17">
        <f t="shared" si="2"/>
        <v>37950715.4</v>
      </c>
      <c r="I382" s="18">
        <f t="shared" si="3"/>
        <v>169.6339963</v>
      </c>
      <c r="J382" s="19">
        <f t="shared" si="4"/>
        <v>64377315.16</v>
      </c>
      <c r="K382" s="20">
        <v>6.775068E7</v>
      </c>
      <c r="L382" s="18">
        <f t="shared" si="5"/>
        <v>-4.979086321</v>
      </c>
    </row>
    <row r="383">
      <c r="A383" s="13" t="s">
        <v>409</v>
      </c>
      <c r="B383" s="13" t="s">
        <v>359</v>
      </c>
      <c r="C383" s="14" t="s">
        <v>360</v>
      </c>
      <c r="D383" s="15">
        <v>1.6742400000000002E7</v>
      </c>
      <c r="E383" s="15">
        <v>1.808473E7</v>
      </c>
      <c r="F383" s="15">
        <v>3.863011E7</v>
      </c>
      <c r="G383" s="17">
        <f t="shared" si="1"/>
        <v>8.017548261</v>
      </c>
      <c r="H383" s="17">
        <f t="shared" si="2"/>
        <v>19534681.96</v>
      </c>
      <c r="I383" s="18">
        <f t="shared" si="3"/>
        <v>213.6062302</v>
      </c>
      <c r="J383" s="19">
        <f t="shared" si="4"/>
        <v>41727297.71</v>
      </c>
      <c r="K383" s="20">
        <v>4.203753E7</v>
      </c>
      <c r="L383" s="18">
        <f t="shared" si="5"/>
        <v>-0.737988858</v>
      </c>
    </row>
    <row r="384">
      <c r="A384" s="13" t="s">
        <v>409</v>
      </c>
      <c r="B384" s="13" t="s">
        <v>361</v>
      </c>
      <c r="C384" s="14" t="s">
        <v>362</v>
      </c>
      <c r="D384" s="15">
        <v>4924090.0</v>
      </c>
      <c r="E384" s="15">
        <v>5498480.0</v>
      </c>
      <c r="F384" s="15">
        <v>9627660.0</v>
      </c>
      <c r="G384" s="17">
        <f t="shared" si="1"/>
        <v>11.66489646</v>
      </c>
      <c r="H384" s="17">
        <f t="shared" si="2"/>
        <v>6139871.999</v>
      </c>
      <c r="I384" s="18">
        <f t="shared" si="3"/>
        <v>175.096754</v>
      </c>
      <c r="J384" s="19">
        <f t="shared" si="4"/>
        <v>10750716.57</v>
      </c>
      <c r="K384" s="20">
        <v>1.113732E7</v>
      </c>
      <c r="L384" s="18">
        <f t="shared" si="5"/>
        <v>-3.471242899</v>
      </c>
    </row>
    <row r="385">
      <c r="A385" s="13" t="s">
        <v>409</v>
      </c>
      <c r="B385" s="13" t="s">
        <v>363</v>
      </c>
      <c r="C385" s="14" t="s">
        <v>364</v>
      </c>
      <c r="D385" s="15">
        <v>1.034822E7</v>
      </c>
      <c r="E385" s="15">
        <v>1.11589E7</v>
      </c>
      <c r="F385" s="15">
        <v>1.294084E7</v>
      </c>
      <c r="G385" s="17">
        <f t="shared" si="1"/>
        <v>7.834004302</v>
      </c>
      <c r="H385" s="17">
        <f t="shared" si="2"/>
        <v>12033088.71</v>
      </c>
      <c r="I385" s="18">
        <f t="shared" si="3"/>
        <v>115.9687783</v>
      </c>
      <c r="J385" s="19">
        <f t="shared" si="4"/>
        <v>13954625.96</v>
      </c>
      <c r="K385" s="20">
        <v>1.431984E7</v>
      </c>
      <c r="L385" s="18">
        <f t="shared" si="5"/>
        <v>-2.550405854</v>
      </c>
    </row>
    <row r="386">
      <c r="A386" s="13" t="s">
        <v>409</v>
      </c>
      <c r="B386" s="13" t="s">
        <v>365</v>
      </c>
      <c r="C386" s="14" t="s">
        <v>366</v>
      </c>
      <c r="D386" s="15">
        <v>8951760.0</v>
      </c>
      <c r="E386" s="15">
        <v>9551740.0</v>
      </c>
      <c r="F386" s="15">
        <v>1.6613490000000002E7</v>
      </c>
      <c r="G386" s="17">
        <f t="shared" si="1"/>
        <v>6.702369143</v>
      </c>
      <c r="H386" s="17">
        <f t="shared" si="2"/>
        <v>10191932.87</v>
      </c>
      <c r="I386" s="18">
        <f t="shared" si="3"/>
        <v>173.9315559</v>
      </c>
      <c r="J386" s="19">
        <f t="shared" si="4"/>
        <v>17726987.43</v>
      </c>
      <c r="K386" s="20">
        <v>1.66725E7</v>
      </c>
      <c r="L386" s="18">
        <f t="shared" si="5"/>
        <v>6.324710915</v>
      </c>
    </row>
    <row r="387">
      <c r="A387" s="13" t="s">
        <v>409</v>
      </c>
      <c r="B387" s="13" t="s">
        <v>367</v>
      </c>
      <c r="C387" s="14" t="s">
        <v>368</v>
      </c>
      <c r="D387" s="15">
        <v>4590820.0</v>
      </c>
      <c r="E387" s="15">
        <v>4860550.0</v>
      </c>
      <c r="F387" s="15">
        <v>6978220.0</v>
      </c>
      <c r="G387" s="17">
        <f t="shared" si="1"/>
        <v>5.875420949</v>
      </c>
      <c r="H387" s="17">
        <f t="shared" si="2"/>
        <v>5146127.773</v>
      </c>
      <c r="I387" s="18">
        <f t="shared" si="3"/>
        <v>143.5685262</v>
      </c>
      <c r="J387" s="19">
        <f t="shared" si="4"/>
        <v>7388219.8</v>
      </c>
      <c r="K387" s="20">
        <v>7699720.0</v>
      </c>
      <c r="L387" s="18">
        <f t="shared" si="5"/>
        <v>-4.045604259</v>
      </c>
    </row>
    <row r="388">
      <c r="A388" s="13" t="s">
        <v>409</v>
      </c>
      <c r="B388" s="13" t="s">
        <v>369</v>
      </c>
      <c r="C388" s="14" t="s">
        <v>370</v>
      </c>
      <c r="D388" s="15">
        <v>1024140.0000000001</v>
      </c>
      <c r="E388" s="15">
        <v>1101540.0</v>
      </c>
      <c r="F388" s="15">
        <v>1888740.0</v>
      </c>
      <c r="G388" s="17">
        <f t="shared" si="1"/>
        <v>7.55756049</v>
      </c>
      <c r="H388" s="17">
        <f t="shared" si="2"/>
        <v>1184789.552</v>
      </c>
      <c r="I388" s="18">
        <f t="shared" si="3"/>
        <v>171.4635873</v>
      </c>
      <c r="J388" s="19">
        <f t="shared" si="4"/>
        <v>2031482.668</v>
      </c>
      <c r="K388" s="20">
        <v>2147860.0</v>
      </c>
      <c r="L388" s="18">
        <f t="shared" si="5"/>
        <v>-5.418292254</v>
      </c>
    </row>
    <row r="389">
      <c r="A389" s="13" t="s">
        <v>409</v>
      </c>
      <c r="B389" s="13" t="s">
        <v>371</v>
      </c>
      <c r="C389" s="14" t="s">
        <v>372</v>
      </c>
      <c r="D389" s="15">
        <v>9425890.0</v>
      </c>
      <c r="E389" s="15">
        <v>1.092484E7</v>
      </c>
      <c r="F389" s="15">
        <v>1.887775E7</v>
      </c>
      <c r="G389" s="17">
        <f t="shared" si="1"/>
        <v>15.90247711</v>
      </c>
      <c r="H389" s="17">
        <f t="shared" si="2"/>
        <v>12662160.18</v>
      </c>
      <c r="I389" s="18">
        <f t="shared" si="3"/>
        <v>172.796581</v>
      </c>
      <c r="J389" s="19">
        <f t="shared" si="4"/>
        <v>21879779.87</v>
      </c>
      <c r="K389" s="20">
        <v>2.135603E7</v>
      </c>
      <c r="L389" s="18">
        <f t="shared" si="5"/>
        <v>2.452468335</v>
      </c>
    </row>
    <row r="390">
      <c r="A390" s="13" t="s">
        <v>409</v>
      </c>
      <c r="B390" s="13" t="s">
        <v>373</v>
      </c>
      <c r="C390" s="14" t="s">
        <v>374</v>
      </c>
      <c r="D390" s="15">
        <v>8051040.0</v>
      </c>
      <c r="E390" s="15">
        <v>8482450.0</v>
      </c>
      <c r="F390" s="15">
        <v>1.553785E7</v>
      </c>
      <c r="G390" s="17">
        <f t="shared" si="1"/>
        <v>5.358438165</v>
      </c>
      <c r="H390" s="17">
        <f t="shared" si="2"/>
        <v>8936976.838</v>
      </c>
      <c r="I390" s="18">
        <f t="shared" si="3"/>
        <v>183.1764408</v>
      </c>
      <c r="J390" s="19">
        <f t="shared" si="4"/>
        <v>16370436.08</v>
      </c>
      <c r="K390" s="20">
        <v>1.72455E7</v>
      </c>
      <c r="L390" s="18">
        <f t="shared" si="5"/>
        <v>-5.074157987</v>
      </c>
    </row>
    <row r="391">
      <c r="A391" s="13" t="s">
        <v>409</v>
      </c>
      <c r="B391" s="13" t="s">
        <v>375</v>
      </c>
      <c r="C391" s="14" t="s">
        <v>376</v>
      </c>
      <c r="D391" s="15">
        <v>4321490.0</v>
      </c>
      <c r="E391" s="15">
        <v>4535650.0</v>
      </c>
      <c r="F391" s="15">
        <v>7865590.0</v>
      </c>
      <c r="G391" s="17">
        <f t="shared" si="1"/>
        <v>4.95569815</v>
      </c>
      <c r="H391" s="17">
        <f t="shared" si="2"/>
        <v>4760423.123</v>
      </c>
      <c r="I391" s="18">
        <f t="shared" si="3"/>
        <v>173.4170406</v>
      </c>
      <c r="J391" s="19">
        <f t="shared" si="4"/>
        <v>8255384.898</v>
      </c>
      <c r="K391" s="20">
        <v>8942540.0</v>
      </c>
      <c r="L391" s="18">
        <f t="shared" si="5"/>
        <v>-7.684115496</v>
      </c>
    </row>
    <row r="392">
      <c r="A392" s="13" t="s">
        <v>409</v>
      </c>
      <c r="B392" s="13" t="s">
        <v>377</v>
      </c>
      <c r="C392" s="14" t="s">
        <v>378</v>
      </c>
      <c r="D392" s="15">
        <v>3078440.0</v>
      </c>
      <c r="E392" s="15">
        <v>3398770.0</v>
      </c>
      <c r="F392" s="15">
        <v>6615320.0</v>
      </c>
      <c r="G392" s="17">
        <f t="shared" si="1"/>
        <v>10.40559504</v>
      </c>
      <c r="H392" s="17">
        <f t="shared" si="2"/>
        <v>3752432.243</v>
      </c>
      <c r="I392" s="18">
        <f t="shared" si="3"/>
        <v>194.6386487</v>
      </c>
      <c r="J392" s="19">
        <f t="shared" si="4"/>
        <v>7303683.41</v>
      </c>
      <c r="K392" s="20">
        <v>7669760.0</v>
      </c>
      <c r="L392" s="18">
        <f t="shared" si="5"/>
        <v>-4.772986248</v>
      </c>
    </row>
    <row r="393">
      <c r="A393" s="13" t="s">
        <v>410</v>
      </c>
      <c r="B393" s="13" t="s">
        <v>63</v>
      </c>
      <c r="C393" s="14" t="s">
        <v>66</v>
      </c>
      <c r="D393" s="15">
        <v>1.222993E7</v>
      </c>
      <c r="E393" s="15">
        <v>1.244424E7</v>
      </c>
      <c r="F393" s="15">
        <v>2.16988E7</v>
      </c>
      <c r="G393" s="17">
        <f t="shared" si="1"/>
        <v>1.752340365</v>
      </c>
      <c r="H393" s="17">
        <f t="shared" si="2"/>
        <v>12662305.44</v>
      </c>
      <c r="I393" s="18">
        <f t="shared" si="3"/>
        <v>174.3682218</v>
      </c>
      <c r="J393" s="19">
        <f t="shared" si="4"/>
        <v>22079036.83</v>
      </c>
      <c r="K393" s="20">
        <v>2.320775E7</v>
      </c>
      <c r="L393" s="18">
        <f t="shared" si="5"/>
        <v>-4.863518303</v>
      </c>
    </row>
    <row r="394">
      <c r="A394" s="13" t="s">
        <v>410</v>
      </c>
      <c r="B394" s="13" t="s">
        <v>347</v>
      </c>
      <c r="C394" s="14" t="s">
        <v>348</v>
      </c>
      <c r="D394" s="15">
        <v>1.856142E7</v>
      </c>
      <c r="E394" s="15">
        <v>1.861377E7</v>
      </c>
      <c r="F394" s="15">
        <v>4.216399E7</v>
      </c>
      <c r="G394" s="17">
        <f t="shared" si="1"/>
        <v>0.2820366114</v>
      </c>
      <c r="H394" s="17">
        <f t="shared" si="2"/>
        <v>18666267.65</v>
      </c>
      <c r="I394" s="18">
        <f t="shared" si="3"/>
        <v>226.5204201</v>
      </c>
      <c r="J394" s="19">
        <f t="shared" si="4"/>
        <v>42282907.89</v>
      </c>
      <c r="K394" s="20">
        <v>4.187308E7</v>
      </c>
      <c r="L394" s="18">
        <f t="shared" si="5"/>
        <v>0.9787383413</v>
      </c>
    </row>
    <row r="395">
      <c r="A395" s="13" t="s">
        <v>410</v>
      </c>
      <c r="B395" s="13" t="s">
        <v>349</v>
      </c>
      <c r="C395" s="14" t="s">
        <v>350</v>
      </c>
      <c r="D395" s="15">
        <v>5879470.0</v>
      </c>
      <c r="E395" s="15">
        <v>6188510.0</v>
      </c>
      <c r="F395" s="15">
        <v>1.215316E7</v>
      </c>
      <c r="G395" s="17">
        <f t="shared" si="1"/>
        <v>5.256256091</v>
      </c>
      <c r="H395" s="17">
        <f t="shared" si="2"/>
        <v>6513793.934</v>
      </c>
      <c r="I395" s="18">
        <f t="shared" si="3"/>
        <v>196.3826511</v>
      </c>
      <c r="J395" s="19">
        <f t="shared" si="4"/>
        <v>12791961.21</v>
      </c>
      <c r="K395" s="20">
        <v>1.365726E7</v>
      </c>
      <c r="L395" s="18">
        <f t="shared" si="5"/>
        <v>-6.335815436</v>
      </c>
    </row>
    <row r="396">
      <c r="A396" s="13" t="s">
        <v>410</v>
      </c>
      <c r="B396" s="13" t="s">
        <v>351</v>
      </c>
      <c r="C396" s="14" t="s">
        <v>352</v>
      </c>
      <c r="D396" s="15">
        <v>59440.0</v>
      </c>
      <c r="E396" s="15">
        <v>59450.0</v>
      </c>
      <c r="F396" s="15">
        <v>86580.0</v>
      </c>
      <c r="G396" s="17">
        <f t="shared" si="1"/>
        <v>0.01682368775</v>
      </c>
      <c r="H396" s="17">
        <f t="shared" si="2"/>
        <v>59460.00168</v>
      </c>
      <c r="I396" s="18">
        <f t="shared" si="3"/>
        <v>145.6349874</v>
      </c>
      <c r="J396" s="19">
        <f t="shared" si="4"/>
        <v>86594.56595</v>
      </c>
      <c r="K396" s="20">
        <v>90940.0</v>
      </c>
      <c r="L396" s="18">
        <f t="shared" si="5"/>
        <v>-4.778352816</v>
      </c>
    </row>
    <row r="397">
      <c r="A397" s="13" t="s">
        <v>410</v>
      </c>
      <c r="B397" s="13" t="s">
        <v>353</v>
      </c>
      <c r="C397" s="14" t="s">
        <v>354</v>
      </c>
      <c r="D397" s="15">
        <v>48700.0</v>
      </c>
      <c r="E397" s="15">
        <v>52280.0</v>
      </c>
      <c r="F397" s="15">
        <v>86230.0</v>
      </c>
      <c r="G397" s="17">
        <f t="shared" si="1"/>
        <v>7.351129363</v>
      </c>
      <c r="H397" s="17">
        <f t="shared" si="2"/>
        <v>56123.17043</v>
      </c>
      <c r="I397" s="18">
        <f t="shared" si="3"/>
        <v>164.9387911</v>
      </c>
      <c r="J397" s="19">
        <f t="shared" si="4"/>
        <v>92568.87885</v>
      </c>
      <c r="K397" s="20">
        <v>89610.0</v>
      </c>
      <c r="L397" s="18">
        <f t="shared" si="5"/>
        <v>3.301951624</v>
      </c>
    </row>
    <row r="398">
      <c r="A398" s="13" t="s">
        <v>410</v>
      </c>
      <c r="B398" s="13" t="s">
        <v>355</v>
      </c>
      <c r="C398" s="14" t="s">
        <v>356</v>
      </c>
      <c r="D398" s="15">
        <v>8351570.0</v>
      </c>
      <c r="E398" s="15">
        <v>9349770.0</v>
      </c>
      <c r="F398" s="15">
        <v>1.899399E7</v>
      </c>
      <c r="G398" s="17">
        <f t="shared" si="1"/>
        <v>11.95224371</v>
      </c>
      <c r="H398" s="17">
        <f t="shared" si="2"/>
        <v>10467277.3</v>
      </c>
      <c r="I398" s="18">
        <f t="shared" si="3"/>
        <v>203.1492753</v>
      </c>
      <c r="J398" s="19">
        <f t="shared" si="4"/>
        <v>21264197.98</v>
      </c>
      <c r="K398" s="20">
        <v>2.137838E7</v>
      </c>
      <c r="L398" s="18">
        <f t="shared" si="5"/>
        <v>-0.5341004556</v>
      </c>
    </row>
    <row r="399">
      <c r="A399" s="13" t="s">
        <v>410</v>
      </c>
      <c r="B399" s="13" t="s">
        <v>357</v>
      </c>
      <c r="C399" s="14" t="s">
        <v>358</v>
      </c>
      <c r="D399" s="15">
        <v>8453700.0</v>
      </c>
      <c r="E399" s="15">
        <v>9288150.0</v>
      </c>
      <c r="F399" s="15">
        <v>1.907498E7</v>
      </c>
      <c r="G399" s="17">
        <f t="shared" si="1"/>
        <v>9.870825792</v>
      </c>
      <c r="H399" s="17">
        <f t="shared" si="2"/>
        <v>10204967.11</v>
      </c>
      <c r="I399" s="18">
        <f t="shared" si="3"/>
        <v>205.3689917</v>
      </c>
      <c r="J399" s="19">
        <f t="shared" si="4"/>
        <v>20957838.05</v>
      </c>
      <c r="K399" s="20">
        <v>2.141934E7</v>
      </c>
      <c r="L399" s="18">
        <f t="shared" si="5"/>
        <v>-2.15460399</v>
      </c>
    </row>
    <row r="400">
      <c r="A400" s="13" t="s">
        <v>410</v>
      </c>
      <c r="B400" s="13" t="s">
        <v>359</v>
      </c>
      <c r="C400" s="14" t="s">
        <v>360</v>
      </c>
      <c r="D400" s="15">
        <v>4457130.0</v>
      </c>
      <c r="E400" s="15">
        <v>4702900.0</v>
      </c>
      <c r="F400" s="15">
        <v>1.10663E7</v>
      </c>
      <c r="G400" s="17">
        <f t="shared" si="1"/>
        <v>5.514086419</v>
      </c>
      <c r="H400" s="17">
        <f t="shared" si="2"/>
        <v>4962221.97</v>
      </c>
      <c r="I400" s="18">
        <f t="shared" si="3"/>
        <v>235.3080014</v>
      </c>
      <c r="J400" s="19">
        <f t="shared" si="4"/>
        <v>11676505.35</v>
      </c>
      <c r="K400" s="20">
        <v>1.161912E7</v>
      </c>
      <c r="L400" s="18">
        <f t="shared" si="5"/>
        <v>0.4938871908</v>
      </c>
    </row>
    <row r="401">
      <c r="A401" s="13" t="s">
        <v>410</v>
      </c>
      <c r="B401" s="13" t="s">
        <v>361</v>
      </c>
      <c r="C401" s="14" t="s">
        <v>362</v>
      </c>
      <c r="D401" s="15">
        <v>1059040.0</v>
      </c>
      <c r="E401" s="15">
        <v>1178750.0</v>
      </c>
      <c r="F401" s="15">
        <v>2432420.0</v>
      </c>
      <c r="G401" s="17">
        <f t="shared" si="1"/>
        <v>11.30363348</v>
      </c>
      <c r="H401" s="17">
        <f t="shared" si="2"/>
        <v>1311991.58</v>
      </c>
      <c r="I401" s="18">
        <f t="shared" si="3"/>
        <v>206.3558855</v>
      </c>
      <c r="J401" s="19">
        <f t="shared" si="4"/>
        <v>2707371.841</v>
      </c>
      <c r="K401" s="20">
        <v>2769150.0</v>
      </c>
      <c r="L401" s="18">
        <f t="shared" si="5"/>
        <v>-2.230943016</v>
      </c>
    </row>
    <row r="402">
      <c r="A402" s="13" t="s">
        <v>410</v>
      </c>
      <c r="B402" s="13" t="s">
        <v>363</v>
      </c>
      <c r="C402" s="14" t="s">
        <v>364</v>
      </c>
      <c r="D402" s="15">
        <v>2414320.0</v>
      </c>
      <c r="E402" s="15">
        <v>2538040.0</v>
      </c>
      <c r="F402" s="15">
        <v>3856500.0</v>
      </c>
      <c r="G402" s="17">
        <f t="shared" si="1"/>
        <v>5.124424269</v>
      </c>
      <c r="H402" s="17">
        <f t="shared" si="2"/>
        <v>2668099.938</v>
      </c>
      <c r="I402" s="18">
        <f t="shared" si="3"/>
        <v>151.9479598</v>
      </c>
      <c r="J402" s="19">
        <f t="shared" si="4"/>
        <v>4054123.422</v>
      </c>
      <c r="K402" s="20">
        <v>4097319.9999999995</v>
      </c>
      <c r="L402" s="18">
        <f t="shared" si="5"/>
        <v>-1.054264204</v>
      </c>
    </row>
    <row r="403">
      <c r="A403" s="13" t="s">
        <v>410</v>
      </c>
      <c r="B403" s="13" t="s">
        <v>365</v>
      </c>
      <c r="C403" s="14" t="s">
        <v>366</v>
      </c>
      <c r="D403" s="15">
        <v>915360.0</v>
      </c>
      <c r="E403" s="15">
        <v>974000.0</v>
      </c>
      <c r="F403" s="15">
        <v>1731170.0</v>
      </c>
      <c r="G403" s="17">
        <f t="shared" si="1"/>
        <v>6.406222688</v>
      </c>
      <c r="H403" s="17">
        <f t="shared" si="2"/>
        <v>1036396.609</v>
      </c>
      <c r="I403" s="18">
        <f t="shared" si="3"/>
        <v>177.738193</v>
      </c>
      <c r="J403" s="19">
        <f t="shared" si="4"/>
        <v>1842072.605</v>
      </c>
      <c r="K403" s="20">
        <v>1820110.0</v>
      </c>
      <c r="L403" s="18">
        <f t="shared" si="5"/>
        <v>1.206663625</v>
      </c>
    </row>
    <row r="404">
      <c r="A404" s="13" t="s">
        <v>410</v>
      </c>
      <c r="B404" s="13" t="s">
        <v>367</v>
      </c>
      <c r="C404" s="14" t="s">
        <v>368</v>
      </c>
      <c r="D404" s="15">
        <v>637720.0</v>
      </c>
      <c r="E404" s="15">
        <v>666000.0</v>
      </c>
      <c r="F404" s="15">
        <v>958550.0</v>
      </c>
      <c r="G404" s="17">
        <f t="shared" si="1"/>
        <v>4.434548078</v>
      </c>
      <c r="H404" s="17">
        <f t="shared" si="2"/>
        <v>695534.0902</v>
      </c>
      <c r="I404" s="18">
        <f t="shared" si="3"/>
        <v>143.9264264</v>
      </c>
      <c r="J404" s="19">
        <f t="shared" si="4"/>
        <v>1001057.361</v>
      </c>
      <c r="K404" s="20">
        <v>1031380.0000000001</v>
      </c>
      <c r="L404" s="18">
        <f t="shared" si="5"/>
        <v>-2.940006535</v>
      </c>
    </row>
    <row r="405">
      <c r="A405" s="13" t="s">
        <v>410</v>
      </c>
      <c r="B405" s="13" t="s">
        <v>369</v>
      </c>
      <c r="C405" s="14" t="s">
        <v>370</v>
      </c>
      <c r="D405" s="15">
        <v>164130.0</v>
      </c>
      <c r="E405" s="15">
        <v>169250.0</v>
      </c>
      <c r="F405" s="15">
        <v>296490.0</v>
      </c>
      <c r="G405" s="17">
        <f t="shared" si="1"/>
        <v>3.119478462</v>
      </c>
      <c r="H405" s="17">
        <f t="shared" si="2"/>
        <v>174529.7173</v>
      </c>
      <c r="I405" s="18">
        <f t="shared" si="3"/>
        <v>175.1787297</v>
      </c>
      <c r="J405" s="19">
        <f t="shared" si="4"/>
        <v>305738.9417</v>
      </c>
      <c r="K405" s="20">
        <v>310970.0</v>
      </c>
      <c r="L405" s="18">
        <f t="shared" si="5"/>
        <v>-1.682174585</v>
      </c>
    </row>
    <row r="406">
      <c r="A406" s="13" t="s">
        <v>410</v>
      </c>
      <c r="B406" s="13" t="s">
        <v>371</v>
      </c>
      <c r="C406" s="14" t="s">
        <v>372</v>
      </c>
      <c r="D406" s="15">
        <v>3370890.0</v>
      </c>
      <c r="E406" s="15">
        <v>3518100.0</v>
      </c>
      <c r="F406" s="15">
        <v>6238970.0</v>
      </c>
      <c r="G406" s="17">
        <f t="shared" si="1"/>
        <v>4.36709593</v>
      </c>
      <c r="H406" s="17">
        <f t="shared" si="2"/>
        <v>3671738.802</v>
      </c>
      <c r="I406" s="18">
        <f t="shared" si="3"/>
        <v>177.3391888</v>
      </c>
      <c r="J406" s="19">
        <f t="shared" si="4"/>
        <v>6511431.805</v>
      </c>
      <c r="K406" s="20">
        <v>6202260.0</v>
      </c>
      <c r="L406" s="18">
        <f t="shared" si="5"/>
        <v>4.984824966</v>
      </c>
    </row>
    <row r="407">
      <c r="A407" s="13" t="s">
        <v>410</v>
      </c>
      <c r="B407" s="13" t="s">
        <v>373</v>
      </c>
      <c r="C407" s="14" t="s">
        <v>374</v>
      </c>
      <c r="D407" s="15">
        <v>1875540.0</v>
      </c>
      <c r="E407" s="15">
        <v>1977960.0</v>
      </c>
      <c r="F407" s="15">
        <v>3625620.0</v>
      </c>
      <c r="G407" s="17">
        <f t="shared" si="1"/>
        <v>5.460827282</v>
      </c>
      <c r="H407" s="17">
        <f t="shared" si="2"/>
        <v>2085972.979</v>
      </c>
      <c r="I407" s="18">
        <f t="shared" si="3"/>
        <v>183.3009768</v>
      </c>
      <c r="J407" s="19">
        <f t="shared" si="4"/>
        <v>3823608.846</v>
      </c>
      <c r="K407" s="20">
        <v>3755860.0</v>
      </c>
      <c r="L407" s="18">
        <f t="shared" si="5"/>
        <v>1.803817131</v>
      </c>
    </row>
    <row r="408">
      <c r="A408" s="13" t="s">
        <v>410</v>
      </c>
      <c r="B408" s="13" t="s">
        <v>375</v>
      </c>
      <c r="C408" s="14" t="s">
        <v>376</v>
      </c>
      <c r="D408" s="15">
        <v>848770.0</v>
      </c>
      <c r="E408" s="15">
        <v>874510.0</v>
      </c>
      <c r="F408" s="15">
        <v>1443200.0</v>
      </c>
      <c r="G408" s="17">
        <f t="shared" si="1"/>
        <v>3.032623679</v>
      </c>
      <c r="H408" s="17">
        <f t="shared" si="2"/>
        <v>901030.5973</v>
      </c>
      <c r="I408" s="18">
        <f t="shared" si="3"/>
        <v>165.0295594</v>
      </c>
      <c r="J408" s="19">
        <f t="shared" si="4"/>
        <v>1486966.825</v>
      </c>
      <c r="K408" s="20">
        <v>1534520.0</v>
      </c>
      <c r="L408" s="18">
        <f t="shared" si="5"/>
        <v>-3.09889575</v>
      </c>
    </row>
    <row r="409">
      <c r="A409" s="13" t="s">
        <v>410</v>
      </c>
      <c r="B409" s="13" t="s">
        <v>377</v>
      </c>
      <c r="C409" s="14" t="s">
        <v>378</v>
      </c>
      <c r="D409" s="15">
        <v>504390.0</v>
      </c>
      <c r="E409" s="15">
        <v>538720.0</v>
      </c>
      <c r="F409" s="15">
        <v>1069750.0</v>
      </c>
      <c r="G409" s="17">
        <f t="shared" si="1"/>
        <v>6.806241202</v>
      </c>
      <c r="H409" s="17">
        <f t="shared" si="2"/>
        <v>575386.5826</v>
      </c>
      <c r="I409" s="18">
        <f t="shared" si="3"/>
        <v>198.5725423</v>
      </c>
      <c r="J409" s="19">
        <f t="shared" si="4"/>
        <v>1142559.765</v>
      </c>
      <c r="K409" s="20">
        <v>1168690.0</v>
      </c>
      <c r="L409" s="18">
        <f t="shared" si="5"/>
        <v>-2.235856792</v>
      </c>
    </row>
    <row r="410">
      <c r="A410" s="13" t="s">
        <v>411</v>
      </c>
      <c r="B410" s="13" t="s">
        <v>63</v>
      </c>
      <c r="C410" s="14" t="s">
        <v>66</v>
      </c>
      <c r="D410" s="15">
        <v>2.003633E7</v>
      </c>
      <c r="E410" s="15">
        <v>2.111398E7</v>
      </c>
      <c r="F410" s="15">
        <v>3.858304E7</v>
      </c>
      <c r="G410" s="17">
        <f t="shared" si="1"/>
        <v>5.378479991</v>
      </c>
      <c r="H410" s="17">
        <f t="shared" si="2"/>
        <v>22249591.19</v>
      </c>
      <c r="I410" s="18">
        <f t="shared" si="3"/>
        <v>182.7369354</v>
      </c>
      <c r="J410" s="19">
        <f t="shared" si="4"/>
        <v>40658221.09</v>
      </c>
      <c r="K410" s="20">
        <v>4.254195E7</v>
      </c>
      <c r="L410" s="18">
        <f t="shared" si="5"/>
        <v>-4.427932696</v>
      </c>
    </row>
    <row r="411">
      <c r="A411" s="13" t="s">
        <v>411</v>
      </c>
      <c r="B411" s="13" t="s">
        <v>347</v>
      </c>
      <c r="C411" s="14" t="s">
        <v>348</v>
      </c>
      <c r="D411" s="15">
        <v>4908460.0</v>
      </c>
      <c r="E411" s="15">
        <v>5043440.0</v>
      </c>
      <c r="F411" s="15">
        <v>9177920.0</v>
      </c>
      <c r="G411" s="17">
        <f t="shared" si="1"/>
        <v>2.749946012</v>
      </c>
      <c r="H411" s="17">
        <f t="shared" si="2"/>
        <v>5182131.877</v>
      </c>
      <c r="I411" s="18">
        <f t="shared" si="3"/>
        <v>181.9773805</v>
      </c>
      <c r="J411" s="19">
        <f t="shared" si="4"/>
        <v>9430307.845</v>
      </c>
      <c r="K411" s="20">
        <v>1.003197E7</v>
      </c>
      <c r="L411" s="18">
        <f t="shared" si="5"/>
        <v>-5.99744771</v>
      </c>
    </row>
    <row r="412">
      <c r="A412" s="13" t="s">
        <v>411</v>
      </c>
      <c r="B412" s="13" t="s">
        <v>349</v>
      </c>
      <c r="C412" s="14" t="s">
        <v>350</v>
      </c>
      <c r="D412" s="15">
        <v>1.09485E7</v>
      </c>
      <c r="E412" s="15">
        <v>1.141076E7</v>
      </c>
      <c r="F412" s="15">
        <v>1.989049E7</v>
      </c>
      <c r="G412" s="17">
        <f t="shared" si="1"/>
        <v>4.222130886</v>
      </c>
      <c r="H412" s="17">
        <f t="shared" si="2"/>
        <v>11892537.22</v>
      </c>
      <c r="I412" s="18">
        <f t="shared" si="3"/>
        <v>174.313455</v>
      </c>
      <c r="J412" s="19">
        <f t="shared" si="4"/>
        <v>20730292.52</v>
      </c>
      <c r="K412" s="20">
        <v>2.278552E7</v>
      </c>
      <c r="L412" s="18">
        <f t="shared" si="5"/>
        <v>-9.019884025</v>
      </c>
    </row>
    <row r="413">
      <c r="A413" s="13" t="s">
        <v>411</v>
      </c>
      <c r="B413" s="13" t="s">
        <v>351</v>
      </c>
      <c r="C413" s="14" t="s">
        <v>352</v>
      </c>
      <c r="D413" s="15">
        <v>148440.0</v>
      </c>
      <c r="E413" s="15">
        <v>155950.0</v>
      </c>
      <c r="F413" s="15">
        <v>187160.0</v>
      </c>
      <c r="G413" s="17">
        <f t="shared" si="1"/>
        <v>5.059283212</v>
      </c>
      <c r="H413" s="17">
        <f t="shared" si="2"/>
        <v>163839.9522</v>
      </c>
      <c r="I413" s="18">
        <f t="shared" si="3"/>
        <v>120.0128246</v>
      </c>
      <c r="J413" s="19">
        <f t="shared" si="4"/>
        <v>196628.9545</v>
      </c>
      <c r="K413" s="20">
        <v>199480.0</v>
      </c>
      <c r="L413" s="18">
        <f t="shared" si="5"/>
        <v>-1.429238791</v>
      </c>
    </row>
    <row r="414">
      <c r="A414" s="13" t="s">
        <v>411</v>
      </c>
      <c r="B414" s="13" t="s">
        <v>353</v>
      </c>
      <c r="C414" s="14" t="s">
        <v>354</v>
      </c>
      <c r="D414" s="15">
        <v>116970.0</v>
      </c>
      <c r="E414" s="15">
        <v>116690.0</v>
      </c>
      <c r="F414" s="15">
        <v>179560.0</v>
      </c>
      <c r="G414" s="17">
        <f t="shared" si="1"/>
        <v>-0.2393776182</v>
      </c>
      <c r="H414" s="17">
        <f t="shared" si="2"/>
        <v>116410.6703</v>
      </c>
      <c r="I414" s="18">
        <f t="shared" si="3"/>
        <v>153.8777959</v>
      </c>
      <c r="J414" s="19">
        <f t="shared" si="4"/>
        <v>179130.1735</v>
      </c>
      <c r="K414" s="20">
        <v>199500.0</v>
      </c>
      <c r="L414" s="18">
        <f t="shared" si="5"/>
        <v>-10.21043932</v>
      </c>
    </row>
    <row r="415">
      <c r="A415" s="13" t="s">
        <v>411</v>
      </c>
      <c r="B415" s="13" t="s">
        <v>355</v>
      </c>
      <c r="C415" s="14" t="s">
        <v>356</v>
      </c>
      <c r="D415" s="15">
        <v>1.341385E7</v>
      </c>
      <c r="E415" s="15">
        <v>1.381229E7</v>
      </c>
      <c r="F415" s="15">
        <v>2.005193E7</v>
      </c>
      <c r="G415" s="17">
        <f t="shared" si="1"/>
        <v>2.970362722</v>
      </c>
      <c r="H415" s="17">
        <f t="shared" si="2"/>
        <v>14222565.11</v>
      </c>
      <c r="I415" s="18">
        <f t="shared" si="3"/>
        <v>145.1745511</v>
      </c>
      <c r="J415" s="19">
        <f t="shared" si="4"/>
        <v>20647545.05</v>
      </c>
      <c r="K415" s="20">
        <v>2.079998E7</v>
      </c>
      <c r="L415" s="18">
        <f t="shared" si="5"/>
        <v>-0.732861023</v>
      </c>
    </row>
    <row r="416">
      <c r="A416" s="13" t="s">
        <v>411</v>
      </c>
      <c r="B416" s="13" t="s">
        <v>357</v>
      </c>
      <c r="C416" s="14" t="s">
        <v>358</v>
      </c>
      <c r="D416" s="15">
        <v>1.356749E7</v>
      </c>
      <c r="E416" s="15">
        <v>1.434876E7</v>
      </c>
      <c r="F416" s="15">
        <v>2.555336E7</v>
      </c>
      <c r="G416" s="17">
        <f t="shared" si="1"/>
        <v>5.758397463</v>
      </c>
      <c r="H416" s="17">
        <f t="shared" si="2"/>
        <v>15175018.63</v>
      </c>
      <c r="I416" s="18">
        <f t="shared" si="3"/>
        <v>178.0875839</v>
      </c>
      <c r="J416" s="19">
        <f t="shared" si="4"/>
        <v>27024824.03</v>
      </c>
      <c r="K416" s="20">
        <v>2.774237E7</v>
      </c>
      <c r="L416" s="18">
        <f t="shared" si="5"/>
        <v>-2.586462389</v>
      </c>
    </row>
    <row r="417">
      <c r="A417" s="13" t="s">
        <v>411</v>
      </c>
      <c r="B417" s="13" t="s">
        <v>359</v>
      </c>
      <c r="C417" s="14" t="s">
        <v>360</v>
      </c>
      <c r="D417" s="15">
        <v>8648770.0</v>
      </c>
      <c r="E417" s="15">
        <v>9165300.0</v>
      </c>
      <c r="F417" s="15">
        <v>2.17666E7</v>
      </c>
      <c r="G417" s="17">
        <f t="shared" si="1"/>
        <v>5.972294326</v>
      </c>
      <c r="H417" s="17">
        <f t="shared" si="2"/>
        <v>9712678.692</v>
      </c>
      <c r="I417" s="18">
        <f t="shared" si="3"/>
        <v>237.4892257</v>
      </c>
      <c r="J417" s="19">
        <f t="shared" si="4"/>
        <v>23066565.42</v>
      </c>
      <c r="K417" s="20">
        <v>2.415774E7</v>
      </c>
      <c r="L417" s="18">
        <f t="shared" si="5"/>
        <v>-4.516873611</v>
      </c>
    </row>
    <row r="418">
      <c r="A418" s="13" t="s">
        <v>411</v>
      </c>
      <c r="B418" s="13" t="s">
        <v>361</v>
      </c>
      <c r="C418" s="14" t="s">
        <v>362</v>
      </c>
      <c r="D418" s="15">
        <v>2069510.0000000002</v>
      </c>
      <c r="E418" s="15">
        <v>2208440.0</v>
      </c>
      <c r="F418" s="15">
        <v>3151660.0</v>
      </c>
      <c r="G418" s="17">
        <f t="shared" si="1"/>
        <v>6.713183314</v>
      </c>
      <c r="H418" s="17">
        <f t="shared" si="2"/>
        <v>2356696.626</v>
      </c>
      <c r="I418" s="18">
        <f t="shared" si="3"/>
        <v>142.7097861</v>
      </c>
      <c r="J418" s="19">
        <f t="shared" si="4"/>
        <v>3363236.713</v>
      </c>
      <c r="K418" s="20">
        <v>3486930.0</v>
      </c>
      <c r="L418" s="18">
        <f t="shared" si="5"/>
        <v>-3.547340691</v>
      </c>
    </row>
    <row r="419">
      <c r="A419" s="13" t="s">
        <v>411</v>
      </c>
      <c r="B419" s="13" t="s">
        <v>363</v>
      </c>
      <c r="C419" s="14" t="s">
        <v>364</v>
      </c>
      <c r="D419" s="15">
        <v>5473640.0</v>
      </c>
      <c r="E419" s="15">
        <v>5800700.0</v>
      </c>
      <c r="F419" s="15">
        <v>7490590.0</v>
      </c>
      <c r="G419" s="17">
        <f t="shared" si="1"/>
        <v>5.975182876</v>
      </c>
      <c r="H419" s="17">
        <f t="shared" si="2"/>
        <v>6147302.433</v>
      </c>
      <c r="I419" s="18">
        <f t="shared" si="3"/>
        <v>129.1325185</v>
      </c>
      <c r="J419" s="19">
        <f t="shared" si="4"/>
        <v>7938166.451</v>
      </c>
      <c r="K419" s="20">
        <v>8121120.0</v>
      </c>
      <c r="L419" s="18">
        <f t="shared" si="5"/>
        <v>-2.252811792</v>
      </c>
    </row>
    <row r="420">
      <c r="A420" s="13" t="s">
        <v>411</v>
      </c>
      <c r="B420" s="13" t="s">
        <v>365</v>
      </c>
      <c r="C420" s="14" t="s">
        <v>366</v>
      </c>
      <c r="D420" s="15">
        <v>3555510.0</v>
      </c>
      <c r="E420" s="15">
        <v>3735690.0</v>
      </c>
      <c r="F420" s="15">
        <v>6362550.0</v>
      </c>
      <c r="G420" s="17">
        <f t="shared" si="1"/>
        <v>5.067627429</v>
      </c>
      <c r="H420" s="17">
        <f t="shared" si="2"/>
        <v>3925000.851</v>
      </c>
      <c r="I420" s="18">
        <f t="shared" si="3"/>
        <v>170.3179332</v>
      </c>
      <c r="J420" s="19">
        <f t="shared" si="4"/>
        <v>6684980.329</v>
      </c>
      <c r="K420" s="20">
        <v>6802050.0</v>
      </c>
      <c r="L420" s="18">
        <f t="shared" si="5"/>
        <v>-1.72109395</v>
      </c>
    </row>
    <row r="421">
      <c r="A421" s="13" t="s">
        <v>411</v>
      </c>
      <c r="B421" s="13" t="s">
        <v>367</v>
      </c>
      <c r="C421" s="14" t="s">
        <v>368</v>
      </c>
      <c r="D421" s="15">
        <v>3527710.0</v>
      </c>
      <c r="E421" s="15">
        <v>3729870.0</v>
      </c>
      <c r="F421" s="15">
        <v>5589240.0</v>
      </c>
      <c r="G421" s="17">
        <f t="shared" si="1"/>
        <v>5.730629785</v>
      </c>
      <c r="H421" s="17">
        <f t="shared" si="2"/>
        <v>3943615.041</v>
      </c>
      <c r="I421" s="18">
        <f t="shared" si="3"/>
        <v>149.8507991</v>
      </c>
      <c r="J421" s="19">
        <f t="shared" si="4"/>
        <v>5909538.652</v>
      </c>
      <c r="K421" s="20">
        <v>6174370.0</v>
      </c>
      <c r="L421" s="18">
        <f t="shared" si="5"/>
        <v>-4.289204369</v>
      </c>
    </row>
    <row r="422">
      <c r="A422" s="13" t="s">
        <v>411</v>
      </c>
      <c r="B422" s="13" t="s">
        <v>369</v>
      </c>
      <c r="C422" s="14" t="s">
        <v>370</v>
      </c>
      <c r="D422" s="15">
        <v>83060.0</v>
      </c>
      <c r="E422" s="15">
        <v>87900.0</v>
      </c>
      <c r="F422" s="15">
        <v>172780.0</v>
      </c>
      <c r="G422" s="17">
        <f t="shared" si="1"/>
        <v>5.82711293</v>
      </c>
      <c r="H422" s="17">
        <f t="shared" si="2"/>
        <v>93022.03227</v>
      </c>
      <c r="I422" s="18">
        <f t="shared" si="3"/>
        <v>196.5642776</v>
      </c>
      <c r="J422" s="19">
        <f t="shared" si="4"/>
        <v>182848.0857</v>
      </c>
      <c r="K422" s="20">
        <v>186740.0</v>
      </c>
      <c r="L422" s="18">
        <f t="shared" si="5"/>
        <v>-2.084135311</v>
      </c>
    </row>
    <row r="423">
      <c r="A423" s="13" t="s">
        <v>411</v>
      </c>
      <c r="B423" s="13" t="s">
        <v>371</v>
      </c>
      <c r="C423" s="14" t="s">
        <v>372</v>
      </c>
      <c r="D423" s="15">
        <v>6249740.0</v>
      </c>
      <c r="E423" s="15">
        <v>6865770.0</v>
      </c>
      <c r="F423" s="15">
        <v>1.271915E7</v>
      </c>
      <c r="G423" s="17">
        <f t="shared" si="1"/>
        <v>9.856890047</v>
      </c>
      <c r="H423" s="17">
        <f t="shared" si="2"/>
        <v>7542521.4</v>
      </c>
      <c r="I423" s="18">
        <f t="shared" si="3"/>
        <v>185.2545308</v>
      </c>
      <c r="J423" s="19">
        <f t="shared" si="4"/>
        <v>13972862.63</v>
      </c>
      <c r="K423" s="20">
        <v>1.321772E7</v>
      </c>
      <c r="L423" s="18">
        <f t="shared" si="5"/>
        <v>5.713108088</v>
      </c>
    </row>
    <row r="424">
      <c r="A424" s="13" t="s">
        <v>411</v>
      </c>
      <c r="B424" s="13" t="s">
        <v>373</v>
      </c>
      <c r="C424" s="14" t="s">
        <v>374</v>
      </c>
      <c r="D424" s="15">
        <v>2782740.0</v>
      </c>
      <c r="E424" s="15">
        <v>2978410.0</v>
      </c>
      <c r="F424" s="15">
        <v>5658030.0</v>
      </c>
      <c r="G424" s="17">
        <f t="shared" si="1"/>
        <v>7.031558823</v>
      </c>
      <c r="H424" s="17">
        <f t="shared" si="2"/>
        <v>3187838.651</v>
      </c>
      <c r="I424" s="18">
        <f t="shared" si="3"/>
        <v>189.9681374</v>
      </c>
      <c r="J424" s="19">
        <f t="shared" si="4"/>
        <v>6055877.708</v>
      </c>
      <c r="K424" s="20">
        <v>6217490.0</v>
      </c>
      <c r="L424" s="18">
        <f t="shared" si="5"/>
        <v>-2.599317286</v>
      </c>
    </row>
    <row r="425">
      <c r="A425" s="13" t="s">
        <v>411</v>
      </c>
      <c r="B425" s="13" t="s">
        <v>375</v>
      </c>
      <c r="C425" s="14" t="s">
        <v>376</v>
      </c>
      <c r="D425" s="15">
        <v>4729760.0</v>
      </c>
      <c r="E425" s="15">
        <v>4992570.0</v>
      </c>
      <c r="F425" s="15">
        <v>7450630.0</v>
      </c>
      <c r="G425" s="17">
        <f t="shared" si="1"/>
        <v>5.556518724</v>
      </c>
      <c r="H425" s="17">
        <f t="shared" si="2"/>
        <v>5269983.087</v>
      </c>
      <c r="I425" s="18">
        <f t="shared" si="3"/>
        <v>149.2343623</v>
      </c>
      <c r="J425" s="19">
        <f t="shared" si="4"/>
        <v>7864625.651</v>
      </c>
      <c r="K425" s="20">
        <v>8358129.999999999</v>
      </c>
      <c r="L425" s="18">
        <f t="shared" si="5"/>
        <v>-5.904482809</v>
      </c>
    </row>
    <row r="426">
      <c r="A426" s="13" t="s">
        <v>411</v>
      </c>
      <c r="B426" s="13" t="s">
        <v>377</v>
      </c>
      <c r="C426" s="14" t="s">
        <v>378</v>
      </c>
      <c r="D426" s="15">
        <v>1810000.0</v>
      </c>
      <c r="E426" s="15">
        <v>2008490.0</v>
      </c>
      <c r="F426" s="15">
        <v>3389600.0</v>
      </c>
      <c r="G426" s="17">
        <f t="shared" si="1"/>
        <v>10.96629834</v>
      </c>
      <c r="H426" s="17">
        <f t="shared" si="2"/>
        <v>2228747.006</v>
      </c>
      <c r="I426" s="18">
        <f t="shared" si="3"/>
        <v>168.7635985</v>
      </c>
      <c r="J426" s="19">
        <f t="shared" si="4"/>
        <v>3761313.649</v>
      </c>
      <c r="K426" s="20">
        <v>3724070.0</v>
      </c>
      <c r="L426" s="18">
        <f t="shared" si="5"/>
        <v>1.000079177</v>
      </c>
    </row>
    <row r="427">
      <c r="A427" s="13" t="s">
        <v>412</v>
      </c>
      <c r="B427" s="13" t="s">
        <v>63</v>
      </c>
      <c r="C427" s="14" t="s">
        <v>66</v>
      </c>
      <c r="D427" s="15">
        <v>3.222474E7</v>
      </c>
      <c r="E427" s="15">
        <v>3.284803E7</v>
      </c>
      <c r="F427" s="15">
        <v>5.956755E7</v>
      </c>
      <c r="G427" s="17">
        <f t="shared" si="1"/>
        <v>1.934197142</v>
      </c>
      <c r="H427" s="17">
        <f t="shared" si="2"/>
        <v>33483375.66</v>
      </c>
      <c r="I427" s="18">
        <f t="shared" si="3"/>
        <v>181.3428385</v>
      </c>
      <c r="J427" s="19">
        <f t="shared" si="4"/>
        <v>60719703.85</v>
      </c>
      <c r="K427" s="20">
        <v>6.796383E7</v>
      </c>
      <c r="L427" s="18">
        <f t="shared" si="5"/>
        <v>-10.65879623</v>
      </c>
    </row>
    <row r="428">
      <c r="A428" s="13" t="s">
        <v>412</v>
      </c>
      <c r="B428" s="13" t="s">
        <v>347</v>
      </c>
      <c r="C428" s="14" t="s">
        <v>348</v>
      </c>
      <c r="D428" s="15">
        <v>3.3238019999999996E7</v>
      </c>
      <c r="E428" s="15">
        <v>3.529627E7</v>
      </c>
      <c r="F428" s="15">
        <v>5.519823E7</v>
      </c>
      <c r="G428" s="17">
        <f t="shared" si="1"/>
        <v>6.192456711</v>
      </c>
      <c r="H428" s="17">
        <f t="shared" si="2"/>
        <v>37481976.24</v>
      </c>
      <c r="I428" s="18">
        <f t="shared" si="3"/>
        <v>156.3854481</v>
      </c>
      <c r="J428" s="19">
        <f t="shared" si="4"/>
        <v>58616356.5</v>
      </c>
      <c r="K428" s="20">
        <v>6.325297E7</v>
      </c>
      <c r="L428" s="18">
        <f t="shared" si="5"/>
        <v>-7.330270029</v>
      </c>
    </row>
    <row r="429">
      <c r="A429" s="13" t="s">
        <v>412</v>
      </c>
      <c r="B429" s="13" t="s">
        <v>349</v>
      </c>
      <c r="C429" s="14" t="s">
        <v>350</v>
      </c>
      <c r="D429" s="15">
        <v>7.108617E7</v>
      </c>
      <c r="E429" s="15">
        <v>8.467578E7</v>
      </c>
      <c r="F429" s="15">
        <v>1.5524198E8</v>
      </c>
      <c r="G429" s="17">
        <f t="shared" si="1"/>
        <v>19.11709408</v>
      </c>
      <c r="H429" s="17">
        <f t="shared" si="2"/>
        <v>100863328.5</v>
      </c>
      <c r="I429" s="18">
        <f t="shared" si="3"/>
        <v>183.3369353</v>
      </c>
      <c r="J429" s="19">
        <f t="shared" si="4"/>
        <v>184919735.4</v>
      </c>
      <c r="K429" s="20">
        <v>1.7132602E8</v>
      </c>
      <c r="L429" s="18">
        <f t="shared" si="5"/>
        <v>7.934413801</v>
      </c>
    </row>
    <row r="430">
      <c r="A430" s="13" t="s">
        <v>412</v>
      </c>
      <c r="B430" s="13" t="s">
        <v>351</v>
      </c>
      <c r="C430" s="14" t="s">
        <v>352</v>
      </c>
      <c r="D430" s="15">
        <v>64120.00000000001</v>
      </c>
      <c r="E430" s="15">
        <v>68830.0</v>
      </c>
      <c r="F430" s="15">
        <v>73540.0</v>
      </c>
      <c r="G430" s="17">
        <f t="shared" si="1"/>
        <v>7.345601996</v>
      </c>
      <c r="H430" s="17">
        <f t="shared" si="2"/>
        <v>73885.97785</v>
      </c>
      <c r="I430" s="18">
        <f t="shared" si="3"/>
        <v>106.8429464</v>
      </c>
      <c r="J430" s="19">
        <f t="shared" si="4"/>
        <v>78941.95571</v>
      </c>
      <c r="K430" s="20">
        <v>79190.0</v>
      </c>
      <c r="L430" s="18">
        <f t="shared" si="5"/>
        <v>-0.3132267862</v>
      </c>
    </row>
    <row r="431">
      <c r="A431" s="13" t="s">
        <v>412</v>
      </c>
      <c r="B431" s="13" t="s">
        <v>353</v>
      </c>
      <c r="C431" s="14" t="s">
        <v>354</v>
      </c>
      <c r="D431" s="15">
        <v>150560.0</v>
      </c>
      <c r="E431" s="15">
        <v>156680.0</v>
      </c>
      <c r="F431" s="15">
        <v>253670.0</v>
      </c>
      <c r="G431" s="17">
        <f t="shared" si="1"/>
        <v>4.064824655</v>
      </c>
      <c r="H431" s="17">
        <f t="shared" si="2"/>
        <v>163048.7673</v>
      </c>
      <c r="I431" s="18">
        <f t="shared" si="3"/>
        <v>161.9032423</v>
      </c>
      <c r="J431" s="19">
        <f t="shared" si="4"/>
        <v>263981.2407</v>
      </c>
      <c r="K431" s="20">
        <v>269940.0</v>
      </c>
      <c r="L431" s="18">
        <f t="shared" si="5"/>
        <v>-2.20743843</v>
      </c>
    </row>
    <row r="432">
      <c r="A432" s="13" t="s">
        <v>412</v>
      </c>
      <c r="B432" s="13" t="s">
        <v>355</v>
      </c>
      <c r="C432" s="14" t="s">
        <v>356</v>
      </c>
      <c r="D432" s="15">
        <v>1.530846E7</v>
      </c>
      <c r="E432" s="15">
        <v>1.589708E7</v>
      </c>
      <c r="F432" s="15">
        <v>3.134575E7</v>
      </c>
      <c r="G432" s="17">
        <f t="shared" si="1"/>
        <v>3.845063449</v>
      </c>
      <c r="H432" s="17">
        <f t="shared" si="2"/>
        <v>16508332.81</v>
      </c>
      <c r="I432" s="18">
        <f t="shared" si="3"/>
        <v>197.1792933</v>
      </c>
      <c r="J432" s="19">
        <f t="shared" si="4"/>
        <v>32551013.98</v>
      </c>
      <c r="K432" s="20">
        <v>3.253798E7</v>
      </c>
      <c r="L432" s="18">
        <f t="shared" si="5"/>
        <v>0.04005772925</v>
      </c>
    </row>
    <row r="433">
      <c r="A433" s="13" t="s">
        <v>412</v>
      </c>
      <c r="B433" s="13" t="s">
        <v>357</v>
      </c>
      <c r="C433" s="14" t="s">
        <v>358</v>
      </c>
      <c r="D433" s="15">
        <v>1.139768E7</v>
      </c>
      <c r="E433" s="15">
        <v>1.203058E7</v>
      </c>
      <c r="F433" s="15">
        <v>2.176611E7</v>
      </c>
      <c r="G433" s="17">
        <f t="shared" si="1"/>
        <v>5.552884447</v>
      </c>
      <c r="H433" s="17">
        <f t="shared" si="2"/>
        <v>12698624.21</v>
      </c>
      <c r="I433" s="18">
        <f t="shared" si="3"/>
        <v>180.9231974</v>
      </c>
      <c r="J433" s="19">
        <f t="shared" si="4"/>
        <v>22974756.94</v>
      </c>
      <c r="K433" s="20">
        <v>2.346897E7</v>
      </c>
      <c r="L433" s="18">
        <f t="shared" si="5"/>
        <v>-2.105814883</v>
      </c>
    </row>
    <row r="434">
      <c r="A434" s="13" t="s">
        <v>412</v>
      </c>
      <c r="B434" s="13" t="s">
        <v>359</v>
      </c>
      <c r="C434" s="14" t="s">
        <v>360</v>
      </c>
      <c r="D434" s="15">
        <v>3930510.0</v>
      </c>
      <c r="E434" s="15">
        <v>4113800.0</v>
      </c>
      <c r="F434" s="15">
        <v>8028110.0</v>
      </c>
      <c r="G434" s="17">
        <f t="shared" si="1"/>
        <v>4.663262528</v>
      </c>
      <c r="H434" s="17">
        <f t="shared" si="2"/>
        <v>4305637.294</v>
      </c>
      <c r="I434" s="18">
        <f t="shared" si="3"/>
        <v>195.1507122</v>
      </c>
      <c r="J434" s="19">
        <f t="shared" si="4"/>
        <v>8402481.845</v>
      </c>
      <c r="K434" s="20">
        <v>8358280.000000001</v>
      </c>
      <c r="L434" s="18">
        <f t="shared" si="5"/>
        <v>0.5288390118</v>
      </c>
    </row>
    <row r="435">
      <c r="A435" s="13" t="s">
        <v>412</v>
      </c>
      <c r="B435" s="13" t="s">
        <v>361</v>
      </c>
      <c r="C435" s="14" t="s">
        <v>362</v>
      </c>
      <c r="D435" s="15">
        <v>643700.0</v>
      </c>
      <c r="E435" s="15">
        <v>692510.0</v>
      </c>
      <c r="F435" s="15">
        <v>1202460.0</v>
      </c>
      <c r="G435" s="17">
        <f t="shared" si="1"/>
        <v>7.582724872</v>
      </c>
      <c r="H435" s="17">
        <f t="shared" si="2"/>
        <v>745021.128</v>
      </c>
      <c r="I435" s="18">
        <f t="shared" si="3"/>
        <v>173.6379258</v>
      </c>
      <c r="J435" s="19">
        <f t="shared" si="4"/>
        <v>1293639.233</v>
      </c>
      <c r="K435" s="20">
        <v>1296640.0</v>
      </c>
      <c r="L435" s="18">
        <f t="shared" si="5"/>
        <v>-0.2314263409</v>
      </c>
    </row>
    <row r="436">
      <c r="A436" s="13" t="s">
        <v>412</v>
      </c>
      <c r="B436" s="13" t="s">
        <v>363</v>
      </c>
      <c r="C436" s="14" t="s">
        <v>364</v>
      </c>
      <c r="D436" s="15">
        <v>5880720.0</v>
      </c>
      <c r="E436" s="15">
        <v>6166630.0</v>
      </c>
      <c r="F436" s="15">
        <v>7802840.0</v>
      </c>
      <c r="G436" s="17">
        <f t="shared" si="1"/>
        <v>4.861819641</v>
      </c>
      <c r="H436" s="17">
        <f t="shared" si="2"/>
        <v>6466440.429</v>
      </c>
      <c r="I436" s="18">
        <f t="shared" si="3"/>
        <v>126.5332929</v>
      </c>
      <c r="J436" s="19">
        <f t="shared" si="4"/>
        <v>8182200.008</v>
      </c>
      <c r="K436" s="20">
        <v>8231350.0</v>
      </c>
      <c r="L436" s="18">
        <f t="shared" si="5"/>
        <v>-0.597107307</v>
      </c>
    </row>
    <row r="437">
      <c r="A437" s="13" t="s">
        <v>412</v>
      </c>
      <c r="B437" s="13" t="s">
        <v>365</v>
      </c>
      <c r="C437" s="14" t="s">
        <v>366</v>
      </c>
      <c r="D437" s="15">
        <v>2715440.0</v>
      </c>
      <c r="E437" s="15">
        <v>3027270.0</v>
      </c>
      <c r="F437" s="15">
        <v>5338810.0</v>
      </c>
      <c r="G437" s="17">
        <f t="shared" si="1"/>
        <v>11.48359014</v>
      </c>
      <c r="H437" s="17">
        <f t="shared" si="2"/>
        <v>3374909.279</v>
      </c>
      <c r="I437" s="18">
        <f t="shared" si="3"/>
        <v>176.357246</v>
      </c>
      <c r="J437" s="19">
        <f t="shared" si="4"/>
        <v>5951897.059</v>
      </c>
      <c r="K437" s="20">
        <v>5889570.0</v>
      </c>
      <c r="L437" s="18">
        <f t="shared" si="5"/>
        <v>1.058261614</v>
      </c>
    </row>
    <row r="438">
      <c r="A438" s="13" t="s">
        <v>412</v>
      </c>
      <c r="B438" s="13" t="s">
        <v>367</v>
      </c>
      <c r="C438" s="14" t="s">
        <v>368</v>
      </c>
      <c r="D438" s="15">
        <v>2280740.0</v>
      </c>
      <c r="E438" s="15">
        <v>2387280.0</v>
      </c>
      <c r="F438" s="15">
        <v>4245940.0</v>
      </c>
      <c r="G438" s="17">
        <f t="shared" si="1"/>
        <v>4.671290897</v>
      </c>
      <c r="H438" s="17">
        <f t="shared" si="2"/>
        <v>2498796.793</v>
      </c>
      <c r="I438" s="18">
        <f t="shared" si="3"/>
        <v>177.8568077</v>
      </c>
      <c r="J438" s="19">
        <f t="shared" si="4"/>
        <v>4444280.209</v>
      </c>
      <c r="K438" s="20">
        <v>4553520.0</v>
      </c>
      <c r="L438" s="18">
        <f t="shared" si="5"/>
        <v>-2.39901859</v>
      </c>
    </row>
    <row r="439">
      <c r="A439" s="13" t="s">
        <v>412</v>
      </c>
      <c r="B439" s="13" t="s">
        <v>369</v>
      </c>
      <c r="C439" s="14" t="s">
        <v>370</v>
      </c>
      <c r="D439" s="15">
        <v>296540.0</v>
      </c>
      <c r="E439" s="15">
        <v>312080.0</v>
      </c>
      <c r="F439" s="15">
        <v>539450.0</v>
      </c>
      <c r="G439" s="17">
        <f t="shared" si="1"/>
        <v>5.240439738</v>
      </c>
      <c r="H439" s="17">
        <f t="shared" si="2"/>
        <v>328434.3643</v>
      </c>
      <c r="I439" s="18">
        <f t="shared" si="3"/>
        <v>172.8563189</v>
      </c>
      <c r="J439" s="19">
        <f t="shared" si="4"/>
        <v>567719.5522</v>
      </c>
      <c r="K439" s="20">
        <v>594380.0</v>
      </c>
      <c r="L439" s="18">
        <f t="shared" si="5"/>
        <v>-4.485421419</v>
      </c>
    </row>
    <row r="440">
      <c r="A440" s="13" t="s">
        <v>412</v>
      </c>
      <c r="B440" s="13" t="s">
        <v>371</v>
      </c>
      <c r="C440" s="14" t="s">
        <v>372</v>
      </c>
      <c r="D440" s="15">
        <v>6977390.0</v>
      </c>
      <c r="E440" s="15">
        <v>7348590.0</v>
      </c>
      <c r="F440" s="15">
        <v>1.375575E7</v>
      </c>
      <c r="G440" s="17">
        <f t="shared" si="1"/>
        <v>5.320040875</v>
      </c>
      <c r="H440" s="17">
        <f t="shared" si="2"/>
        <v>7739537.992</v>
      </c>
      <c r="I440" s="18">
        <f t="shared" si="3"/>
        <v>187.1889709</v>
      </c>
      <c r="J440" s="19">
        <f t="shared" si="4"/>
        <v>14487561.52</v>
      </c>
      <c r="K440" s="20">
        <v>1.399252E7</v>
      </c>
      <c r="L440" s="18">
        <f t="shared" si="5"/>
        <v>3.537901126</v>
      </c>
    </row>
    <row r="441">
      <c r="A441" s="13" t="s">
        <v>412</v>
      </c>
      <c r="B441" s="13" t="s">
        <v>373</v>
      </c>
      <c r="C441" s="14" t="s">
        <v>374</v>
      </c>
      <c r="D441" s="15">
        <v>4164840.0</v>
      </c>
      <c r="E441" s="15">
        <v>4325200.0</v>
      </c>
      <c r="F441" s="15">
        <v>7309270.0</v>
      </c>
      <c r="G441" s="17">
        <f t="shared" si="1"/>
        <v>3.850327984</v>
      </c>
      <c r="H441" s="17">
        <f t="shared" si="2"/>
        <v>4491734.386</v>
      </c>
      <c r="I441" s="18">
        <f t="shared" si="3"/>
        <v>168.9926477</v>
      </c>
      <c r="J441" s="19">
        <f t="shared" si="4"/>
        <v>7590700.868</v>
      </c>
      <c r="K441" s="20">
        <v>7977490.0</v>
      </c>
      <c r="L441" s="18">
        <f t="shared" si="5"/>
        <v>-4.848506633</v>
      </c>
    </row>
    <row r="442">
      <c r="A442" s="13" t="s">
        <v>412</v>
      </c>
      <c r="B442" s="13" t="s">
        <v>375</v>
      </c>
      <c r="C442" s="14" t="s">
        <v>376</v>
      </c>
      <c r="D442" s="15">
        <v>1861280.0</v>
      </c>
      <c r="E442" s="15">
        <v>1934650.0</v>
      </c>
      <c r="F442" s="15">
        <v>3518480.0</v>
      </c>
      <c r="G442" s="17">
        <f t="shared" si="1"/>
        <v>3.941910943</v>
      </c>
      <c r="H442" s="17">
        <f t="shared" si="2"/>
        <v>2010912.18</v>
      </c>
      <c r="I442" s="18">
        <f t="shared" si="3"/>
        <v>181.8664875</v>
      </c>
      <c r="J442" s="19">
        <f t="shared" si="4"/>
        <v>3657175.348</v>
      </c>
      <c r="K442" s="20">
        <v>3776480.0</v>
      </c>
      <c r="L442" s="18">
        <f t="shared" si="5"/>
        <v>-3.159149575</v>
      </c>
    </row>
    <row r="443">
      <c r="A443" s="13" t="s">
        <v>412</v>
      </c>
      <c r="B443" s="13" t="s">
        <v>377</v>
      </c>
      <c r="C443" s="14" t="s">
        <v>378</v>
      </c>
      <c r="D443" s="15">
        <v>960460.0</v>
      </c>
      <c r="E443" s="15">
        <v>1000310.0</v>
      </c>
      <c r="F443" s="15">
        <v>1762370.0</v>
      </c>
      <c r="G443" s="17">
        <f t="shared" si="1"/>
        <v>4.149053578</v>
      </c>
      <c r="H443" s="17">
        <f t="shared" si="2"/>
        <v>1041813.398</v>
      </c>
      <c r="I443" s="18">
        <f t="shared" si="3"/>
        <v>176.1823835</v>
      </c>
      <c r="J443" s="19">
        <f t="shared" si="4"/>
        <v>1835491.676</v>
      </c>
      <c r="K443" s="20">
        <v>1908080.0</v>
      </c>
      <c r="L443" s="18">
        <f t="shared" si="5"/>
        <v>-3.804260013</v>
      </c>
    </row>
    <row r="444">
      <c r="A444" s="13" t="s">
        <v>413</v>
      </c>
      <c r="B444" s="13" t="s">
        <v>63</v>
      </c>
      <c r="C444" s="14" t="s">
        <v>66</v>
      </c>
      <c r="D444" s="15">
        <v>7.22263E7</v>
      </c>
      <c r="E444" s="15">
        <v>7.516674E7</v>
      </c>
      <c r="F444" s="15">
        <v>1.5204802E8</v>
      </c>
      <c r="G444" s="17">
        <f t="shared" si="1"/>
        <v>4.071148598</v>
      </c>
      <c r="H444" s="17">
        <f t="shared" si="2"/>
        <v>78226889.68</v>
      </c>
      <c r="I444" s="18">
        <f t="shared" si="3"/>
        <v>202.2809823</v>
      </c>
      <c r="J444" s="19">
        <f t="shared" si="4"/>
        <v>158238120.8</v>
      </c>
      <c r="K444" s="20">
        <v>1.7330283E8</v>
      </c>
      <c r="L444" s="18">
        <f t="shared" si="5"/>
        <v>-8.692708114</v>
      </c>
    </row>
    <row r="445">
      <c r="A445" s="13" t="s">
        <v>413</v>
      </c>
      <c r="B445" s="13" t="s">
        <v>347</v>
      </c>
      <c r="C445" s="14" t="s">
        <v>348</v>
      </c>
      <c r="D445" s="15">
        <v>1.963935E7</v>
      </c>
      <c r="E445" s="15">
        <v>2.012846E7</v>
      </c>
      <c r="F445" s="15">
        <v>3.168792E7</v>
      </c>
      <c r="G445" s="17">
        <f t="shared" si="1"/>
        <v>2.490459206</v>
      </c>
      <c r="H445" s="17">
        <f t="shared" si="2"/>
        <v>20629751.09</v>
      </c>
      <c r="I445" s="18">
        <f t="shared" si="3"/>
        <v>157.4284371</v>
      </c>
      <c r="J445" s="19">
        <f t="shared" si="4"/>
        <v>32477094.72</v>
      </c>
      <c r="K445" s="20">
        <v>3.233628E7</v>
      </c>
      <c r="L445" s="18">
        <f t="shared" si="5"/>
        <v>0.4354697594</v>
      </c>
    </row>
    <row r="446">
      <c r="A446" s="13" t="s">
        <v>413</v>
      </c>
      <c r="B446" s="13" t="s">
        <v>349</v>
      </c>
      <c r="C446" s="14" t="s">
        <v>350</v>
      </c>
      <c r="D446" s="15">
        <v>5.044482E7</v>
      </c>
      <c r="E446" s="15">
        <v>5.288714E7</v>
      </c>
      <c r="F446" s="15">
        <v>9.066486E7</v>
      </c>
      <c r="G446" s="17">
        <f t="shared" si="1"/>
        <v>4.841567479</v>
      </c>
      <c r="H446" s="17">
        <f t="shared" si="2"/>
        <v>55447706.57</v>
      </c>
      <c r="I446" s="18">
        <f t="shared" si="3"/>
        <v>171.4308242</v>
      </c>
      <c r="J446" s="19">
        <f t="shared" si="4"/>
        <v>95054460.38</v>
      </c>
      <c r="K446" s="20">
        <v>9.719425E7</v>
      </c>
      <c r="L446" s="18">
        <f t="shared" si="5"/>
        <v>-2.20155989</v>
      </c>
    </row>
    <row r="447">
      <c r="A447" s="13" t="s">
        <v>413</v>
      </c>
      <c r="B447" s="13" t="s">
        <v>351</v>
      </c>
      <c r="C447" s="14" t="s">
        <v>352</v>
      </c>
      <c r="D447" s="15">
        <v>440170.0</v>
      </c>
      <c r="E447" s="15">
        <v>446580.0</v>
      </c>
      <c r="F447" s="15">
        <v>499460.0</v>
      </c>
      <c r="G447" s="17">
        <f t="shared" si="1"/>
        <v>1.456255538</v>
      </c>
      <c r="H447" s="17">
        <f t="shared" si="2"/>
        <v>453083.346</v>
      </c>
      <c r="I447" s="18">
        <f t="shared" si="3"/>
        <v>111.8411035</v>
      </c>
      <c r="J447" s="19">
        <f t="shared" si="4"/>
        <v>506733.4139</v>
      </c>
      <c r="K447" s="20">
        <v>522630.0</v>
      </c>
      <c r="L447" s="18">
        <f t="shared" si="5"/>
        <v>-3.041652047</v>
      </c>
    </row>
    <row r="448">
      <c r="A448" s="13" t="s">
        <v>413</v>
      </c>
      <c r="B448" s="13" t="s">
        <v>353</v>
      </c>
      <c r="C448" s="14" t="s">
        <v>354</v>
      </c>
      <c r="D448" s="15">
        <v>449620.0</v>
      </c>
      <c r="E448" s="15">
        <v>471670.0</v>
      </c>
      <c r="F448" s="15">
        <v>646300.0</v>
      </c>
      <c r="G448" s="17">
        <f t="shared" si="1"/>
        <v>4.904141275</v>
      </c>
      <c r="H448" s="17">
        <f t="shared" si="2"/>
        <v>494801.3632</v>
      </c>
      <c r="I448" s="18">
        <f t="shared" si="3"/>
        <v>137.0237666</v>
      </c>
      <c r="J448" s="19">
        <f t="shared" si="4"/>
        <v>677995.4651</v>
      </c>
      <c r="K448" s="20">
        <v>666190.0</v>
      </c>
      <c r="L448" s="18">
        <f t="shared" si="5"/>
        <v>1.772086801</v>
      </c>
    </row>
    <row r="449">
      <c r="A449" s="13" t="s">
        <v>413</v>
      </c>
      <c r="B449" s="13" t="s">
        <v>355</v>
      </c>
      <c r="C449" s="14" t="s">
        <v>356</v>
      </c>
      <c r="D449" s="15">
        <v>4.660853E7</v>
      </c>
      <c r="E449" s="15">
        <v>4.709505E7</v>
      </c>
      <c r="F449" s="15">
        <v>9.407251E7</v>
      </c>
      <c r="G449" s="17">
        <f t="shared" si="1"/>
        <v>1.043843262</v>
      </c>
      <c r="H449" s="17">
        <f t="shared" si="2"/>
        <v>47586648.51</v>
      </c>
      <c r="I449" s="18">
        <f t="shared" si="3"/>
        <v>199.7503135</v>
      </c>
      <c r="J449" s="19">
        <f t="shared" si="4"/>
        <v>95054479.56</v>
      </c>
      <c r="K449" s="20">
        <v>9.857367E7</v>
      </c>
      <c r="L449" s="18">
        <f t="shared" si="5"/>
        <v>-3.570112022</v>
      </c>
    </row>
    <row r="450">
      <c r="A450" s="13" t="s">
        <v>413</v>
      </c>
      <c r="B450" s="13" t="s">
        <v>357</v>
      </c>
      <c r="C450" s="14" t="s">
        <v>358</v>
      </c>
      <c r="D450" s="15">
        <v>5.919599E7</v>
      </c>
      <c r="E450" s="15">
        <v>6.25125E7</v>
      </c>
      <c r="F450" s="15">
        <v>1.0307854E8</v>
      </c>
      <c r="G450" s="17">
        <f t="shared" si="1"/>
        <v>5.602592338</v>
      </c>
      <c r="H450" s="17">
        <f t="shared" si="2"/>
        <v>66014820.54</v>
      </c>
      <c r="I450" s="18">
        <f t="shared" si="3"/>
        <v>164.8926855</v>
      </c>
      <c r="J450" s="19">
        <f t="shared" si="4"/>
        <v>108853610.4</v>
      </c>
      <c r="K450" s="20">
        <v>1.1003729E8</v>
      </c>
      <c r="L450" s="18">
        <f t="shared" si="5"/>
        <v>-1.075707713</v>
      </c>
    </row>
    <row r="451">
      <c r="A451" s="13" t="s">
        <v>413</v>
      </c>
      <c r="B451" s="13" t="s">
        <v>359</v>
      </c>
      <c r="C451" s="14" t="s">
        <v>360</v>
      </c>
      <c r="D451" s="15">
        <v>1.302423E7</v>
      </c>
      <c r="E451" s="15">
        <v>1.368673E7</v>
      </c>
      <c r="F451" s="15">
        <v>3.221999E7</v>
      </c>
      <c r="G451" s="17">
        <f t="shared" si="1"/>
        <v>5.08667307</v>
      </c>
      <c r="H451" s="17">
        <f t="shared" si="2"/>
        <v>14382929.21</v>
      </c>
      <c r="I451" s="18">
        <f t="shared" si="3"/>
        <v>235.4104304</v>
      </c>
      <c r="J451" s="19">
        <f t="shared" si="4"/>
        <v>33858915.55</v>
      </c>
      <c r="K451" s="20">
        <v>3.345422E7</v>
      </c>
      <c r="L451" s="18">
        <f t="shared" si="5"/>
        <v>1.209699567</v>
      </c>
    </row>
    <row r="452">
      <c r="A452" s="13" t="s">
        <v>413</v>
      </c>
      <c r="B452" s="13" t="s">
        <v>361</v>
      </c>
      <c r="C452" s="14" t="s">
        <v>362</v>
      </c>
      <c r="D452" s="15">
        <v>5499480.0</v>
      </c>
      <c r="E452" s="15">
        <v>5847800.0</v>
      </c>
      <c r="F452" s="15">
        <v>9497460.0</v>
      </c>
      <c r="G452" s="17">
        <f t="shared" si="1"/>
        <v>6.333689731</v>
      </c>
      <c r="H452" s="17">
        <f t="shared" si="2"/>
        <v>6218181.508</v>
      </c>
      <c r="I452" s="18">
        <f t="shared" si="3"/>
        <v>162.4108212</v>
      </c>
      <c r="J452" s="19">
        <f t="shared" si="4"/>
        <v>10098999.65</v>
      </c>
      <c r="K452" s="20">
        <v>1.038999E7</v>
      </c>
      <c r="L452" s="18">
        <f t="shared" si="5"/>
        <v>-2.800679801</v>
      </c>
    </row>
    <row r="453">
      <c r="A453" s="13" t="s">
        <v>413</v>
      </c>
      <c r="B453" s="13" t="s">
        <v>363</v>
      </c>
      <c r="C453" s="14" t="s">
        <v>364</v>
      </c>
      <c r="D453" s="15">
        <v>3.095315E7</v>
      </c>
      <c r="E453" s="15">
        <v>3.3096879999999996E7</v>
      </c>
      <c r="F453" s="15">
        <v>3.761884E7</v>
      </c>
      <c r="G453" s="17">
        <f t="shared" si="1"/>
        <v>6.925724845</v>
      </c>
      <c r="H453" s="17">
        <f t="shared" si="2"/>
        <v>35389078.84</v>
      </c>
      <c r="I453" s="18">
        <f t="shared" si="3"/>
        <v>113.6627984</v>
      </c>
      <c r="J453" s="19">
        <f t="shared" si="4"/>
        <v>40224217.35</v>
      </c>
      <c r="K453" s="20">
        <v>4.110086E7</v>
      </c>
      <c r="L453" s="18">
        <f t="shared" si="5"/>
        <v>-2.13290586</v>
      </c>
    </row>
    <row r="454">
      <c r="A454" s="13" t="s">
        <v>413</v>
      </c>
      <c r="B454" s="13" t="s">
        <v>365</v>
      </c>
      <c r="C454" s="14" t="s">
        <v>366</v>
      </c>
      <c r="D454" s="15">
        <v>1.206183E7</v>
      </c>
      <c r="E454" s="15">
        <v>1.284778E7</v>
      </c>
      <c r="F454" s="15">
        <v>2.496382E7</v>
      </c>
      <c r="G454" s="17">
        <f t="shared" si="1"/>
        <v>6.516009594</v>
      </c>
      <c r="H454" s="17">
        <f t="shared" si="2"/>
        <v>13684942.58</v>
      </c>
      <c r="I454" s="18">
        <f t="shared" si="3"/>
        <v>194.3045413</v>
      </c>
      <c r="J454" s="19">
        <f t="shared" si="4"/>
        <v>26590464.91</v>
      </c>
      <c r="K454" s="20">
        <v>2.779925E7</v>
      </c>
      <c r="L454" s="18">
        <f t="shared" si="5"/>
        <v>-4.348265129</v>
      </c>
    </row>
    <row r="455">
      <c r="A455" s="13" t="s">
        <v>413</v>
      </c>
      <c r="B455" s="13" t="s">
        <v>367</v>
      </c>
      <c r="C455" s="14" t="s">
        <v>368</v>
      </c>
      <c r="D455" s="15">
        <v>1.309438E7</v>
      </c>
      <c r="E455" s="15">
        <v>1.388713E7</v>
      </c>
      <c r="F455" s="15">
        <v>2.434753E7</v>
      </c>
      <c r="G455" s="17">
        <f t="shared" si="1"/>
        <v>6.054123983</v>
      </c>
      <c r="H455" s="17">
        <f t="shared" si="2"/>
        <v>14727874.07</v>
      </c>
      <c r="I455" s="18">
        <f t="shared" si="3"/>
        <v>175.3244191</v>
      </c>
      <c r="J455" s="19">
        <f t="shared" si="4"/>
        <v>25821559.65</v>
      </c>
      <c r="K455" s="20">
        <v>2.626599E7</v>
      </c>
      <c r="L455" s="18">
        <f t="shared" si="5"/>
        <v>-1.692037296</v>
      </c>
    </row>
    <row r="456">
      <c r="A456" s="13" t="s">
        <v>413</v>
      </c>
      <c r="B456" s="13" t="s">
        <v>369</v>
      </c>
      <c r="C456" s="14" t="s">
        <v>370</v>
      </c>
      <c r="D456" s="15">
        <v>1796820.0</v>
      </c>
      <c r="E456" s="15">
        <v>1911830.0</v>
      </c>
      <c r="F456" s="15">
        <v>3462270.0</v>
      </c>
      <c r="G456" s="17">
        <f t="shared" si="1"/>
        <v>6.40075244</v>
      </c>
      <c r="H456" s="17">
        <f t="shared" si="2"/>
        <v>2034201.505</v>
      </c>
      <c r="I456" s="18">
        <f t="shared" si="3"/>
        <v>181.0971687</v>
      </c>
      <c r="J456" s="19">
        <f t="shared" si="4"/>
        <v>3683881.332</v>
      </c>
      <c r="K456" s="20">
        <v>3778140.0</v>
      </c>
      <c r="L456" s="18">
        <f t="shared" si="5"/>
        <v>-2.49484319</v>
      </c>
    </row>
    <row r="457">
      <c r="A457" s="13" t="s">
        <v>413</v>
      </c>
      <c r="B457" s="13" t="s">
        <v>371</v>
      </c>
      <c r="C457" s="14" t="s">
        <v>372</v>
      </c>
      <c r="D457" s="15">
        <v>1.564108E7</v>
      </c>
      <c r="E457" s="15">
        <v>1.63291E7</v>
      </c>
      <c r="F457" s="15">
        <v>2.794256E7</v>
      </c>
      <c r="G457" s="17">
        <f t="shared" si="1"/>
        <v>4.398801106</v>
      </c>
      <c r="H457" s="17">
        <f t="shared" si="2"/>
        <v>17047384.63</v>
      </c>
      <c r="I457" s="18">
        <f t="shared" si="3"/>
        <v>171.1212498</v>
      </c>
      <c r="J457" s="19">
        <f t="shared" si="4"/>
        <v>29171697.64</v>
      </c>
      <c r="K457" s="20">
        <v>2.903725E7</v>
      </c>
      <c r="L457" s="18">
        <f t="shared" si="5"/>
        <v>0.4630178074</v>
      </c>
    </row>
    <row r="458">
      <c r="A458" s="13" t="s">
        <v>413</v>
      </c>
      <c r="B458" s="13" t="s">
        <v>373</v>
      </c>
      <c r="C458" s="14" t="s">
        <v>374</v>
      </c>
      <c r="D458" s="15">
        <v>2.132967E7</v>
      </c>
      <c r="E458" s="15">
        <v>2.295566E7</v>
      </c>
      <c r="F458" s="15">
        <v>3.50461E7</v>
      </c>
      <c r="G458" s="17">
        <f t="shared" si="1"/>
        <v>7.623137161</v>
      </c>
      <c r="H458" s="17">
        <f t="shared" si="2"/>
        <v>24705601.45</v>
      </c>
      <c r="I458" s="18">
        <f t="shared" si="3"/>
        <v>152.6686665</v>
      </c>
      <c r="J458" s="19">
        <f t="shared" si="4"/>
        <v>37717712.27</v>
      </c>
      <c r="K458" s="20">
        <v>3.700415E7</v>
      </c>
      <c r="L458" s="18">
        <f t="shared" si="5"/>
        <v>1.928330397</v>
      </c>
    </row>
    <row r="459">
      <c r="A459" s="13" t="s">
        <v>413</v>
      </c>
      <c r="B459" s="13" t="s">
        <v>375</v>
      </c>
      <c r="C459" s="14" t="s">
        <v>376</v>
      </c>
      <c r="D459" s="15">
        <v>9277700.0</v>
      </c>
      <c r="E459" s="15">
        <v>1.054117E7</v>
      </c>
      <c r="F459" s="15">
        <v>1.78108E7</v>
      </c>
      <c r="G459" s="17">
        <f t="shared" si="1"/>
        <v>13.61835369</v>
      </c>
      <c r="H459" s="17">
        <f t="shared" si="2"/>
        <v>11976703.81</v>
      </c>
      <c r="I459" s="18">
        <f t="shared" si="3"/>
        <v>168.9641662</v>
      </c>
      <c r="J459" s="19">
        <f t="shared" si="4"/>
        <v>20236337.74</v>
      </c>
      <c r="K459" s="20">
        <v>1.960092E7</v>
      </c>
      <c r="L459" s="18">
        <f t="shared" si="5"/>
        <v>3.241775072</v>
      </c>
    </row>
    <row r="460">
      <c r="A460" s="13" t="s">
        <v>413</v>
      </c>
      <c r="B460" s="13" t="s">
        <v>377</v>
      </c>
      <c r="C460" s="14" t="s">
        <v>378</v>
      </c>
      <c r="D460" s="15">
        <v>5524670.0</v>
      </c>
      <c r="E460" s="15">
        <v>6329520.0</v>
      </c>
      <c r="F460" s="15">
        <v>1.064581E7</v>
      </c>
      <c r="G460" s="17">
        <f t="shared" si="1"/>
        <v>14.56829096</v>
      </c>
      <c r="H460" s="17">
        <f t="shared" si="2"/>
        <v>7251622.89</v>
      </c>
      <c r="I460" s="18">
        <f t="shared" si="3"/>
        <v>168.1930067</v>
      </c>
      <c r="J460" s="19">
        <f t="shared" si="4"/>
        <v>12196722.58</v>
      </c>
      <c r="K460" s="20">
        <v>1.201323E7</v>
      </c>
      <c r="L460" s="18">
        <f t="shared" si="5"/>
        <v>1.527420814</v>
      </c>
    </row>
    <row r="461">
      <c r="A461" s="13" t="s">
        <v>414</v>
      </c>
      <c r="B461" s="13" t="s">
        <v>63</v>
      </c>
      <c r="C461" s="14" t="s">
        <v>66</v>
      </c>
      <c r="D461" s="15">
        <v>2.477974E7</v>
      </c>
      <c r="E461" s="15">
        <v>2.573491E7</v>
      </c>
      <c r="F461" s="15">
        <v>4.449519E7</v>
      </c>
      <c r="G461" s="17">
        <f t="shared" si="1"/>
        <v>3.854640928</v>
      </c>
      <c r="H461" s="17">
        <f t="shared" si="2"/>
        <v>26726898.37</v>
      </c>
      <c r="I461" s="18">
        <f t="shared" si="3"/>
        <v>172.8981761</v>
      </c>
      <c r="J461" s="19">
        <f t="shared" si="4"/>
        <v>46210319.8</v>
      </c>
      <c r="K461" s="20">
        <v>4.860112E7</v>
      </c>
      <c r="L461" s="18">
        <f t="shared" si="5"/>
        <v>-4.9192286</v>
      </c>
    </row>
    <row r="462">
      <c r="A462" s="13" t="s">
        <v>414</v>
      </c>
      <c r="B462" s="13" t="s">
        <v>347</v>
      </c>
      <c r="C462" s="14" t="s">
        <v>348</v>
      </c>
      <c r="D462" s="15">
        <v>2.034704E7</v>
      </c>
      <c r="E462" s="15">
        <v>2.161743E7</v>
      </c>
      <c r="F462" s="15">
        <v>4.002808E7</v>
      </c>
      <c r="G462" s="17">
        <f t="shared" si="1"/>
        <v>6.243610864</v>
      </c>
      <c r="H462" s="17">
        <f t="shared" si="2"/>
        <v>22967138.21</v>
      </c>
      <c r="I462" s="18">
        <f t="shared" si="3"/>
        <v>185.1657667</v>
      </c>
      <c r="J462" s="19">
        <f t="shared" si="4"/>
        <v>42527277.55</v>
      </c>
      <c r="K462" s="20">
        <v>4.188766E7</v>
      </c>
      <c r="L462" s="18">
        <f t="shared" si="5"/>
        <v>1.526983249</v>
      </c>
    </row>
    <row r="463">
      <c r="A463" s="13" t="s">
        <v>414</v>
      </c>
      <c r="B463" s="13" t="s">
        <v>349</v>
      </c>
      <c r="C463" s="14" t="s">
        <v>350</v>
      </c>
      <c r="D463" s="15">
        <v>9404490.0</v>
      </c>
      <c r="E463" s="15">
        <v>1.062512E7</v>
      </c>
      <c r="F463" s="15">
        <v>1.780537E7</v>
      </c>
      <c r="G463" s="17">
        <f t="shared" si="1"/>
        <v>12.97922588</v>
      </c>
      <c r="H463" s="17">
        <f t="shared" si="2"/>
        <v>12004178.32</v>
      </c>
      <c r="I463" s="18">
        <f t="shared" si="3"/>
        <v>167.5780603</v>
      </c>
      <c r="J463" s="19">
        <f t="shared" si="4"/>
        <v>20116369.19</v>
      </c>
      <c r="K463" s="20">
        <v>2.110665E7</v>
      </c>
      <c r="L463" s="18">
        <f t="shared" si="5"/>
        <v>-4.691795282</v>
      </c>
    </row>
    <row r="464">
      <c r="A464" s="13" t="s">
        <v>414</v>
      </c>
      <c r="B464" s="13" t="s">
        <v>351</v>
      </c>
      <c r="C464" s="14" t="s">
        <v>352</v>
      </c>
      <c r="D464" s="15">
        <v>57940.0</v>
      </c>
      <c r="E464" s="15">
        <v>59640.0</v>
      </c>
      <c r="F464" s="15">
        <v>71420.0</v>
      </c>
      <c r="G464" s="17">
        <f t="shared" si="1"/>
        <v>2.934069727</v>
      </c>
      <c r="H464" s="17">
        <f t="shared" si="2"/>
        <v>61389.87919</v>
      </c>
      <c r="I464" s="18">
        <f t="shared" si="3"/>
        <v>119.7518444</v>
      </c>
      <c r="J464" s="19">
        <f t="shared" si="4"/>
        <v>73515.5126</v>
      </c>
      <c r="K464" s="20">
        <v>75080.0</v>
      </c>
      <c r="L464" s="18">
        <f t="shared" si="5"/>
        <v>-2.083760523</v>
      </c>
    </row>
    <row r="465">
      <c r="A465" s="13" t="s">
        <v>414</v>
      </c>
      <c r="B465" s="13" t="s">
        <v>353</v>
      </c>
      <c r="C465" s="14" t="s">
        <v>354</v>
      </c>
      <c r="D465" s="15">
        <v>186780.0</v>
      </c>
      <c r="E465" s="15">
        <v>184720.0</v>
      </c>
      <c r="F465" s="15">
        <v>256649.99999999997</v>
      </c>
      <c r="G465" s="17">
        <f t="shared" si="1"/>
        <v>-1.10290181</v>
      </c>
      <c r="H465" s="17">
        <f t="shared" si="2"/>
        <v>182682.7198</v>
      </c>
      <c r="I465" s="18">
        <f t="shared" si="3"/>
        <v>138.9400173</v>
      </c>
      <c r="J465" s="19">
        <f t="shared" si="4"/>
        <v>253819.4025</v>
      </c>
      <c r="K465" s="20">
        <v>274120.0</v>
      </c>
      <c r="L465" s="18">
        <f t="shared" si="5"/>
        <v>-7.405733801</v>
      </c>
    </row>
    <row r="466">
      <c r="A466" s="13" t="s">
        <v>414</v>
      </c>
      <c r="B466" s="13" t="s">
        <v>355</v>
      </c>
      <c r="C466" s="14" t="s">
        <v>356</v>
      </c>
      <c r="D466" s="15">
        <v>1.320412E7</v>
      </c>
      <c r="E466" s="15">
        <v>1.357041E7</v>
      </c>
      <c r="F466" s="15">
        <v>2.301848E7</v>
      </c>
      <c r="G466" s="17">
        <f t="shared" si="1"/>
        <v>2.7740584</v>
      </c>
      <c r="H466" s="17">
        <f t="shared" si="2"/>
        <v>13946861.1</v>
      </c>
      <c r="I466" s="18">
        <f t="shared" si="3"/>
        <v>169.6225833</v>
      </c>
      <c r="J466" s="19">
        <f t="shared" si="4"/>
        <v>23657026.08</v>
      </c>
      <c r="K466" s="20">
        <v>2.391182E7</v>
      </c>
      <c r="L466" s="18">
        <f t="shared" si="5"/>
        <v>-1.065556373</v>
      </c>
    </row>
    <row r="467">
      <c r="A467" s="13" t="s">
        <v>414</v>
      </c>
      <c r="B467" s="13" t="s">
        <v>357</v>
      </c>
      <c r="C467" s="14" t="s">
        <v>358</v>
      </c>
      <c r="D467" s="15">
        <v>1.4262E7</v>
      </c>
      <c r="E467" s="15">
        <v>1.479145E7</v>
      </c>
      <c r="F467" s="15">
        <v>2.373322E7</v>
      </c>
      <c r="G467" s="17">
        <f t="shared" si="1"/>
        <v>3.712312439</v>
      </c>
      <c r="H467" s="17">
        <f t="shared" si="2"/>
        <v>15340554.84</v>
      </c>
      <c r="I467" s="18">
        <f t="shared" si="3"/>
        <v>160.4522883</v>
      </c>
      <c r="J467" s="19">
        <f t="shared" si="4"/>
        <v>24614271.28</v>
      </c>
      <c r="K467" s="20">
        <v>2.614919E7</v>
      </c>
      <c r="L467" s="18">
        <f t="shared" si="5"/>
        <v>-5.869851884</v>
      </c>
    </row>
    <row r="468">
      <c r="A468" s="13" t="s">
        <v>414</v>
      </c>
      <c r="B468" s="13" t="s">
        <v>359</v>
      </c>
      <c r="C468" s="14" t="s">
        <v>360</v>
      </c>
      <c r="D468" s="15">
        <v>4835430.0</v>
      </c>
      <c r="E468" s="15">
        <v>5043960.0</v>
      </c>
      <c r="F468" s="15">
        <v>8596510.0</v>
      </c>
      <c r="G468" s="17">
        <f t="shared" si="1"/>
        <v>4.312543042</v>
      </c>
      <c r="H468" s="17">
        <f t="shared" si="2"/>
        <v>5261482.946</v>
      </c>
      <c r="I468" s="18">
        <f t="shared" si="3"/>
        <v>170.4317639</v>
      </c>
      <c r="J468" s="19">
        <f t="shared" si="4"/>
        <v>8967238.194</v>
      </c>
      <c r="K468" s="20">
        <v>8980180.0</v>
      </c>
      <c r="L468" s="18">
        <f t="shared" si="5"/>
        <v>-0.1441152201</v>
      </c>
    </row>
    <row r="469">
      <c r="A469" s="13" t="s">
        <v>414</v>
      </c>
      <c r="B469" s="13" t="s">
        <v>361</v>
      </c>
      <c r="C469" s="14" t="s">
        <v>362</v>
      </c>
      <c r="D469" s="15">
        <v>616900.0</v>
      </c>
      <c r="E469" s="15">
        <v>643050.0</v>
      </c>
      <c r="F469" s="15">
        <v>945400.0</v>
      </c>
      <c r="G469" s="17">
        <f t="shared" si="1"/>
        <v>4.238936619</v>
      </c>
      <c r="H469" s="17">
        <f t="shared" si="2"/>
        <v>670308.4819</v>
      </c>
      <c r="I469" s="18">
        <f t="shared" si="3"/>
        <v>147.0181168</v>
      </c>
      <c r="J469" s="19">
        <f t="shared" si="4"/>
        <v>985474.9068</v>
      </c>
      <c r="K469" s="20">
        <v>1104010.0</v>
      </c>
      <c r="L469" s="18">
        <f t="shared" si="5"/>
        <v>-10.73677713</v>
      </c>
    </row>
    <row r="470">
      <c r="A470" s="13" t="s">
        <v>414</v>
      </c>
      <c r="B470" s="13" t="s">
        <v>363</v>
      </c>
      <c r="C470" s="14" t="s">
        <v>364</v>
      </c>
      <c r="D470" s="15">
        <v>3030330.0</v>
      </c>
      <c r="E470" s="15">
        <v>3266970.0</v>
      </c>
      <c r="F470" s="15">
        <v>3016530.0</v>
      </c>
      <c r="G470" s="17">
        <f t="shared" si="1"/>
        <v>7.809050499</v>
      </c>
      <c r="H470" s="17">
        <f t="shared" si="2"/>
        <v>3522089.337</v>
      </c>
      <c r="I470" s="18">
        <f t="shared" si="3"/>
        <v>92.33418121</v>
      </c>
      <c r="J470" s="19">
        <f t="shared" si="4"/>
        <v>3252092.351</v>
      </c>
      <c r="K470" s="20">
        <v>3246700.0</v>
      </c>
      <c r="L470" s="18">
        <f t="shared" si="5"/>
        <v>0.1660871356</v>
      </c>
    </row>
    <row r="471">
      <c r="A471" s="13" t="s">
        <v>414</v>
      </c>
      <c r="B471" s="13" t="s">
        <v>365</v>
      </c>
      <c r="C471" s="14" t="s">
        <v>366</v>
      </c>
      <c r="D471" s="15">
        <v>2515530.0</v>
      </c>
      <c r="E471" s="15">
        <v>2516280.0</v>
      </c>
      <c r="F471" s="15">
        <v>4203730.0</v>
      </c>
      <c r="G471" s="17">
        <f t="shared" si="1"/>
        <v>0.02981479052</v>
      </c>
      <c r="H471" s="17">
        <f t="shared" si="2"/>
        <v>2517030.224</v>
      </c>
      <c r="I471" s="18">
        <f t="shared" si="3"/>
        <v>167.0612968</v>
      </c>
      <c r="J471" s="19">
        <f t="shared" si="4"/>
        <v>4204983.333</v>
      </c>
      <c r="K471" s="20">
        <v>4572410.0</v>
      </c>
      <c r="L471" s="18">
        <f t="shared" si="5"/>
        <v>-8.035733163</v>
      </c>
    </row>
    <row r="472">
      <c r="A472" s="13" t="s">
        <v>414</v>
      </c>
      <c r="B472" s="13" t="s">
        <v>367</v>
      </c>
      <c r="C472" s="14" t="s">
        <v>368</v>
      </c>
      <c r="D472" s="15">
        <v>1470770.0</v>
      </c>
      <c r="E472" s="15">
        <v>1534770.0</v>
      </c>
      <c r="F472" s="15">
        <v>2085969.9999999998</v>
      </c>
      <c r="G472" s="17">
        <f t="shared" si="1"/>
        <v>4.351462159</v>
      </c>
      <c r="H472" s="17">
        <f t="shared" si="2"/>
        <v>1601554.936</v>
      </c>
      <c r="I472" s="18">
        <f t="shared" si="3"/>
        <v>135.9141761</v>
      </c>
      <c r="J472" s="19">
        <f t="shared" si="4"/>
        <v>2176740.195</v>
      </c>
      <c r="K472" s="20">
        <v>2196080.0</v>
      </c>
      <c r="L472" s="18">
        <f t="shared" si="5"/>
        <v>-0.8806511965</v>
      </c>
    </row>
    <row r="473">
      <c r="A473" s="13" t="s">
        <v>414</v>
      </c>
      <c r="B473" s="13" t="s">
        <v>369</v>
      </c>
      <c r="C473" s="14" t="s">
        <v>370</v>
      </c>
      <c r="D473" s="15">
        <v>229220.0</v>
      </c>
      <c r="E473" s="15">
        <v>245650.0</v>
      </c>
      <c r="F473" s="15">
        <v>385360.0</v>
      </c>
      <c r="G473" s="17">
        <f t="shared" si="1"/>
        <v>7.167786406</v>
      </c>
      <c r="H473" s="17">
        <f t="shared" si="2"/>
        <v>263257.6673</v>
      </c>
      <c r="I473" s="18">
        <f t="shared" si="3"/>
        <v>156.8736007</v>
      </c>
      <c r="J473" s="19">
        <f t="shared" si="4"/>
        <v>412981.7817</v>
      </c>
      <c r="K473" s="20">
        <v>397020.0</v>
      </c>
      <c r="L473" s="18">
        <f t="shared" si="5"/>
        <v>4.020397384</v>
      </c>
    </row>
    <row r="474">
      <c r="A474" s="13" t="s">
        <v>414</v>
      </c>
      <c r="B474" s="13" t="s">
        <v>371</v>
      </c>
      <c r="C474" s="14" t="s">
        <v>372</v>
      </c>
      <c r="D474" s="15">
        <v>5301000.0</v>
      </c>
      <c r="E474" s="15">
        <v>5935950.0</v>
      </c>
      <c r="F474" s="15">
        <v>8911520.0</v>
      </c>
      <c r="G474" s="17">
        <f t="shared" si="1"/>
        <v>11.97792869</v>
      </c>
      <c r="H474" s="17">
        <f t="shared" si="2"/>
        <v>6646953.858</v>
      </c>
      <c r="I474" s="18">
        <f t="shared" si="3"/>
        <v>150.1279492</v>
      </c>
      <c r="J474" s="19">
        <f t="shared" si="4"/>
        <v>9978935.511</v>
      </c>
      <c r="K474" s="20">
        <v>8878660.0</v>
      </c>
      <c r="L474" s="18">
        <f t="shared" si="5"/>
        <v>12.39236001</v>
      </c>
    </row>
    <row r="475">
      <c r="A475" s="13" t="s">
        <v>414</v>
      </c>
      <c r="B475" s="13" t="s">
        <v>373</v>
      </c>
      <c r="C475" s="14" t="s">
        <v>374</v>
      </c>
      <c r="D475" s="15">
        <v>5295710.0</v>
      </c>
      <c r="E475" s="15">
        <v>5504060.0</v>
      </c>
      <c r="F475" s="15">
        <v>8269070.0</v>
      </c>
      <c r="G475" s="17">
        <f t="shared" si="1"/>
        <v>3.934316645</v>
      </c>
      <c r="H475" s="17">
        <f t="shared" si="2"/>
        <v>5720607.149</v>
      </c>
      <c r="I475" s="18">
        <f t="shared" si="3"/>
        <v>150.2358259</v>
      </c>
      <c r="J475" s="19">
        <f t="shared" si="4"/>
        <v>8594401.397</v>
      </c>
      <c r="K475" s="20">
        <v>9002320.0</v>
      </c>
      <c r="L475" s="18">
        <f t="shared" si="5"/>
        <v>-4.531260859</v>
      </c>
    </row>
    <row r="476">
      <c r="A476" s="13" t="s">
        <v>414</v>
      </c>
      <c r="B476" s="13" t="s">
        <v>375</v>
      </c>
      <c r="C476" s="14" t="s">
        <v>376</v>
      </c>
      <c r="D476" s="15">
        <v>1097380.0</v>
      </c>
      <c r="E476" s="15">
        <v>1156020.0</v>
      </c>
      <c r="F476" s="15">
        <v>1597390.0</v>
      </c>
      <c r="G476" s="17">
        <f t="shared" si="1"/>
        <v>5.343636662</v>
      </c>
      <c r="H476" s="17">
        <f t="shared" si="2"/>
        <v>1217793.509</v>
      </c>
      <c r="I476" s="18">
        <f t="shared" si="3"/>
        <v>138.1801353</v>
      </c>
      <c r="J476" s="19">
        <f t="shared" si="4"/>
        <v>1682748.718</v>
      </c>
      <c r="K476" s="20">
        <v>1680200.0</v>
      </c>
      <c r="L476" s="18">
        <f t="shared" si="5"/>
        <v>0.1516913268</v>
      </c>
    </row>
    <row r="477">
      <c r="A477" s="13" t="s">
        <v>414</v>
      </c>
      <c r="B477" s="13" t="s">
        <v>377</v>
      </c>
      <c r="C477" s="14" t="s">
        <v>378</v>
      </c>
      <c r="D477" s="15">
        <v>1518600.0</v>
      </c>
      <c r="E477" s="15">
        <v>1559080.0</v>
      </c>
      <c r="F477" s="15">
        <v>2061870.0</v>
      </c>
      <c r="G477" s="17">
        <f t="shared" si="1"/>
        <v>2.665613065</v>
      </c>
      <c r="H477" s="17">
        <f t="shared" si="2"/>
        <v>1600639.04</v>
      </c>
      <c r="I477" s="18">
        <f t="shared" si="3"/>
        <v>132.2491469</v>
      </c>
      <c r="J477" s="19">
        <f t="shared" si="4"/>
        <v>2116831.476</v>
      </c>
      <c r="K477" s="20">
        <v>2270340.0</v>
      </c>
      <c r="L477" s="18">
        <f t="shared" si="5"/>
        <v>-6.761477308</v>
      </c>
    </row>
    <row r="478">
      <c r="A478" s="13" t="s">
        <v>415</v>
      </c>
      <c r="B478" s="13" t="s">
        <v>63</v>
      </c>
      <c r="C478" s="14" t="s">
        <v>66</v>
      </c>
      <c r="D478" s="15">
        <v>1.13655E7</v>
      </c>
      <c r="E478" s="15">
        <v>1.171948E7</v>
      </c>
      <c r="F478" s="15">
        <v>2.034428E7</v>
      </c>
      <c r="G478" s="17">
        <f t="shared" si="1"/>
        <v>3.11451322</v>
      </c>
      <c r="H478" s="17">
        <f t="shared" si="2"/>
        <v>12084484.75</v>
      </c>
      <c r="I478" s="18">
        <f t="shared" si="3"/>
        <v>173.5937089</v>
      </c>
      <c r="J478" s="19">
        <f t="shared" si="4"/>
        <v>20977905.29</v>
      </c>
      <c r="K478" s="20">
        <v>2.171334E7</v>
      </c>
      <c r="L478" s="18">
        <f t="shared" si="5"/>
        <v>-3.387017888</v>
      </c>
    </row>
    <row r="479">
      <c r="A479" s="13" t="s">
        <v>415</v>
      </c>
      <c r="B479" s="13" t="s">
        <v>347</v>
      </c>
      <c r="C479" s="14" t="s">
        <v>348</v>
      </c>
      <c r="D479" s="15">
        <v>375690.0</v>
      </c>
      <c r="E479" s="15">
        <v>397590.0</v>
      </c>
      <c r="F479" s="15">
        <v>606290.0</v>
      </c>
      <c r="G479" s="17">
        <f t="shared" si="1"/>
        <v>5.829274136</v>
      </c>
      <c r="H479" s="17">
        <f t="shared" si="2"/>
        <v>420766.611</v>
      </c>
      <c r="I479" s="18">
        <f t="shared" si="3"/>
        <v>152.4912598</v>
      </c>
      <c r="J479" s="19">
        <f t="shared" si="4"/>
        <v>641632.3062</v>
      </c>
      <c r="K479" s="20">
        <v>723650.0</v>
      </c>
      <c r="L479" s="18">
        <f t="shared" si="5"/>
        <v>-11.33388984</v>
      </c>
    </row>
    <row r="480">
      <c r="A480" s="13" t="s">
        <v>415</v>
      </c>
      <c r="B480" s="13" t="s">
        <v>349</v>
      </c>
      <c r="C480" s="14" t="s">
        <v>350</v>
      </c>
      <c r="D480" s="15">
        <v>1338400.0</v>
      </c>
      <c r="E480" s="15">
        <v>1381620.0</v>
      </c>
      <c r="F480" s="15">
        <v>2396850.0</v>
      </c>
      <c r="G480" s="17">
        <f t="shared" si="1"/>
        <v>3.22922893</v>
      </c>
      <c r="H480" s="17">
        <f t="shared" si="2"/>
        <v>1426235.673</v>
      </c>
      <c r="I480" s="18">
        <f t="shared" si="3"/>
        <v>173.4811308</v>
      </c>
      <c r="J480" s="19">
        <f t="shared" si="4"/>
        <v>2474249.774</v>
      </c>
      <c r="K480" s="20">
        <v>2883400.0</v>
      </c>
      <c r="L480" s="18">
        <f t="shared" si="5"/>
        <v>-14.18985317</v>
      </c>
    </row>
    <row r="481">
      <c r="A481" s="13" t="s">
        <v>415</v>
      </c>
      <c r="B481" s="13" t="s">
        <v>351</v>
      </c>
      <c r="C481" s="14" t="s">
        <v>352</v>
      </c>
      <c r="D481" s="15">
        <v>28950.0</v>
      </c>
      <c r="E481" s="15">
        <v>29480.0</v>
      </c>
      <c r="F481" s="15">
        <v>26070.0</v>
      </c>
      <c r="G481" s="17">
        <f t="shared" si="1"/>
        <v>1.83074266</v>
      </c>
      <c r="H481" s="17">
        <f t="shared" si="2"/>
        <v>30019.70294</v>
      </c>
      <c r="I481" s="18">
        <f t="shared" si="3"/>
        <v>88.43283582</v>
      </c>
      <c r="J481" s="19">
        <f t="shared" si="4"/>
        <v>26547.27461</v>
      </c>
      <c r="K481" s="20">
        <v>27750.0</v>
      </c>
      <c r="L481" s="18">
        <f t="shared" si="5"/>
        <v>-4.334145545</v>
      </c>
    </row>
    <row r="482">
      <c r="A482" s="13" t="s">
        <v>415</v>
      </c>
      <c r="B482" s="13" t="s">
        <v>353</v>
      </c>
      <c r="C482" s="14" t="s">
        <v>354</v>
      </c>
      <c r="D482" s="15">
        <v>19180.0</v>
      </c>
      <c r="E482" s="15">
        <v>19910.0</v>
      </c>
      <c r="F482" s="15">
        <v>31000.0</v>
      </c>
      <c r="G482" s="17">
        <f t="shared" si="1"/>
        <v>3.806047967</v>
      </c>
      <c r="H482" s="17">
        <f t="shared" si="2"/>
        <v>20667.78415</v>
      </c>
      <c r="I482" s="18">
        <f t="shared" si="3"/>
        <v>155.7006529</v>
      </c>
      <c r="J482" s="19">
        <f t="shared" si="4"/>
        <v>32179.87487</v>
      </c>
      <c r="K482" s="20">
        <v>32710.0</v>
      </c>
      <c r="L482" s="18">
        <f t="shared" si="5"/>
        <v>-1.620682147</v>
      </c>
    </row>
    <row r="483">
      <c r="A483" s="13" t="s">
        <v>415</v>
      </c>
      <c r="B483" s="13" t="s">
        <v>355</v>
      </c>
      <c r="C483" s="14" t="s">
        <v>356</v>
      </c>
      <c r="D483" s="15">
        <v>3464070.0</v>
      </c>
      <c r="E483" s="15">
        <v>3686200.0</v>
      </c>
      <c r="F483" s="15">
        <v>6186440.0</v>
      </c>
      <c r="G483" s="17">
        <f t="shared" si="1"/>
        <v>6.412399288</v>
      </c>
      <c r="H483" s="17">
        <f t="shared" si="2"/>
        <v>3922573.863</v>
      </c>
      <c r="I483" s="18">
        <f t="shared" si="3"/>
        <v>167.8270305</v>
      </c>
      <c r="J483" s="19">
        <f t="shared" si="4"/>
        <v>6583139.234</v>
      </c>
      <c r="K483" s="20">
        <v>6613550.0</v>
      </c>
      <c r="L483" s="18">
        <f t="shared" si="5"/>
        <v>-0.4598251395</v>
      </c>
    </row>
    <row r="484">
      <c r="A484" s="13" t="s">
        <v>415</v>
      </c>
      <c r="B484" s="13" t="s">
        <v>357</v>
      </c>
      <c r="C484" s="14" t="s">
        <v>358</v>
      </c>
      <c r="D484" s="15">
        <v>4128180.0000000005</v>
      </c>
      <c r="E484" s="15">
        <v>4439370.0</v>
      </c>
      <c r="F484" s="15">
        <v>7760670.0</v>
      </c>
      <c r="G484" s="17">
        <f t="shared" si="1"/>
        <v>7.538188742</v>
      </c>
      <c r="H484" s="17">
        <f t="shared" si="2"/>
        <v>4774018.09</v>
      </c>
      <c r="I484" s="18">
        <f t="shared" si="3"/>
        <v>174.8146696</v>
      </c>
      <c r="J484" s="19">
        <f t="shared" si="4"/>
        <v>8345683.952</v>
      </c>
      <c r="K484" s="20">
        <v>8655710.0</v>
      </c>
      <c r="L484" s="18">
        <f t="shared" si="5"/>
        <v>-3.581751789</v>
      </c>
    </row>
    <row r="485">
      <c r="A485" s="13" t="s">
        <v>415</v>
      </c>
      <c r="B485" s="13" t="s">
        <v>359</v>
      </c>
      <c r="C485" s="14" t="s">
        <v>360</v>
      </c>
      <c r="D485" s="15">
        <v>1798580.0</v>
      </c>
      <c r="E485" s="15">
        <v>1887770.0</v>
      </c>
      <c r="F485" s="15">
        <v>3296350.0</v>
      </c>
      <c r="G485" s="17">
        <f t="shared" si="1"/>
        <v>4.958912031</v>
      </c>
      <c r="H485" s="17">
        <f t="shared" si="2"/>
        <v>1981382.854</v>
      </c>
      <c r="I485" s="18">
        <f t="shared" si="3"/>
        <v>174.6160814</v>
      </c>
      <c r="J485" s="19">
        <f t="shared" si="4"/>
        <v>3459813.097</v>
      </c>
      <c r="K485" s="20">
        <v>3650070.0</v>
      </c>
      <c r="L485" s="18">
        <f t="shared" si="5"/>
        <v>-5.212417934</v>
      </c>
    </row>
    <row r="486">
      <c r="A486" s="13" t="s">
        <v>415</v>
      </c>
      <c r="B486" s="13" t="s">
        <v>361</v>
      </c>
      <c r="C486" s="14" t="s">
        <v>362</v>
      </c>
      <c r="D486" s="15">
        <v>761860.0</v>
      </c>
      <c r="E486" s="15">
        <v>810810.0</v>
      </c>
      <c r="F486" s="15">
        <v>1250170.0</v>
      </c>
      <c r="G486" s="17">
        <f t="shared" si="1"/>
        <v>6.425064973</v>
      </c>
      <c r="H486" s="17">
        <f t="shared" si="2"/>
        <v>862905.0693</v>
      </c>
      <c r="I486" s="18">
        <f t="shared" si="3"/>
        <v>154.1877875</v>
      </c>
      <c r="J486" s="19">
        <f t="shared" si="4"/>
        <v>1330494.235</v>
      </c>
      <c r="K486" s="20">
        <v>1350790.0</v>
      </c>
      <c r="L486" s="18">
        <f t="shared" si="5"/>
        <v>-1.50251077</v>
      </c>
    </row>
    <row r="487">
      <c r="A487" s="13" t="s">
        <v>415</v>
      </c>
      <c r="B487" s="13" t="s">
        <v>363</v>
      </c>
      <c r="C487" s="14" t="s">
        <v>364</v>
      </c>
      <c r="D487" s="15">
        <v>1140600.0</v>
      </c>
      <c r="E487" s="15">
        <v>1195450.0</v>
      </c>
      <c r="F487" s="15">
        <v>1464960.0</v>
      </c>
      <c r="G487" s="17">
        <f t="shared" si="1"/>
        <v>4.808872523</v>
      </c>
      <c r="H487" s="17">
        <f t="shared" si="2"/>
        <v>1252937.667</v>
      </c>
      <c r="I487" s="18">
        <f t="shared" si="3"/>
        <v>122.5446485</v>
      </c>
      <c r="J487" s="19">
        <f t="shared" si="4"/>
        <v>1535408.059</v>
      </c>
      <c r="K487" s="20">
        <v>1543430.0</v>
      </c>
      <c r="L487" s="18">
        <f t="shared" si="5"/>
        <v>-0.5197476454</v>
      </c>
    </row>
    <row r="488">
      <c r="A488" s="13" t="s">
        <v>415</v>
      </c>
      <c r="B488" s="13" t="s">
        <v>365</v>
      </c>
      <c r="C488" s="14" t="s">
        <v>366</v>
      </c>
      <c r="D488" s="15">
        <v>1206460.0</v>
      </c>
      <c r="E488" s="15">
        <v>1216340.0</v>
      </c>
      <c r="F488" s="15">
        <v>2123190.0</v>
      </c>
      <c r="G488" s="17">
        <f t="shared" si="1"/>
        <v>0.8189247882</v>
      </c>
      <c r="H488" s="17">
        <f t="shared" si="2"/>
        <v>1226300.91</v>
      </c>
      <c r="I488" s="18">
        <f t="shared" si="3"/>
        <v>174.5556341</v>
      </c>
      <c r="J488" s="19">
        <f t="shared" si="4"/>
        <v>2140577.329</v>
      </c>
      <c r="K488" s="20">
        <v>2330640.0</v>
      </c>
      <c r="L488" s="18">
        <f t="shared" si="5"/>
        <v>-8.154956183</v>
      </c>
    </row>
    <row r="489">
      <c r="A489" s="13" t="s">
        <v>415</v>
      </c>
      <c r="B489" s="13" t="s">
        <v>367</v>
      </c>
      <c r="C489" s="14" t="s">
        <v>368</v>
      </c>
      <c r="D489" s="15">
        <v>557150.0</v>
      </c>
      <c r="E489" s="15">
        <v>576270.0</v>
      </c>
      <c r="F489" s="15">
        <v>862840.0</v>
      </c>
      <c r="G489" s="17">
        <f t="shared" si="1"/>
        <v>3.431750875</v>
      </c>
      <c r="H489" s="17">
        <f t="shared" si="2"/>
        <v>596046.1508</v>
      </c>
      <c r="I489" s="18">
        <f t="shared" si="3"/>
        <v>149.7284259</v>
      </c>
      <c r="J489" s="19">
        <f t="shared" si="4"/>
        <v>892450.5192</v>
      </c>
      <c r="K489" s="20">
        <v>948690.0</v>
      </c>
      <c r="L489" s="18">
        <f t="shared" si="5"/>
        <v>-5.928119907</v>
      </c>
    </row>
    <row r="490">
      <c r="A490" s="13" t="s">
        <v>415</v>
      </c>
      <c r="B490" s="13" t="s">
        <v>369</v>
      </c>
      <c r="C490" s="14" t="s">
        <v>370</v>
      </c>
      <c r="D490" s="15">
        <v>26510.0</v>
      </c>
      <c r="E490" s="15">
        <v>26800.0</v>
      </c>
      <c r="F490" s="15">
        <v>42980.0</v>
      </c>
      <c r="G490" s="17">
        <f t="shared" si="1"/>
        <v>1.09392682</v>
      </c>
      <c r="H490" s="17">
        <f t="shared" si="2"/>
        <v>27093.17239</v>
      </c>
      <c r="I490" s="18">
        <f t="shared" si="3"/>
        <v>160.3731343</v>
      </c>
      <c r="J490" s="19">
        <f t="shared" si="4"/>
        <v>43450.16975</v>
      </c>
      <c r="K490" s="20">
        <v>45760.0</v>
      </c>
      <c r="L490" s="18">
        <f t="shared" si="5"/>
        <v>-5.047705972</v>
      </c>
    </row>
    <row r="491">
      <c r="A491" s="13" t="s">
        <v>415</v>
      </c>
      <c r="B491" s="13" t="s">
        <v>371</v>
      </c>
      <c r="C491" s="14" t="s">
        <v>372</v>
      </c>
      <c r="D491" s="15">
        <v>2244670.0</v>
      </c>
      <c r="E491" s="15">
        <v>2319030.0</v>
      </c>
      <c r="F491" s="15">
        <v>3139570.0</v>
      </c>
      <c r="G491" s="17">
        <f t="shared" si="1"/>
        <v>3.312736393</v>
      </c>
      <c r="H491" s="17">
        <f t="shared" si="2"/>
        <v>2395853.351</v>
      </c>
      <c r="I491" s="18">
        <f t="shared" si="3"/>
        <v>135.3828972</v>
      </c>
      <c r="J491" s="19">
        <f t="shared" si="4"/>
        <v>3243575.678</v>
      </c>
      <c r="K491" s="20">
        <v>3192630.0</v>
      </c>
      <c r="L491" s="18">
        <f t="shared" si="5"/>
        <v>1.595727597</v>
      </c>
    </row>
    <row r="492">
      <c r="A492" s="13" t="s">
        <v>415</v>
      </c>
      <c r="B492" s="13" t="s">
        <v>373</v>
      </c>
      <c r="C492" s="14" t="s">
        <v>374</v>
      </c>
      <c r="D492" s="15">
        <v>1474890.0</v>
      </c>
      <c r="E492" s="15">
        <v>1455940.0</v>
      </c>
      <c r="F492" s="15">
        <v>2276920.0</v>
      </c>
      <c r="G492" s="17">
        <f t="shared" si="1"/>
        <v>-1.284841581</v>
      </c>
      <c r="H492" s="17">
        <f t="shared" si="2"/>
        <v>1437233.477</v>
      </c>
      <c r="I492" s="18">
        <f t="shared" si="3"/>
        <v>156.3883127</v>
      </c>
      <c r="J492" s="19">
        <f t="shared" si="4"/>
        <v>2247665.185</v>
      </c>
      <c r="K492" s="20">
        <v>2368470.0</v>
      </c>
      <c r="L492" s="18">
        <f t="shared" si="5"/>
        <v>-5.100542331</v>
      </c>
    </row>
    <row r="493">
      <c r="A493" s="13" t="s">
        <v>415</v>
      </c>
      <c r="B493" s="13" t="s">
        <v>375</v>
      </c>
      <c r="C493" s="14" t="s">
        <v>376</v>
      </c>
      <c r="D493" s="15">
        <v>1238430.0</v>
      </c>
      <c r="E493" s="15">
        <v>1301690.0</v>
      </c>
      <c r="F493" s="15">
        <v>2051909.9999999998</v>
      </c>
      <c r="G493" s="17">
        <f t="shared" si="1"/>
        <v>5.108080392</v>
      </c>
      <c r="H493" s="17">
        <f t="shared" si="2"/>
        <v>1368181.372</v>
      </c>
      <c r="I493" s="18">
        <f t="shared" si="3"/>
        <v>157.6343062</v>
      </c>
      <c r="J493" s="19">
        <f t="shared" si="4"/>
        <v>2156723.212</v>
      </c>
      <c r="K493" s="20">
        <v>2171760.0</v>
      </c>
      <c r="L493" s="18">
        <f t="shared" si="5"/>
        <v>-0.6923779619</v>
      </c>
    </row>
    <row r="494">
      <c r="A494" s="13" t="s">
        <v>415</v>
      </c>
      <c r="B494" s="13" t="s">
        <v>377</v>
      </c>
      <c r="C494" s="14" t="s">
        <v>378</v>
      </c>
      <c r="D494" s="15">
        <v>474670.0</v>
      </c>
      <c r="E494" s="15">
        <v>488200.0</v>
      </c>
      <c r="F494" s="15">
        <v>699150.0</v>
      </c>
      <c r="G494" s="17">
        <f t="shared" si="1"/>
        <v>2.850401331</v>
      </c>
      <c r="H494" s="17">
        <f t="shared" si="2"/>
        <v>502115.6593</v>
      </c>
      <c r="I494" s="18">
        <f t="shared" si="3"/>
        <v>143.2097501</v>
      </c>
      <c r="J494" s="19">
        <f t="shared" si="4"/>
        <v>719078.5809</v>
      </c>
      <c r="K494" s="20">
        <v>725160.0</v>
      </c>
      <c r="L494" s="18">
        <f t="shared" si="5"/>
        <v>-0.8386313491</v>
      </c>
    </row>
    <row r="495">
      <c r="A495" s="13" t="s">
        <v>416</v>
      </c>
      <c r="B495" s="13" t="s">
        <v>63</v>
      </c>
      <c r="C495" s="14" t="s">
        <v>66</v>
      </c>
      <c r="D495" s="15">
        <v>1.387849E7</v>
      </c>
      <c r="E495" s="15">
        <v>1.454156E7</v>
      </c>
      <c r="F495" s="15">
        <v>2.960876E7</v>
      </c>
      <c r="G495" s="17">
        <f t="shared" si="1"/>
        <v>4.777681145</v>
      </c>
      <c r="H495" s="17">
        <f t="shared" si="2"/>
        <v>15236309.37</v>
      </c>
      <c r="I495" s="18">
        <f t="shared" si="3"/>
        <v>203.6147428</v>
      </c>
      <c r="J495" s="19">
        <f t="shared" si="4"/>
        <v>31023372.14</v>
      </c>
      <c r="K495" s="20">
        <v>3.396337E7</v>
      </c>
      <c r="L495" s="18">
        <f t="shared" si="5"/>
        <v>-8.656378493</v>
      </c>
    </row>
    <row r="496">
      <c r="A496" s="13" t="s">
        <v>416</v>
      </c>
      <c r="B496" s="13" t="s">
        <v>347</v>
      </c>
      <c r="C496" s="14" t="s">
        <v>348</v>
      </c>
      <c r="D496" s="15">
        <v>818930.0</v>
      </c>
      <c r="E496" s="15">
        <v>898750.0</v>
      </c>
      <c r="F496" s="15">
        <v>1417810.0</v>
      </c>
      <c r="G496" s="17">
        <f t="shared" si="1"/>
        <v>9.746864811</v>
      </c>
      <c r="H496" s="17">
        <f t="shared" si="2"/>
        <v>986349.9475</v>
      </c>
      <c r="I496" s="18">
        <f t="shared" si="3"/>
        <v>157.7535466</v>
      </c>
      <c r="J496" s="19">
        <f t="shared" si="4"/>
        <v>1556002.024</v>
      </c>
      <c r="K496" s="20">
        <v>1495670.0</v>
      </c>
      <c r="L496" s="18">
        <f t="shared" si="5"/>
        <v>4.033779108</v>
      </c>
    </row>
    <row r="497">
      <c r="A497" s="13" t="s">
        <v>416</v>
      </c>
      <c r="B497" s="13" t="s">
        <v>349</v>
      </c>
      <c r="C497" s="14" t="s">
        <v>350</v>
      </c>
      <c r="D497" s="15">
        <v>4102270.0000000005</v>
      </c>
      <c r="E497" s="15">
        <v>4033120.0</v>
      </c>
      <c r="F497" s="15">
        <v>6684640.0</v>
      </c>
      <c r="G497" s="17">
        <f t="shared" si="1"/>
        <v>-1.68565209</v>
      </c>
      <c r="H497" s="17">
        <f t="shared" si="2"/>
        <v>3965135.628</v>
      </c>
      <c r="I497" s="18">
        <f t="shared" si="3"/>
        <v>165.7436426</v>
      </c>
      <c r="J497" s="19">
        <f t="shared" si="4"/>
        <v>6571960.226</v>
      </c>
      <c r="K497" s="20">
        <v>8217670.0</v>
      </c>
      <c r="L497" s="18">
        <f t="shared" si="5"/>
        <v>-20.02647677</v>
      </c>
    </row>
    <row r="498">
      <c r="A498" s="13" t="s">
        <v>416</v>
      </c>
      <c r="B498" s="13" t="s">
        <v>351</v>
      </c>
      <c r="C498" s="14" t="s">
        <v>352</v>
      </c>
      <c r="D498" s="15">
        <v>30850.0</v>
      </c>
      <c r="E498" s="15">
        <v>33830.0</v>
      </c>
      <c r="F498" s="15">
        <v>25460.0</v>
      </c>
      <c r="G498" s="17">
        <f t="shared" si="1"/>
        <v>9.659643436</v>
      </c>
      <c r="H498" s="17">
        <f t="shared" si="2"/>
        <v>37097.85737</v>
      </c>
      <c r="I498" s="18">
        <f t="shared" si="3"/>
        <v>75.25864617</v>
      </c>
      <c r="J498" s="19">
        <f t="shared" si="4"/>
        <v>27919.34522</v>
      </c>
      <c r="K498" s="20">
        <v>27430.0</v>
      </c>
      <c r="L498" s="18">
        <f t="shared" si="5"/>
        <v>1.783978195</v>
      </c>
    </row>
    <row r="499">
      <c r="A499" s="13" t="s">
        <v>416</v>
      </c>
      <c r="B499" s="13" t="s">
        <v>353</v>
      </c>
      <c r="C499" s="14" t="s">
        <v>354</v>
      </c>
      <c r="D499" s="15">
        <v>63370.0</v>
      </c>
      <c r="E499" s="15">
        <v>67210.0</v>
      </c>
      <c r="F499" s="15">
        <v>81920.0</v>
      </c>
      <c r="G499" s="17">
        <f t="shared" si="1"/>
        <v>6.059649677</v>
      </c>
      <c r="H499" s="17">
        <f t="shared" si="2"/>
        <v>71282.69055</v>
      </c>
      <c r="I499" s="18">
        <f t="shared" si="3"/>
        <v>121.886624</v>
      </c>
      <c r="J499" s="19">
        <f t="shared" si="4"/>
        <v>86884.06501</v>
      </c>
      <c r="K499" s="20">
        <v>80300.0</v>
      </c>
      <c r="L499" s="18">
        <f t="shared" si="5"/>
        <v>8.199333767</v>
      </c>
    </row>
    <row r="500">
      <c r="A500" s="13" t="s">
        <v>416</v>
      </c>
      <c r="B500" s="13" t="s">
        <v>355</v>
      </c>
      <c r="C500" s="14" t="s">
        <v>356</v>
      </c>
      <c r="D500" s="15">
        <v>2626170.0</v>
      </c>
      <c r="E500" s="15">
        <v>2797170.0</v>
      </c>
      <c r="F500" s="15">
        <v>4618630.0</v>
      </c>
      <c r="G500" s="17">
        <f t="shared" si="1"/>
        <v>6.511383498</v>
      </c>
      <c r="H500" s="17">
        <f t="shared" si="2"/>
        <v>2979304.466</v>
      </c>
      <c r="I500" s="18">
        <f t="shared" si="3"/>
        <v>165.1179585</v>
      </c>
      <c r="J500" s="19">
        <f t="shared" si="4"/>
        <v>4919366.712</v>
      </c>
      <c r="K500" s="20">
        <v>4357760.0</v>
      </c>
      <c r="L500" s="18">
        <f t="shared" si="5"/>
        <v>12.88750899</v>
      </c>
    </row>
    <row r="501">
      <c r="A501" s="13" t="s">
        <v>416</v>
      </c>
      <c r="B501" s="13" t="s">
        <v>357</v>
      </c>
      <c r="C501" s="14" t="s">
        <v>358</v>
      </c>
      <c r="D501" s="15">
        <v>3465100.0</v>
      </c>
      <c r="E501" s="15">
        <v>3673240.0</v>
      </c>
      <c r="F501" s="15">
        <v>6241990.0</v>
      </c>
      <c r="G501" s="17">
        <f t="shared" si="1"/>
        <v>6.006753052</v>
      </c>
      <c r="H501" s="17">
        <f t="shared" si="2"/>
        <v>3893882.456</v>
      </c>
      <c r="I501" s="18">
        <f t="shared" si="3"/>
        <v>169.9314502</v>
      </c>
      <c r="J501" s="19">
        <f t="shared" si="4"/>
        <v>6616930.925</v>
      </c>
      <c r="K501" s="20">
        <v>6707470.0</v>
      </c>
      <c r="L501" s="18">
        <f t="shared" si="5"/>
        <v>-1.349824527</v>
      </c>
    </row>
    <row r="502">
      <c r="A502" s="13" t="s">
        <v>416</v>
      </c>
      <c r="B502" s="13" t="s">
        <v>359</v>
      </c>
      <c r="C502" s="14" t="s">
        <v>360</v>
      </c>
      <c r="D502" s="15">
        <v>591330.0</v>
      </c>
      <c r="E502" s="15">
        <v>641580.0</v>
      </c>
      <c r="F502" s="15">
        <v>967340.0</v>
      </c>
      <c r="G502" s="17">
        <f t="shared" si="1"/>
        <v>8.49779311</v>
      </c>
      <c r="H502" s="17">
        <f t="shared" si="2"/>
        <v>696100.141</v>
      </c>
      <c r="I502" s="18">
        <f t="shared" si="3"/>
        <v>150.7746501</v>
      </c>
      <c r="J502" s="19">
        <f t="shared" si="4"/>
        <v>1049542.552</v>
      </c>
      <c r="K502" s="20">
        <v>1022400.0</v>
      </c>
      <c r="L502" s="18">
        <f t="shared" si="5"/>
        <v>2.654787938</v>
      </c>
    </row>
    <row r="503">
      <c r="A503" s="13" t="s">
        <v>416</v>
      </c>
      <c r="B503" s="13" t="s">
        <v>361</v>
      </c>
      <c r="C503" s="14" t="s">
        <v>362</v>
      </c>
      <c r="D503" s="15">
        <v>97870.0</v>
      </c>
      <c r="E503" s="15">
        <v>104940.0</v>
      </c>
      <c r="F503" s="15">
        <v>156040.0</v>
      </c>
      <c r="G503" s="17">
        <f t="shared" si="1"/>
        <v>7.223868397</v>
      </c>
      <c r="H503" s="17">
        <f t="shared" si="2"/>
        <v>112520.7275</v>
      </c>
      <c r="I503" s="18">
        <f t="shared" si="3"/>
        <v>148.6944921</v>
      </c>
      <c r="J503" s="19">
        <f t="shared" si="4"/>
        <v>167312.1242</v>
      </c>
      <c r="K503" s="20">
        <v>175290.0</v>
      </c>
      <c r="L503" s="18">
        <f t="shared" si="5"/>
        <v>-4.551244083</v>
      </c>
    </row>
    <row r="504">
      <c r="A504" s="13" t="s">
        <v>416</v>
      </c>
      <c r="B504" s="13" t="s">
        <v>363</v>
      </c>
      <c r="C504" s="14" t="s">
        <v>364</v>
      </c>
      <c r="D504" s="15">
        <v>1981890.0</v>
      </c>
      <c r="E504" s="15">
        <v>2111340.0</v>
      </c>
      <c r="F504" s="15">
        <v>2490300.0</v>
      </c>
      <c r="G504" s="17">
        <f t="shared" si="1"/>
        <v>6.531644037</v>
      </c>
      <c r="H504" s="17">
        <f t="shared" si="2"/>
        <v>2249245.213</v>
      </c>
      <c r="I504" s="18">
        <f t="shared" si="3"/>
        <v>117.9487908</v>
      </c>
      <c r="J504" s="19">
        <f t="shared" si="4"/>
        <v>2652957.531</v>
      </c>
      <c r="K504" s="20">
        <v>2576100.0</v>
      </c>
      <c r="L504" s="18">
        <f t="shared" si="5"/>
        <v>2.983484005</v>
      </c>
    </row>
    <row r="505">
      <c r="A505" s="13" t="s">
        <v>416</v>
      </c>
      <c r="B505" s="13" t="s">
        <v>365</v>
      </c>
      <c r="C505" s="14" t="s">
        <v>366</v>
      </c>
      <c r="D505" s="15">
        <v>735560.0</v>
      </c>
      <c r="E505" s="15">
        <v>756870.0</v>
      </c>
      <c r="F505" s="15">
        <v>1279610.0</v>
      </c>
      <c r="G505" s="17">
        <f t="shared" si="1"/>
        <v>2.897112404</v>
      </c>
      <c r="H505" s="17">
        <f t="shared" si="2"/>
        <v>778797.3747</v>
      </c>
      <c r="I505" s="18">
        <f t="shared" si="3"/>
        <v>169.0660219</v>
      </c>
      <c r="J505" s="19">
        <f t="shared" si="4"/>
        <v>1316681.74</v>
      </c>
      <c r="K505" s="20">
        <v>1448860.0</v>
      </c>
      <c r="L505" s="18">
        <f t="shared" si="5"/>
        <v>-9.122914565</v>
      </c>
    </row>
    <row r="506">
      <c r="A506" s="13" t="s">
        <v>416</v>
      </c>
      <c r="B506" s="13" t="s">
        <v>367</v>
      </c>
      <c r="C506" s="14" t="s">
        <v>368</v>
      </c>
      <c r="D506" s="15">
        <v>1013750.0</v>
      </c>
      <c r="E506" s="15">
        <v>1094300.0</v>
      </c>
      <c r="F506" s="15">
        <v>1620270.0</v>
      </c>
      <c r="G506" s="17">
        <f t="shared" si="1"/>
        <v>7.945745993</v>
      </c>
      <c r="H506" s="17">
        <f t="shared" si="2"/>
        <v>1181250.298</v>
      </c>
      <c r="I506" s="18">
        <f t="shared" si="3"/>
        <v>148.0645161</v>
      </c>
      <c r="J506" s="19">
        <f t="shared" si="4"/>
        <v>1749012.539</v>
      </c>
      <c r="K506" s="20">
        <v>1688160.0</v>
      </c>
      <c r="L506" s="18">
        <f t="shared" si="5"/>
        <v>3.604666536</v>
      </c>
    </row>
    <row r="507">
      <c r="A507" s="13" t="s">
        <v>416</v>
      </c>
      <c r="B507" s="13" t="s">
        <v>369</v>
      </c>
      <c r="C507" s="14" t="s">
        <v>370</v>
      </c>
      <c r="D507" s="15">
        <v>30310.0</v>
      </c>
      <c r="E507" s="15">
        <v>32930.0</v>
      </c>
      <c r="F507" s="15">
        <v>40200.0</v>
      </c>
      <c r="G507" s="17">
        <f t="shared" si="1"/>
        <v>8.644011877</v>
      </c>
      <c r="H507" s="17">
        <f t="shared" si="2"/>
        <v>35776.47311</v>
      </c>
      <c r="I507" s="18">
        <f t="shared" si="3"/>
        <v>122.0771333</v>
      </c>
      <c r="J507" s="19">
        <f t="shared" si="4"/>
        <v>43674.89277</v>
      </c>
      <c r="K507" s="20">
        <v>44010.0</v>
      </c>
      <c r="L507" s="18">
        <f t="shared" si="5"/>
        <v>-0.7614342771</v>
      </c>
    </row>
    <row r="508">
      <c r="A508" s="13" t="s">
        <v>416</v>
      </c>
      <c r="B508" s="13" t="s">
        <v>371</v>
      </c>
      <c r="C508" s="14" t="s">
        <v>372</v>
      </c>
      <c r="D508" s="15">
        <v>2724620.0</v>
      </c>
      <c r="E508" s="15">
        <v>2834480.0</v>
      </c>
      <c r="F508" s="15">
        <v>3989500.0</v>
      </c>
      <c r="G508" s="17">
        <f t="shared" si="1"/>
        <v>4.032121911</v>
      </c>
      <c r="H508" s="17">
        <f t="shared" si="2"/>
        <v>2948769.689</v>
      </c>
      <c r="I508" s="18">
        <f t="shared" si="3"/>
        <v>140.7489204</v>
      </c>
      <c r="J508" s="19">
        <f t="shared" si="4"/>
        <v>4150361.504</v>
      </c>
      <c r="K508" s="20">
        <v>4111800.0</v>
      </c>
      <c r="L508" s="18">
        <f t="shared" si="5"/>
        <v>0.9378253714</v>
      </c>
    </row>
    <row r="509">
      <c r="A509" s="13" t="s">
        <v>416</v>
      </c>
      <c r="B509" s="13" t="s">
        <v>373</v>
      </c>
      <c r="C509" s="14" t="s">
        <v>374</v>
      </c>
      <c r="D509" s="15">
        <v>1760620.0</v>
      </c>
      <c r="E509" s="15">
        <v>1872150.0</v>
      </c>
      <c r="F509" s="15">
        <v>2765970.0</v>
      </c>
      <c r="G509" s="17">
        <f t="shared" si="1"/>
        <v>6.334700276</v>
      </c>
      <c r="H509" s="17">
        <f t="shared" si="2"/>
        <v>1990745.091</v>
      </c>
      <c r="I509" s="18">
        <f t="shared" si="3"/>
        <v>147.7429693</v>
      </c>
      <c r="J509" s="19">
        <f t="shared" si="4"/>
        <v>2941185.909</v>
      </c>
      <c r="K509" s="20">
        <v>2921990.0</v>
      </c>
      <c r="L509" s="18">
        <f t="shared" si="5"/>
        <v>0.656946438</v>
      </c>
    </row>
    <row r="510">
      <c r="A510" s="13" t="s">
        <v>416</v>
      </c>
      <c r="B510" s="13" t="s">
        <v>375</v>
      </c>
      <c r="C510" s="14" t="s">
        <v>376</v>
      </c>
      <c r="D510" s="15">
        <v>754470.0</v>
      </c>
      <c r="E510" s="15">
        <v>824490.0</v>
      </c>
      <c r="F510" s="15">
        <v>1187940.0</v>
      </c>
      <c r="G510" s="17">
        <f t="shared" si="1"/>
        <v>9.280687105</v>
      </c>
      <c r="H510" s="17">
        <f t="shared" si="2"/>
        <v>901008.3371</v>
      </c>
      <c r="I510" s="18">
        <f t="shared" si="3"/>
        <v>144.081796</v>
      </c>
      <c r="J510" s="19">
        <f t="shared" si="4"/>
        <v>1298188.994</v>
      </c>
      <c r="K510" s="20">
        <v>1217680.0</v>
      </c>
      <c r="L510" s="18">
        <f t="shared" si="5"/>
        <v>6.611670915</v>
      </c>
    </row>
    <row r="511">
      <c r="A511" s="13" t="s">
        <v>416</v>
      </c>
      <c r="B511" s="13" t="s">
        <v>377</v>
      </c>
      <c r="C511" s="14" t="s">
        <v>378</v>
      </c>
      <c r="D511" s="15">
        <v>726890.0</v>
      </c>
      <c r="E511" s="15">
        <v>769460.0</v>
      </c>
      <c r="F511" s="15">
        <v>1038280.0</v>
      </c>
      <c r="G511" s="17">
        <f t="shared" si="1"/>
        <v>5.85645696</v>
      </c>
      <c r="H511" s="17">
        <f t="shared" si="2"/>
        <v>814523.0937</v>
      </c>
      <c r="I511" s="18">
        <f t="shared" si="3"/>
        <v>134.936189</v>
      </c>
      <c r="J511" s="19">
        <f t="shared" si="4"/>
        <v>1099086.421</v>
      </c>
      <c r="K511" s="20">
        <v>1106470.0</v>
      </c>
      <c r="L511" s="18">
        <f t="shared" si="5"/>
        <v>-0.6673094319</v>
      </c>
    </row>
    <row r="512">
      <c r="A512" s="13" t="s">
        <v>417</v>
      </c>
      <c r="B512" s="13" t="s">
        <v>63</v>
      </c>
      <c r="C512" s="14" t="s">
        <v>66</v>
      </c>
      <c r="D512" s="15">
        <v>8276740.0</v>
      </c>
      <c r="E512" s="15">
        <v>8557580.0</v>
      </c>
      <c r="F512" s="15">
        <v>1.478147E7</v>
      </c>
      <c r="G512" s="17">
        <f t="shared" si="1"/>
        <v>3.393123379</v>
      </c>
      <c r="H512" s="17">
        <f t="shared" si="2"/>
        <v>8847949.248</v>
      </c>
      <c r="I512" s="18">
        <f t="shared" si="3"/>
        <v>172.7295567</v>
      </c>
      <c r="J512" s="19">
        <f t="shared" si="4"/>
        <v>15283023.51</v>
      </c>
      <c r="K512" s="20">
        <v>1.5887E7</v>
      </c>
      <c r="L512" s="18">
        <f t="shared" si="5"/>
        <v>-3.801702559</v>
      </c>
    </row>
    <row r="513">
      <c r="A513" s="13" t="s">
        <v>417</v>
      </c>
      <c r="B513" s="13" t="s">
        <v>347</v>
      </c>
      <c r="C513" s="14" t="s">
        <v>348</v>
      </c>
      <c r="D513" s="15">
        <v>727280.0</v>
      </c>
      <c r="E513" s="15">
        <v>724860.0</v>
      </c>
      <c r="F513" s="15">
        <v>1051420.0</v>
      </c>
      <c r="G513" s="17">
        <f t="shared" si="1"/>
        <v>-0.3327466725</v>
      </c>
      <c r="H513" s="17">
        <f t="shared" si="2"/>
        <v>722448.0525</v>
      </c>
      <c r="I513" s="18">
        <f t="shared" si="3"/>
        <v>145.0514582</v>
      </c>
      <c r="J513" s="19">
        <f t="shared" si="4"/>
        <v>1047921.435</v>
      </c>
      <c r="K513" s="20">
        <v>960460.0</v>
      </c>
      <c r="L513" s="18">
        <f t="shared" si="5"/>
        <v>9.10620275</v>
      </c>
    </row>
    <row r="514">
      <c r="A514" s="13" t="s">
        <v>417</v>
      </c>
      <c r="B514" s="13" t="s">
        <v>349</v>
      </c>
      <c r="C514" s="14" t="s">
        <v>350</v>
      </c>
      <c r="D514" s="15">
        <v>2350160.0</v>
      </c>
      <c r="E514" s="15">
        <v>2444090.0</v>
      </c>
      <c r="F514" s="15">
        <v>3950350.0</v>
      </c>
      <c r="G514" s="17">
        <f t="shared" si="1"/>
        <v>3.996749158</v>
      </c>
      <c r="H514" s="17">
        <f t="shared" si="2"/>
        <v>2541774.146</v>
      </c>
      <c r="I514" s="18">
        <f t="shared" si="3"/>
        <v>161.6286634</v>
      </c>
      <c r="J514" s="19">
        <f t="shared" si="4"/>
        <v>4108235.58</v>
      </c>
      <c r="K514" s="20">
        <v>4318230.0</v>
      </c>
      <c r="L514" s="18">
        <f t="shared" si="5"/>
        <v>-4.862974405</v>
      </c>
    </row>
    <row r="515">
      <c r="A515" s="13" t="s">
        <v>417</v>
      </c>
      <c r="B515" s="13" t="s">
        <v>351</v>
      </c>
      <c r="C515" s="14" t="s">
        <v>352</v>
      </c>
      <c r="D515" s="15">
        <v>38850.0</v>
      </c>
      <c r="E515" s="15">
        <v>39660.0</v>
      </c>
      <c r="F515" s="15">
        <v>60190.0</v>
      </c>
      <c r="G515" s="17">
        <f t="shared" si="1"/>
        <v>2.084942085</v>
      </c>
      <c r="H515" s="17">
        <f t="shared" si="2"/>
        <v>40486.88803</v>
      </c>
      <c r="I515" s="18">
        <f t="shared" si="3"/>
        <v>151.7650025</v>
      </c>
      <c r="J515" s="19">
        <f t="shared" si="4"/>
        <v>61444.92664</v>
      </c>
      <c r="K515" s="20">
        <v>63150.0</v>
      </c>
      <c r="L515" s="18">
        <f t="shared" si="5"/>
        <v>-2.70003699</v>
      </c>
    </row>
    <row r="516">
      <c r="A516" s="13" t="s">
        <v>417</v>
      </c>
      <c r="B516" s="13" t="s">
        <v>353</v>
      </c>
      <c r="C516" s="14" t="s">
        <v>354</v>
      </c>
      <c r="D516" s="15">
        <v>160500.0</v>
      </c>
      <c r="E516" s="15">
        <v>163590.0</v>
      </c>
      <c r="F516" s="15">
        <v>236520.0</v>
      </c>
      <c r="G516" s="17">
        <f t="shared" si="1"/>
        <v>1.925233645</v>
      </c>
      <c r="H516" s="17">
        <f t="shared" si="2"/>
        <v>166739.4897</v>
      </c>
      <c r="I516" s="18">
        <f t="shared" si="3"/>
        <v>144.5809646</v>
      </c>
      <c r="J516" s="19">
        <f t="shared" si="4"/>
        <v>241073.5626</v>
      </c>
      <c r="K516" s="20">
        <v>242860.0</v>
      </c>
      <c r="L516" s="18">
        <f t="shared" si="5"/>
        <v>-0.7355832097</v>
      </c>
    </row>
    <row r="517">
      <c r="A517" s="13" t="s">
        <v>417</v>
      </c>
      <c r="B517" s="13" t="s">
        <v>355</v>
      </c>
      <c r="C517" s="14" t="s">
        <v>356</v>
      </c>
      <c r="D517" s="15">
        <v>2470450.0</v>
      </c>
      <c r="E517" s="15">
        <v>2590900.0</v>
      </c>
      <c r="F517" s="15">
        <v>4870750.0</v>
      </c>
      <c r="G517" s="17">
        <f t="shared" si="1"/>
        <v>4.875629946</v>
      </c>
      <c r="H517" s="17">
        <f t="shared" si="2"/>
        <v>2717222.696</v>
      </c>
      <c r="I517" s="18">
        <f t="shared" si="3"/>
        <v>187.9945193</v>
      </c>
      <c r="J517" s="19">
        <f t="shared" si="4"/>
        <v>5108229.746</v>
      </c>
      <c r="K517" s="20">
        <v>5160500.0</v>
      </c>
      <c r="L517" s="18">
        <f t="shared" si="5"/>
        <v>-1.012891278</v>
      </c>
    </row>
    <row r="518">
      <c r="A518" s="13" t="s">
        <v>417</v>
      </c>
      <c r="B518" s="13" t="s">
        <v>357</v>
      </c>
      <c r="C518" s="14" t="s">
        <v>358</v>
      </c>
      <c r="D518" s="15">
        <v>5302030.0</v>
      </c>
      <c r="E518" s="15">
        <v>5749310.0</v>
      </c>
      <c r="F518" s="15">
        <v>8774270.0</v>
      </c>
      <c r="G518" s="17">
        <f t="shared" si="1"/>
        <v>8.43601413</v>
      </c>
      <c r="H518" s="17">
        <f t="shared" si="2"/>
        <v>6234322.604</v>
      </c>
      <c r="I518" s="18">
        <f t="shared" si="3"/>
        <v>152.6143137</v>
      </c>
      <c r="J518" s="19">
        <f t="shared" si="4"/>
        <v>9514468.657</v>
      </c>
      <c r="K518" s="20">
        <v>9611890.0</v>
      </c>
      <c r="L518" s="18">
        <f t="shared" si="5"/>
        <v>-1.013550331</v>
      </c>
    </row>
    <row r="519">
      <c r="A519" s="13" t="s">
        <v>417</v>
      </c>
      <c r="B519" s="13" t="s">
        <v>359</v>
      </c>
      <c r="C519" s="14" t="s">
        <v>360</v>
      </c>
      <c r="D519" s="15">
        <v>1657460.0</v>
      </c>
      <c r="E519" s="15">
        <v>1772780.0</v>
      </c>
      <c r="F519" s="15">
        <v>3401450.0</v>
      </c>
      <c r="G519" s="17">
        <f t="shared" si="1"/>
        <v>6.95763397</v>
      </c>
      <c r="H519" s="17">
        <f t="shared" si="2"/>
        <v>1896123.543</v>
      </c>
      <c r="I519" s="18">
        <f t="shared" si="3"/>
        <v>191.8709597</v>
      </c>
      <c r="J519" s="19">
        <f t="shared" si="4"/>
        <v>3638110.441</v>
      </c>
      <c r="K519" s="20">
        <v>3583510.0</v>
      </c>
      <c r="L519" s="18">
        <f t="shared" si="5"/>
        <v>1.523658108</v>
      </c>
    </row>
    <row r="520">
      <c r="A520" s="13" t="s">
        <v>417</v>
      </c>
      <c r="B520" s="13" t="s">
        <v>361</v>
      </c>
      <c r="C520" s="14" t="s">
        <v>362</v>
      </c>
      <c r="D520" s="15">
        <v>532560.0</v>
      </c>
      <c r="E520" s="15">
        <v>556090.0</v>
      </c>
      <c r="F520" s="15">
        <v>909240.0</v>
      </c>
      <c r="G520" s="17">
        <f t="shared" si="1"/>
        <v>4.418281508</v>
      </c>
      <c r="H520" s="17">
        <f t="shared" si="2"/>
        <v>580659.6216</v>
      </c>
      <c r="I520" s="18">
        <f t="shared" si="3"/>
        <v>163.5059073</v>
      </c>
      <c r="J520" s="19">
        <f t="shared" si="4"/>
        <v>949412.7828</v>
      </c>
      <c r="K520" s="20">
        <v>963960.0</v>
      </c>
      <c r="L520" s="18">
        <f t="shared" si="5"/>
        <v>-1.509110048</v>
      </c>
    </row>
    <row r="521">
      <c r="A521" s="13" t="s">
        <v>417</v>
      </c>
      <c r="B521" s="13" t="s">
        <v>363</v>
      </c>
      <c r="C521" s="14" t="s">
        <v>364</v>
      </c>
      <c r="D521" s="15">
        <v>1492650.0</v>
      </c>
      <c r="E521" s="15">
        <v>1558750.0</v>
      </c>
      <c r="F521" s="15">
        <v>1940620.0</v>
      </c>
      <c r="G521" s="17">
        <f t="shared" si="1"/>
        <v>4.428365658</v>
      </c>
      <c r="H521" s="17">
        <f t="shared" si="2"/>
        <v>1627777.15</v>
      </c>
      <c r="I521" s="18">
        <f t="shared" si="3"/>
        <v>124.4984763</v>
      </c>
      <c r="J521" s="19">
        <f t="shared" si="4"/>
        <v>2026557.75</v>
      </c>
      <c r="K521" s="20">
        <v>2034180.0</v>
      </c>
      <c r="L521" s="18">
        <f t="shared" si="5"/>
        <v>-0.3747087455</v>
      </c>
    </row>
    <row r="522">
      <c r="A522" s="13" t="s">
        <v>417</v>
      </c>
      <c r="B522" s="13" t="s">
        <v>365</v>
      </c>
      <c r="C522" s="14" t="s">
        <v>366</v>
      </c>
      <c r="D522" s="15">
        <v>1374060.0</v>
      </c>
      <c r="E522" s="15">
        <v>1424910.0</v>
      </c>
      <c r="F522" s="15">
        <v>2483440.0</v>
      </c>
      <c r="G522" s="17">
        <f t="shared" si="1"/>
        <v>3.700711759</v>
      </c>
      <c r="H522" s="17">
        <f t="shared" si="2"/>
        <v>1477641.812</v>
      </c>
      <c r="I522" s="18">
        <f t="shared" si="3"/>
        <v>174.2874989</v>
      </c>
      <c r="J522" s="19">
        <f t="shared" si="4"/>
        <v>2575344.956</v>
      </c>
      <c r="K522" s="20">
        <v>2724670.0</v>
      </c>
      <c r="L522" s="18">
        <f t="shared" si="5"/>
        <v>-5.480481816</v>
      </c>
    </row>
    <row r="523">
      <c r="A523" s="13" t="s">
        <v>417</v>
      </c>
      <c r="B523" s="13" t="s">
        <v>367</v>
      </c>
      <c r="C523" s="14" t="s">
        <v>368</v>
      </c>
      <c r="D523" s="15">
        <v>107390.0</v>
      </c>
      <c r="E523" s="15">
        <v>111950.0</v>
      </c>
      <c r="F523" s="15">
        <v>163120.0</v>
      </c>
      <c r="G523" s="17">
        <f t="shared" si="1"/>
        <v>4.246205419</v>
      </c>
      <c r="H523" s="17">
        <f t="shared" si="2"/>
        <v>116703.627</v>
      </c>
      <c r="I523" s="18">
        <f t="shared" si="3"/>
        <v>145.7079053</v>
      </c>
      <c r="J523" s="19">
        <f t="shared" si="4"/>
        <v>170046.4103</v>
      </c>
      <c r="K523" s="20">
        <v>171340.0</v>
      </c>
      <c r="L523" s="18">
        <f t="shared" si="5"/>
        <v>-0.7549840783</v>
      </c>
    </row>
    <row r="524">
      <c r="A524" s="13" t="s">
        <v>417</v>
      </c>
      <c r="B524" s="13" t="s">
        <v>369</v>
      </c>
      <c r="C524" s="14" t="s">
        <v>370</v>
      </c>
      <c r="D524" s="15">
        <v>350910.0</v>
      </c>
      <c r="E524" s="15">
        <v>367490.0</v>
      </c>
      <c r="F524" s="15">
        <v>591230.0</v>
      </c>
      <c r="G524" s="17">
        <f t="shared" si="1"/>
        <v>4.724858226</v>
      </c>
      <c r="H524" s="17">
        <f t="shared" si="2"/>
        <v>384853.3815</v>
      </c>
      <c r="I524" s="18">
        <f t="shared" si="3"/>
        <v>160.8832893</v>
      </c>
      <c r="J524" s="19">
        <f t="shared" si="4"/>
        <v>619164.7793</v>
      </c>
      <c r="K524" s="20">
        <v>627840.0</v>
      </c>
      <c r="L524" s="18">
        <f t="shared" si="5"/>
        <v>-1.381756612</v>
      </c>
    </row>
    <row r="525">
      <c r="A525" s="13" t="s">
        <v>417</v>
      </c>
      <c r="B525" s="13" t="s">
        <v>371</v>
      </c>
      <c r="C525" s="14" t="s">
        <v>372</v>
      </c>
      <c r="D525" s="15">
        <v>7019320.0</v>
      </c>
      <c r="E525" s="15">
        <v>7478010.0</v>
      </c>
      <c r="F525" s="15">
        <v>1.348594E7</v>
      </c>
      <c r="G525" s="17">
        <f t="shared" si="1"/>
        <v>6.534678573</v>
      </c>
      <c r="H525" s="17">
        <f t="shared" si="2"/>
        <v>7966673.917</v>
      </c>
      <c r="I525" s="18">
        <f t="shared" si="3"/>
        <v>180.341294</v>
      </c>
      <c r="J525" s="19">
        <f t="shared" si="4"/>
        <v>14367202.83</v>
      </c>
      <c r="K525" s="20">
        <v>1.376201E7</v>
      </c>
      <c r="L525" s="18">
        <f t="shared" si="5"/>
        <v>4.397561341</v>
      </c>
    </row>
    <row r="526">
      <c r="A526" s="13" t="s">
        <v>417</v>
      </c>
      <c r="B526" s="13" t="s">
        <v>373</v>
      </c>
      <c r="C526" s="14" t="s">
        <v>374</v>
      </c>
      <c r="D526" s="15">
        <v>2018480.0</v>
      </c>
      <c r="E526" s="15">
        <v>2124940.0</v>
      </c>
      <c r="F526" s="15">
        <v>3351300.0</v>
      </c>
      <c r="G526" s="17">
        <f t="shared" si="1"/>
        <v>5.274265784</v>
      </c>
      <c r="H526" s="17">
        <f t="shared" si="2"/>
        <v>2237014.983</v>
      </c>
      <c r="I526" s="18">
        <f t="shared" si="3"/>
        <v>157.7126884</v>
      </c>
      <c r="J526" s="19">
        <f t="shared" si="4"/>
        <v>3528056.469</v>
      </c>
      <c r="K526" s="20">
        <v>3433490.0</v>
      </c>
      <c r="L526" s="18">
        <f t="shared" si="5"/>
        <v>2.754237502</v>
      </c>
    </row>
    <row r="527">
      <c r="A527" s="13" t="s">
        <v>417</v>
      </c>
      <c r="B527" s="13" t="s">
        <v>375</v>
      </c>
      <c r="C527" s="14" t="s">
        <v>376</v>
      </c>
      <c r="D527" s="15">
        <v>856220.0</v>
      </c>
      <c r="E527" s="15">
        <v>921920.0</v>
      </c>
      <c r="F527" s="15">
        <v>1555760.0</v>
      </c>
      <c r="G527" s="17">
        <f t="shared" si="1"/>
        <v>7.673261545</v>
      </c>
      <c r="H527" s="17">
        <f t="shared" si="2"/>
        <v>992661.3328</v>
      </c>
      <c r="I527" s="18">
        <f t="shared" si="3"/>
        <v>168.7521694</v>
      </c>
      <c r="J527" s="19">
        <f t="shared" si="4"/>
        <v>1675137.534</v>
      </c>
      <c r="K527" s="20">
        <v>1662850.0</v>
      </c>
      <c r="L527" s="18">
        <f t="shared" si="5"/>
        <v>0.7389442109</v>
      </c>
    </row>
    <row r="528">
      <c r="A528" s="13" t="s">
        <v>417</v>
      </c>
      <c r="B528" s="13" t="s">
        <v>377</v>
      </c>
      <c r="C528" s="14" t="s">
        <v>378</v>
      </c>
      <c r="D528" s="15">
        <v>587840.0</v>
      </c>
      <c r="E528" s="15">
        <v>623240.0</v>
      </c>
      <c r="F528" s="15">
        <v>1040450.0</v>
      </c>
      <c r="G528" s="17">
        <f t="shared" si="1"/>
        <v>6.022046815</v>
      </c>
      <c r="H528" s="17">
        <f t="shared" si="2"/>
        <v>660771.8046</v>
      </c>
      <c r="I528" s="18">
        <f t="shared" si="3"/>
        <v>166.942109</v>
      </c>
      <c r="J528" s="19">
        <f t="shared" si="4"/>
        <v>1103106.386</v>
      </c>
      <c r="K528" s="20">
        <v>1105190.0</v>
      </c>
      <c r="L528" s="18">
        <f t="shared" si="5"/>
        <v>-0.1885299278</v>
      </c>
    </row>
    <row r="529">
      <c r="A529" s="13" t="s">
        <v>418</v>
      </c>
      <c r="B529" s="13" t="s">
        <v>63</v>
      </c>
      <c r="C529" s="14" t="s">
        <v>66</v>
      </c>
      <c r="D529" s="15">
        <v>6162710.0</v>
      </c>
      <c r="E529" s="15">
        <v>6440920.0</v>
      </c>
      <c r="F529" s="15">
        <v>1.192029E7</v>
      </c>
      <c r="G529" s="17">
        <f t="shared" si="1"/>
        <v>4.514410057</v>
      </c>
      <c r="H529" s="17">
        <f t="shared" si="2"/>
        <v>6731689.54</v>
      </c>
      <c r="I529" s="18">
        <f t="shared" si="3"/>
        <v>185.0712321</v>
      </c>
      <c r="J529" s="19">
        <f t="shared" si="4"/>
        <v>12458420.77</v>
      </c>
      <c r="K529" s="20">
        <v>1.275385E7</v>
      </c>
      <c r="L529" s="18">
        <f t="shared" si="5"/>
        <v>-2.316392536</v>
      </c>
    </row>
    <row r="530">
      <c r="A530" s="13" t="s">
        <v>418</v>
      </c>
      <c r="B530" s="13" t="s">
        <v>347</v>
      </c>
      <c r="C530" s="14" t="s">
        <v>348</v>
      </c>
      <c r="D530" s="15">
        <v>9892970.0</v>
      </c>
      <c r="E530" s="15">
        <v>1.083058E7</v>
      </c>
      <c r="F530" s="15">
        <v>1.802127E7</v>
      </c>
      <c r="G530" s="17">
        <f t="shared" si="1"/>
        <v>9.47753809</v>
      </c>
      <c r="H530" s="17">
        <f t="shared" si="2"/>
        <v>11857052.34</v>
      </c>
      <c r="I530" s="18">
        <f t="shared" si="3"/>
        <v>166.3924739</v>
      </c>
      <c r="J530" s="19">
        <f t="shared" si="4"/>
        <v>19729242.73</v>
      </c>
      <c r="K530" s="20">
        <v>2.784188E7</v>
      </c>
      <c r="L530" s="18">
        <f t="shared" si="5"/>
        <v>-29.13825241</v>
      </c>
    </row>
    <row r="531">
      <c r="A531" s="13" t="s">
        <v>418</v>
      </c>
      <c r="B531" s="13" t="s">
        <v>349</v>
      </c>
      <c r="C531" s="14" t="s">
        <v>350</v>
      </c>
      <c r="D531" s="15">
        <v>1.48778E7</v>
      </c>
      <c r="E531" s="15">
        <v>1.866282E7</v>
      </c>
      <c r="F531" s="15">
        <v>3.336989E7</v>
      </c>
      <c r="G531" s="17">
        <f t="shared" si="1"/>
        <v>25.44072376</v>
      </c>
      <c r="H531" s="17">
        <f t="shared" si="2"/>
        <v>23410776.48</v>
      </c>
      <c r="I531" s="18">
        <f t="shared" si="3"/>
        <v>178.8041143</v>
      </c>
      <c r="J531" s="19">
        <f t="shared" si="4"/>
        <v>41859431.53</v>
      </c>
      <c r="K531" s="20">
        <v>5.613582E7</v>
      </c>
      <c r="L531" s="18">
        <f t="shared" si="5"/>
        <v>-25.43186946</v>
      </c>
    </row>
    <row r="532">
      <c r="A532" s="13" t="s">
        <v>418</v>
      </c>
      <c r="B532" s="13" t="s">
        <v>351</v>
      </c>
      <c r="C532" s="14" t="s">
        <v>352</v>
      </c>
      <c r="D532" s="15">
        <v>38160.0</v>
      </c>
      <c r="E532" s="15">
        <v>48550.0</v>
      </c>
      <c r="F532" s="15">
        <v>69280.0</v>
      </c>
      <c r="G532" s="17">
        <f t="shared" si="1"/>
        <v>27.22746331</v>
      </c>
      <c r="H532" s="17">
        <f t="shared" si="2"/>
        <v>61768.93344</v>
      </c>
      <c r="I532" s="18">
        <f t="shared" si="3"/>
        <v>142.6982492</v>
      </c>
      <c r="J532" s="19">
        <f t="shared" si="4"/>
        <v>88143.18658</v>
      </c>
      <c r="K532" s="20">
        <v>98150.0</v>
      </c>
      <c r="L532" s="18">
        <f t="shared" si="5"/>
        <v>-10.19542885</v>
      </c>
    </row>
    <row r="533">
      <c r="A533" s="13" t="s">
        <v>418</v>
      </c>
      <c r="B533" s="13" t="s">
        <v>353</v>
      </c>
      <c r="C533" s="14" t="s">
        <v>354</v>
      </c>
      <c r="D533" s="15">
        <v>27070.0</v>
      </c>
      <c r="E533" s="15">
        <v>28890.0</v>
      </c>
      <c r="F533" s="15">
        <v>41330.0</v>
      </c>
      <c r="G533" s="17">
        <f t="shared" si="1"/>
        <v>6.723309937</v>
      </c>
      <c r="H533" s="17">
        <f t="shared" si="2"/>
        <v>30832.36424</v>
      </c>
      <c r="I533" s="18">
        <f t="shared" si="3"/>
        <v>143.0598823</v>
      </c>
      <c r="J533" s="19">
        <f t="shared" si="4"/>
        <v>44108.744</v>
      </c>
      <c r="K533" s="20">
        <v>45110.0</v>
      </c>
      <c r="L533" s="18">
        <f t="shared" si="5"/>
        <v>-2.219587681</v>
      </c>
    </row>
    <row r="534">
      <c r="A534" s="13" t="s">
        <v>418</v>
      </c>
      <c r="B534" s="13" t="s">
        <v>355</v>
      </c>
      <c r="C534" s="14" t="s">
        <v>356</v>
      </c>
      <c r="D534" s="15">
        <v>2118020.0</v>
      </c>
      <c r="E534" s="15">
        <v>2291010.0</v>
      </c>
      <c r="F534" s="15">
        <v>4064820.0</v>
      </c>
      <c r="G534" s="17">
        <f t="shared" si="1"/>
        <v>8.167533829</v>
      </c>
      <c r="H534" s="17">
        <f t="shared" si="2"/>
        <v>2478129.017</v>
      </c>
      <c r="I534" s="18">
        <f t="shared" si="3"/>
        <v>177.4248039</v>
      </c>
      <c r="J534" s="19">
        <f t="shared" si="4"/>
        <v>4396815.549</v>
      </c>
      <c r="K534" s="20">
        <v>4651590.0</v>
      </c>
      <c r="L534" s="18">
        <f t="shared" si="5"/>
        <v>-5.47714763</v>
      </c>
    </row>
    <row r="535">
      <c r="A535" s="13" t="s">
        <v>418</v>
      </c>
      <c r="B535" s="13" t="s">
        <v>357</v>
      </c>
      <c r="C535" s="14" t="s">
        <v>358</v>
      </c>
      <c r="D535" s="15">
        <v>5325630.0</v>
      </c>
      <c r="E535" s="15">
        <v>6084020.0</v>
      </c>
      <c r="F535" s="15">
        <v>9992400.0</v>
      </c>
      <c r="G535" s="17">
        <f t="shared" si="1"/>
        <v>14.24038095</v>
      </c>
      <c r="H535" s="17">
        <f t="shared" si="2"/>
        <v>6950407.625</v>
      </c>
      <c r="I535" s="18">
        <f t="shared" si="3"/>
        <v>164.2400913</v>
      </c>
      <c r="J535" s="19">
        <f t="shared" si="4"/>
        <v>11415355.83</v>
      </c>
      <c r="K535" s="20">
        <v>1.127573E7</v>
      </c>
      <c r="L535" s="18">
        <f t="shared" si="5"/>
        <v>1.238286355</v>
      </c>
    </row>
    <row r="536">
      <c r="A536" s="13" t="s">
        <v>418</v>
      </c>
      <c r="B536" s="13" t="s">
        <v>359</v>
      </c>
      <c r="C536" s="14" t="s">
        <v>360</v>
      </c>
      <c r="D536" s="15">
        <v>1562580.0</v>
      </c>
      <c r="E536" s="15">
        <v>1664260.0</v>
      </c>
      <c r="F536" s="15">
        <v>3376940.0</v>
      </c>
      <c r="G536" s="17">
        <f t="shared" si="1"/>
        <v>6.507186832</v>
      </c>
      <c r="H536" s="17">
        <f t="shared" si="2"/>
        <v>1772556.508</v>
      </c>
      <c r="I536" s="18">
        <f t="shared" si="3"/>
        <v>202.9094012</v>
      </c>
      <c r="J536" s="19">
        <f t="shared" si="4"/>
        <v>3596683.795</v>
      </c>
      <c r="K536" s="20">
        <v>3860380.0</v>
      </c>
      <c r="L536" s="18">
        <f t="shared" si="5"/>
        <v>-6.830835436</v>
      </c>
    </row>
    <row r="537">
      <c r="A537" s="13" t="s">
        <v>418</v>
      </c>
      <c r="B537" s="13" t="s">
        <v>361</v>
      </c>
      <c r="C537" s="14" t="s">
        <v>362</v>
      </c>
      <c r="D537" s="15">
        <v>130910.0</v>
      </c>
      <c r="E537" s="15">
        <v>136300.0</v>
      </c>
      <c r="F537" s="15">
        <v>212030.0</v>
      </c>
      <c r="G537" s="17">
        <f t="shared" si="1"/>
        <v>4.117332519</v>
      </c>
      <c r="H537" s="17">
        <f t="shared" si="2"/>
        <v>141911.9242</v>
      </c>
      <c r="I537" s="18">
        <f t="shared" si="3"/>
        <v>155.5612619</v>
      </c>
      <c r="J537" s="19">
        <f t="shared" si="4"/>
        <v>220759.9801</v>
      </c>
      <c r="K537" s="20">
        <v>234030.0</v>
      </c>
      <c r="L537" s="18">
        <f t="shared" si="5"/>
        <v>-5.670221707</v>
      </c>
    </row>
    <row r="538">
      <c r="A538" s="13" t="s">
        <v>418</v>
      </c>
      <c r="B538" s="13" t="s">
        <v>363</v>
      </c>
      <c r="C538" s="14" t="s">
        <v>364</v>
      </c>
      <c r="D538" s="15">
        <v>1479920.0</v>
      </c>
      <c r="E538" s="15">
        <v>1530240.0</v>
      </c>
      <c r="F538" s="15">
        <v>1941430.0</v>
      </c>
      <c r="G538" s="17">
        <f t="shared" si="1"/>
        <v>3.400183794</v>
      </c>
      <c r="H538" s="17">
        <f t="shared" si="2"/>
        <v>1582270.972</v>
      </c>
      <c r="I538" s="18">
        <f t="shared" si="3"/>
        <v>126.8709483</v>
      </c>
      <c r="J538" s="19">
        <f t="shared" si="4"/>
        <v>2007442.188</v>
      </c>
      <c r="K538" s="20">
        <v>2075159.9999999998</v>
      </c>
      <c r="L538" s="18">
        <f t="shared" si="5"/>
        <v>-3.263257376</v>
      </c>
    </row>
    <row r="539">
      <c r="A539" s="13" t="s">
        <v>418</v>
      </c>
      <c r="B539" s="13" t="s">
        <v>365</v>
      </c>
      <c r="C539" s="14" t="s">
        <v>366</v>
      </c>
      <c r="D539" s="15">
        <v>982590.0</v>
      </c>
      <c r="E539" s="15">
        <v>1140030.0</v>
      </c>
      <c r="F539" s="15">
        <v>2035430.0</v>
      </c>
      <c r="G539" s="17">
        <f t="shared" si="1"/>
        <v>16.02295973</v>
      </c>
      <c r="H539" s="17">
        <f t="shared" si="2"/>
        <v>1322696.548</v>
      </c>
      <c r="I539" s="18">
        <f t="shared" si="3"/>
        <v>178.5417928</v>
      </c>
      <c r="J539" s="19">
        <f t="shared" si="4"/>
        <v>2361566.129</v>
      </c>
      <c r="K539" s="20">
        <v>2285150.0</v>
      </c>
      <c r="L539" s="18">
        <f t="shared" si="5"/>
        <v>3.344031211</v>
      </c>
    </row>
    <row r="540">
      <c r="A540" s="13" t="s">
        <v>418</v>
      </c>
      <c r="B540" s="13" t="s">
        <v>367</v>
      </c>
      <c r="C540" s="14" t="s">
        <v>368</v>
      </c>
      <c r="D540" s="15">
        <v>34170.0</v>
      </c>
      <c r="E540" s="15">
        <v>36540.0</v>
      </c>
      <c r="F540" s="15">
        <v>56910.0</v>
      </c>
      <c r="G540" s="17">
        <f t="shared" si="1"/>
        <v>6.935908692</v>
      </c>
      <c r="H540" s="17">
        <f t="shared" si="2"/>
        <v>39074.38104</v>
      </c>
      <c r="I540" s="18">
        <f t="shared" si="3"/>
        <v>155.7471264</v>
      </c>
      <c r="J540" s="19">
        <f t="shared" si="4"/>
        <v>60857.22564</v>
      </c>
      <c r="K540" s="20">
        <v>61980.0</v>
      </c>
      <c r="L540" s="18">
        <f t="shared" si="5"/>
        <v>-1.811510751</v>
      </c>
    </row>
    <row r="541">
      <c r="A541" s="13" t="s">
        <v>418</v>
      </c>
      <c r="B541" s="13" t="s">
        <v>369</v>
      </c>
      <c r="C541" s="14" t="s">
        <v>370</v>
      </c>
      <c r="D541" s="15">
        <v>97150.0</v>
      </c>
      <c r="E541" s="15">
        <v>101790.0</v>
      </c>
      <c r="F541" s="15">
        <v>169920.0</v>
      </c>
      <c r="G541" s="17">
        <f t="shared" si="1"/>
        <v>4.776119403</v>
      </c>
      <c r="H541" s="17">
        <f t="shared" si="2"/>
        <v>106651.6119</v>
      </c>
      <c r="I541" s="18">
        <f t="shared" si="3"/>
        <v>166.9319187</v>
      </c>
      <c r="J541" s="19">
        <f t="shared" si="4"/>
        <v>178035.5821</v>
      </c>
      <c r="K541" s="20">
        <v>186860.0</v>
      </c>
      <c r="L541" s="18">
        <f t="shared" si="5"/>
        <v>-4.722475602</v>
      </c>
    </row>
    <row r="542">
      <c r="A542" s="13" t="s">
        <v>418</v>
      </c>
      <c r="B542" s="13" t="s">
        <v>371</v>
      </c>
      <c r="C542" s="14" t="s">
        <v>372</v>
      </c>
      <c r="D542" s="15">
        <v>4352040.0</v>
      </c>
      <c r="E542" s="15">
        <v>4845400.0</v>
      </c>
      <c r="F542" s="15">
        <v>8399890.0</v>
      </c>
      <c r="G542" s="17">
        <f t="shared" si="1"/>
        <v>11.33629286</v>
      </c>
      <c r="H542" s="17">
        <f t="shared" si="2"/>
        <v>5394688.734</v>
      </c>
      <c r="I542" s="18">
        <f t="shared" si="3"/>
        <v>173.3580303</v>
      </c>
      <c r="J542" s="19">
        <f t="shared" si="4"/>
        <v>9352126.131</v>
      </c>
      <c r="K542" s="20">
        <v>8573040.0</v>
      </c>
      <c r="L542" s="18">
        <f t="shared" si="5"/>
        <v>9.087629718</v>
      </c>
    </row>
    <row r="543">
      <c r="A543" s="13" t="s">
        <v>418</v>
      </c>
      <c r="B543" s="13" t="s">
        <v>373</v>
      </c>
      <c r="C543" s="14" t="s">
        <v>374</v>
      </c>
      <c r="D543" s="15">
        <v>937040.0</v>
      </c>
      <c r="E543" s="15">
        <v>957200.0</v>
      </c>
      <c r="F543" s="15">
        <v>1742450.0</v>
      </c>
      <c r="G543" s="17">
        <f t="shared" si="1"/>
        <v>2.151455648</v>
      </c>
      <c r="H543" s="17">
        <f t="shared" si="2"/>
        <v>977793.7335</v>
      </c>
      <c r="I543" s="18">
        <f t="shared" si="3"/>
        <v>182.0361471</v>
      </c>
      <c r="J543" s="19">
        <f t="shared" si="4"/>
        <v>1779938.039</v>
      </c>
      <c r="K543" s="20">
        <v>1869240.0</v>
      </c>
      <c r="L543" s="18">
        <f t="shared" si="5"/>
        <v>-4.777447576</v>
      </c>
    </row>
    <row r="544">
      <c r="A544" s="13" t="s">
        <v>418</v>
      </c>
      <c r="B544" s="13" t="s">
        <v>375</v>
      </c>
      <c r="C544" s="14" t="s">
        <v>376</v>
      </c>
      <c r="D544" s="15">
        <v>662340.0</v>
      </c>
      <c r="E544" s="15">
        <v>681140.0</v>
      </c>
      <c r="F544" s="15">
        <v>1143560.0</v>
      </c>
      <c r="G544" s="17">
        <f t="shared" si="1"/>
        <v>2.838421355</v>
      </c>
      <c r="H544" s="17">
        <f t="shared" si="2"/>
        <v>700473.6232</v>
      </c>
      <c r="I544" s="18">
        <f t="shared" si="3"/>
        <v>167.8891271</v>
      </c>
      <c r="J544" s="19">
        <f t="shared" si="4"/>
        <v>1176019.051</v>
      </c>
      <c r="K544" s="20">
        <v>1240860.0</v>
      </c>
      <c r="L544" s="18">
        <f t="shared" si="5"/>
        <v>-5.225484644</v>
      </c>
    </row>
    <row r="545">
      <c r="A545" s="13" t="s">
        <v>418</v>
      </c>
      <c r="B545" s="13" t="s">
        <v>377</v>
      </c>
      <c r="C545" s="14" t="s">
        <v>378</v>
      </c>
      <c r="D545" s="15">
        <v>248330.0</v>
      </c>
      <c r="E545" s="15">
        <v>261269.99999999997</v>
      </c>
      <c r="F545" s="15">
        <v>391600.0</v>
      </c>
      <c r="G545" s="17">
        <f t="shared" si="1"/>
        <v>5.210808199</v>
      </c>
      <c r="H545" s="17">
        <f t="shared" si="2"/>
        <v>274884.2786</v>
      </c>
      <c r="I545" s="18">
        <f t="shared" si="3"/>
        <v>149.8832625</v>
      </c>
      <c r="J545" s="19">
        <f t="shared" si="4"/>
        <v>412005.5249</v>
      </c>
      <c r="K545" s="20">
        <v>431510.0</v>
      </c>
      <c r="L545" s="18">
        <f t="shared" si="5"/>
        <v>-4.520051701</v>
      </c>
    </row>
    <row r="546">
      <c r="A546" s="13" t="s">
        <v>419</v>
      </c>
      <c r="B546" s="13" t="s">
        <v>63</v>
      </c>
      <c r="C546" s="14" t="s">
        <v>66</v>
      </c>
      <c r="D546" s="15">
        <v>6127580.0</v>
      </c>
      <c r="E546" s="15">
        <v>6159840.0</v>
      </c>
      <c r="F546" s="15">
        <v>9624440.0</v>
      </c>
      <c r="G546" s="17">
        <f t="shared" si="1"/>
        <v>0.5264721146</v>
      </c>
      <c r="H546" s="17">
        <f t="shared" si="2"/>
        <v>6192269.84</v>
      </c>
      <c r="I546" s="18">
        <f t="shared" si="3"/>
        <v>156.2449674</v>
      </c>
      <c r="J546" s="19">
        <f t="shared" si="4"/>
        <v>9675109.993</v>
      </c>
      <c r="K546" s="20">
        <v>1.002189E7</v>
      </c>
      <c r="L546" s="18">
        <f t="shared" si="5"/>
        <v>-3.460225638</v>
      </c>
    </row>
    <row r="547">
      <c r="A547" s="13" t="s">
        <v>419</v>
      </c>
      <c r="B547" s="13" t="s">
        <v>347</v>
      </c>
      <c r="C547" s="14" t="s">
        <v>348</v>
      </c>
      <c r="D547" s="15">
        <v>1.253761E7</v>
      </c>
      <c r="E547" s="15">
        <v>1.541048E7</v>
      </c>
      <c r="F547" s="15">
        <v>2.304502E7</v>
      </c>
      <c r="G547" s="17">
        <f t="shared" si="1"/>
        <v>22.91401631</v>
      </c>
      <c r="H547" s="17">
        <f t="shared" si="2"/>
        <v>18941639.9</v>
      </c>
      <c r="I547" s="18">
        <f t="shared" si="3"/>
        <v>149.5412213</v>
      </c>
      <c r="J547" s="19">
        <f t="shared" si="4"/>
        <v>28325559.64</v>
      </c>
      <c r="K547" s="20">
        <v>2.489418E7</v>
      </c>
      <c r="L547" s="18">
        <f t="shared" si="5"/>
        <v>13.7838629</v>
      </c>
    </row>
    <row r="548">
      <c r="A548" s="13" t="s">
        <v>419</v>
      </c>
      <c r="B548" s="13" t="s">
        <v>349</v>
      </c>
      <c r="C548" s="14" t="s">
        <v>350</v>
      </c>
      <c r="D548" s="15">
        <v>2.106757E7</v>
      </c>
      <c r="E548" s="15">
        <v>2.66009E7</v>
      </c>
      <c r="F548" s="15">
        <v>3.622288E7</v>
      </c>
      <c r="G548" s="17">
        <f t="shared" si="1"/>
        <v>26.26468074</v>
      </c>
      <c r="H548" s="17">
        <f t="shared" si="2"/>
        <v>33587541.46</v>
      </c>
      <c r="I548" s="18">
        <f t="shared" si="3"/>
        <v>136.1716333</v>
      </c>
      <c r="J548" s="19">
        <f t="shared" si="4"/>
        <v>45736703.79</v>
      </c>
      <c r="K548" s="20">
        <v>3.965909E7</v>
      </c>
      <c r="L548" s="18">
        <f t="shared" si="5"/>
        <v>15.32464256</v>
      </c>
    </row>
    <row r="549">
      <c r="A549" s="13" t="s">
        <v>419</v>
      </c>
      <c r="B549" s="13" t="s">
        <v>351</v>
      </c>
      <c r="C549" s="14" t="s">
        <v>352</v>
      </c>
      <c r="D549" s="15">
        <v>31250.0</v>
      </c>
      <c r="E549" s="15">
        <v>34030.0</v>
      </c>
      <c r="F549" s="15">
        <v>63080.0</v>
      </c>
      <c r="G549" s="17">
        <f t="shared" si="1"/>
        <v>8.896</v>
      </c>
      <c r="H549" s="17">
        <f t="shared" si="2"/>
        <v>37057.3088</v>
      </c>
      <c r="I549" s="18">
        <f t="shared" si="3"/>
        <v>185.3658537</v>
      </c>
      <c r="J549" s="19">
        <f t="shared" si="4"/>
        <v>68691.5968</v>
      </c>
      <c r="K549" s="20">
        <v>64209.99999999999</v>
      </c>
      <c r="L549" s="18">
        <f t="shared" si="5"/>
        <v>6.97959321</v>
      </c>
    </row>
    <row r="550">
      <c r="A550" s="13" t="s">
        <v>419</v>
      </c>
      <c r="B550" s="13" t="s">
        <v>353</v>
      </c>
      <c r="C550" s="14" t="s">
        <v>354</v>
      </c>
      <c r="D550" s="15">
        <v>80920.0</v>
      </c>
      <c r="E550" s="15">
        <v>85480.0</v>
      </c>
      <c r="F550" s="15">
        <v>114420.0</v>
      </c>
      <c r="G550" s="17">
        <f t="shared" si="1"/>
        <v>5.635195255</v>
      </c>
      <c r="H550" s="17">
        <f t="shared" si="2"/>
        <v>90296.9649</v>
      </c>
      <c r="I550" s="18">
        <f t="shared" si="3"/>
        <v>133.8558727</v>
      </c>
      <c r="J550" s="19">
        <f t="shared" si="4"/>
        <v>120867.7904</v>
      </c>
      <c r="K550" s="20">
        <v>119780.0</v>
      </c>
      <c r="L550" s="18">
        <f t="shared" si="5"/>
        <v>0.908156963</v>
      </c>
    </row>
    <row r="551">
      <c r="A551" s="13" t="s">
        <v>419</v>
      </c>
      <c r="B551" s="13" t="s">
        <v>355</v>
      </c>
      <c r="C551" s="14" t="s">
        <v>356</v>
      </c>
      <c r="D551" s="15">
        <v>6466960.0</v>
      </c>
      <c r="E551" s="15">
        <v>6456150.0</v>
      </c>
      <c r="F551" s="15">
        <v>1.13546E7</v>
      </c>
      <c r="G551" s="17">
        <f t="shared" si="1"/>
        <v>-0.1671573661</v>
      </c>
      <c r="H551" s="17">
        <f t="shared" si="2"/>
        <v>6445358.07</v>
      </c>
      <c r="I551" s="18">
        <f t="shared" si="3"/>
        <v>175.8726176</v>
      </c>
      <c r="J551" s="19">
        <f t="shared" si="4"/>
        <v>11335619.95</v>
      </c>
      <c r="K551" s="20">
        <v>1.199356E7</v>
      </c>
      <c r="L551" s="18">
        <f t="shared" si="5"/>
        <v>-5.485777786</v>
      </c>
    </row>
    <row r="552">
      <c r="A552" s="13" t="s">
        <v>419</v>
      </c>
      <c r="B552" s="13" t="s">
        <v>357</v>
      </c>
      <c r="C552" s="14" t="s">
        <v>358</v>
      </c>
      <c r="D552" s="15">
        <v>4944220.0</v>
      </c>
      <c r="E552" s="15">
        <v>5246500.0</v>
      </c>
      <c r="F552" s="15">
        <v>8784750.0</v>
      </c>
      <c r="G552" s="17">
        <f t="shared" si="1"/>
        <v>6.113805615</v>
      </c>
      <c r="H552" s="17">
        <f t="shared" si="2"/>
        <v>5567260.812</v>
      </c>
      <c r="I552" s="18">
        <f t="shared" si="3"/>
        <v>167.4401982</v>
      </c>
      <c r="J552" s="19">
        <f t="shared" si="4"/>
        <v>9321832.539</v>
      </c>
      <c r="K552" s="20">
        <v>9330280.0</v>
      </c>
      <c r="L552" s="18">
        <f t="shared" si="5"/>
        <v>-0.09053813173</v>
      </c>
    </row>
    <row r="553">
      <c r="A553" s="13" t="s">
        <v>419</v>
      </c>
      <c r="B553" s="13" t="s">
        <v>359</v>
      </c>
      <c r="C553" s="14" t="s">
        <v>360</v>
      </c>
      <c r="D553" s="15">
        <v>1503300.0</v>
      </c>
      <c r="E553" s="15">
        <v>1519410.0</v>
      </c>
      <c r="F553" s="15">
        <v>2835730.0</v>
      </c>
      <c r="G553" s="17">
        <f t="shared" si="1"/>
        <v>1.071642387</v>
      </c>
      <c r="H553" s="17">
        <f t="shared" si="2"/>
        <v>1535692.642</v>
      </c>
      <c r="I553" s="18">
        <f t="shared" si="3"/>
        <v>186.6336275</v>
      </c>
      <c r="J553" s="19">
        <f t="shared" si="4"/>
        <v>2866118.885</v>
      </c>
      <c r="K553" s="20">
        <v>3054190.0</v>
      </c>
      <c r="L553" s="18">
        <f t="shared" si="5"/>
        <v>-6.157806664</v>
      </c>
    </row>
    <row r="554">
      <c r="A554" s="13" t="s">
        <v>419</v>
      </c>
      <c r="B554" s="13" t="s">
        <v>361</v>
      </c>
      <c r="C554" s="14" t="s">
        <v>362</v>
      </c>
      <c r="D554" s="15">
        <v>428290.0</v>
      </c>
      <c r="E554" s="15">
        <v>455460.0</v>
      </c>
      <c r="F554" s="15">
        <v>833990.0</v>
      </c>
      <c r="G554" s="17">
        <f t="shared" si="1"/>
        <v>6.34383245</v>
      </c>
      <c r="H554" s="17">
        <f t="shared" si="2"/>
        <v>484353.6193</v>
      </c>
      <c r="I554" s="18">
        <f t="shared" si="3"/>
        <v>183.1093839</v>
      </c>
      <c r="J554" s="19">
        <f t="shared" si="4"/>
        <v>886896.9282</v>
      </c>
      <c r="K554" s="20">
        <v>894170.0</v>
      </c>
      <c r="L554" s="18">
        <f t="shared" si="5"/>
        <v>-0.8133880303</v>
      </c>
    </row>
    <row r="555">
      <c r="A555" s="13" t="s">
        <v>419</v>
      </c>
      <c r="B555" s="13" t="s">
        <v>363</v>
      </c>
      <c r="C555" s="14" t="s">
        <v>364</v>
      </c>
      <c r="D555" s="15">
        <v>1483270.0</v>
      </c>
      <c r="E555" s="15">
        <v>1530220.0</v>
      </c>
      <c r="F555" s="15">
        <v>1952260.0</v>
      </c>
      <c r="G555" s="17">
        <f t="shared" si="1"/>
        <v>3.165303687</v>
      </c>
      <c r="H555" s="17">
        <f t="shared" si="2"/>
        <v>1578656.11</v>
      </c>
      <c r="I555" s="18">
        <f t="shared" si="3"/>
        <v>127.5803479</v>
      </c>
      <c r="J555" s="19">
        <f t="shared" si="4"/>
        <v>2014054.958</v>
      </c>
      <c r="K555" s="20">
        <v>2094580.0</v>
      </c>
      <c r="L555" s="18">
        <f t="shared" si="5"/>
        <v>-3.844448158</v>
      </c>
    </row>
    <row r="556">
      <c r="A556" s="13" t="s">
        <v>419</v>
      </c>
      <c r="B556" s="13" t="s">
        <v>365</v>
      </c>
      <c r="C556" s="14" t="s">
        <v>366</v>
      </c>
      <c r="D556" s="15">
        <v>1081440.0</v>
      </c>
      <c r="E556" s="15">
        <v>1081070.0</v>
      </c>
      <c r="F556" s="15">
        <v>1939310.0</v>
      </c>
      <c r="G556" s="17">
        <f t="shared" si="1"/>
        <v>-0.03421364107</v>
      </c>
      <c r="H556" s="17">
        <f t="shared" si="2"/>
        <v>1080700.127</v>
      </c>
      <c r="I556" s="18">
        <f t="shared" si="3"/>
        <v>179.3880137</v>
      </c>
      <c r="J556" s="19">
        <f t="shared" si="4"/>
        <v>1938646.491</v>
      </c>
      <c r="K556" s="20">
        <v>1959540.0</v>
      </c>
      <c r="L556" s="18">
        <f t="shared" si="5"/>
        <v>-1.066245576</v>
      </c>
    </row>
    <row r="557">
      <c r="A557" s="13" t="s">
        <v>419</v>
      </c>
      <c r="B557" s="13" t="s">
        <v>367</v>
      </c>
      <c r="C557" s="14" t="s">
        <v>368</v>
      </c>
      <c r="D557" s="15">
        <v>867760.0</v>
      </c>
      <c r="E557" s="15">
        <v>918940.0</v>
      </c>
      <c r="F557" s="15">
        <v>1426740.0</v>
      </c>
      <c r="G557" s="17">
        <f t="shared" si="1"/>
        <v>5.897944132</v>
      </c>
      <c r="H557" s="17">
        <f t="shared" si="2"/>
        <v>973138.5678</v>
      </c>
      <c r="I557" s="18">
        <f t="shared" si="3"/>
        <v>155.2593205</v>
      </c>
      <c r="J557" s="19">
        <f t="shared" si="4"/>
        <v>1510888.328</v>
      </c>
      <c r="K557" s="20">
        <v>1508520.0</v>
      </c>
      <c r="L557" s="18">
        <f t="shared" si="5"/>
        <v>0.1569967988</v>
      </c>
    </row>
    <row r="558">
      <c r="A558" s="13" t="s">
        <v>419</v>
      </c>
      <c r="B558" s="13" t="s">
        <v>369</v>
      </c>
      <c r="C558" s="14" t="s">
        <v>370</v>
      </c>
      <c r="D558" s="15">
        <v>74220.0</v>
      </c>
      <c r="E558" s="15">
        <v>77500.0</v>
      </c>
      <c r="F558" s="15">
        <v>118450.0</v>
      </c>
      <c r="G558" s="17">
        <f t="shared" si="1"/>
        <v>4.419293991</v>
      </c>
      <c r="H558" s="17">
        <f t="shared" si="2"/>
        <v>80924.95284</v>
      </c>
      <c r="I558" s="18">
        <f t="shared" si="3"/>
        <v>152.8387097</v>
      </c>
      <c r="J558" s="19">
        <f t="shared" si="4"/>
        <v>123684.6537</v>
      </c>
      <c r="K558" s="20">
        <v>118410.0</v>
      </c>
      <c r="L558" s="18">
        <f t="shared" si="5"/>
        <v>4.4545678</v>
      </c>
    </row>
    <row r="559">
      <c r="A559" s="13" t="s">
        <v>419</v>
      </c>
      <c r="B559" s="13" t="s">
        <v>371</v>
      </c>
      <c r="C559" s="14" t="s">
        <v>372</v>
      </c>
      <c r="D559" s="15">
        <v>5835960.0</v>
      </c>
      <c r="E559" s="15">
        <v>6267540.0</v>
      </c>
      <c r="F559" s="15">
        <v>1.144147E7</v>
      </c>
      <c r="G559" s="17">
        <f t="shared" si="1"/>
        <v>7.39518434</v>
      </c>
      <c r="H559" s="17">
        <f t="shared" si="2"/>
        <v>6731036.137</v>
      </c>
      <c r="I559" s="18">
        <f t="shared" si="3"/>
        <v>182.5512083</v>
      </c>
      <c r="J559" s="19">
        <f t="shared" si="4"/>
        <v>12287587.8</v>
      </c>
      <c r="K559" s="20">
        <v>1.171363E7</v>
      </c>
      <c r="L559" s="18">
        <f t="shared" si="5"/>
        <v>4.899914012</v>
      </c>
    </row>
    <row r="560">
      <c r="A560" s="13" t="s">
        <v>419</v>
      </c>
      <c r="B560" s="13" t="s">
        <v>373</v>
      </c>
      <c r="C560" s="14" t="s">
        <v>374</v>
      </c>
      <c r="D560" s="15">
        <v>1635580.0</v>
      </c>
      <c r="E560" s="15">
        <v>1685010.0</v>
      </c>
      <c r="F560" s="15">
        <v>2194110.0</v>
      </c>
      <c r="G560" s="17">
        <f t="shared" si="1"/>
        <v>3.022169506</v>
      </c>
      <c r="H560" s="17">
        <f t="shared" si="2"/>
        <v>1735933.858</v>
      </c>
      <c r="I560" s="18">
        <f t="shared" si="3"/>
        <v>130.2134705</v>
      </c>
      <c r="J560" s="19">
        <f t="shared" si="4"/>
        <v>2260419.723</v>
      </c>
      <c r="K560" s="20">
        <v>2294800.0</v>
      </c>
      <c r="L560" s="18">
        <f t="shared" si="5"/>
        <v>-1.498181831</v>
      </c>
    </row>
    <row r="561">
      <c r="A561" s="13" t="s">
        <v>419</v>
      </c>
      <c r="B561" s="13" t="s">
        <v>375</v>
      </c>
      <c r="C561" s="14" t="s">
        <v>376</v>
      </c>
      <c r="D561" s="15">
        <v>601100.0</v>
      </c>
      <c r="E561" s="15">
        <v>626380.0</v>
      </c>
      <c r="F561" s="15">
        <v>922290.0</v>
      </c>
      <c r="G561" s="17">
        <f t="shared" si="1"/>
        <v>4.205623024</v>
      </c>
      <c r="H561" s="17">
        <f t="shared" si="2"/>
        <v>652723.1815</v>
      </c>
      <c r="I561" s="18">
        <f t="shared" si="3"/>
        <v>147.2412912</v>
      </c>
      <c r="J561" s="19">
        <f t="shared" si="4"/>
        <v>961078.0406</v>
      </c>
      <c r="K561" s="20">
        <v>946840.0</v>
      </c>
      <c r="L561" s="18">
        <f t="shared" si="5"/>
        <v>1.503743039</v>
      </c>
    </row>
    <row r="562">
      <c r="A562" s="13" t="s">
        <v>419</v>
      </c>
      <c r="B562" s="13" t="s">
        <v>377</v>
      </c>
      <c r="C562" s="14" t="s">
        <v>378</v>
      </c>
      <c r="D562" s="15">
        <v>196990.0</v>
      </c>
      <c r="E562" s="15">
        <v>205060.0</v>
      </c>
      <c r="F562" s="15">
        <v>344270.0</v>
      </c>
      <c r="G562" s="17">
        <f t="shared" si="1"/>
        <v>4.096654653</v>
      </c>
      <c r="H562" s="17">
        <f t="shared" si="2"/>
        <v>213460.6</v>
      </c>
      <c r="I562" s="18">
        <f t="shared" si="3"/>
        <v>167.8874476</v>
      </c>
      <c r="J562" s="19">
        <f t="shared" si="4"/>
        <v>358373.553</v>
      </c>
      <c r="K562" s="20">
        <v>359490.0</v>
      </c>
      <c r="L562" s="18">
        <f t="shared" si="5"/>
        <v>-0.3105641402</v>
      </c>
    </row>
    <row r="563">
      <c r="A563" s="13" t="s">
        <v>420</v>
      </c>
      <c r="B563" s="13" t="s">
        <v>63</v>
      </c>
      <c r="C563" s="14" t="s">
        <v>66</v>
      </c>
      <c r="D563" s="15">
        <v>1.752616E7</v>
      </c>
      <c r="E563" s="15">
        <v>1.779354E7</v>
      </c>
      <c r="F563" s="15">
        <v>3.006044E7</v>
      </c>
      <c r="G563" s="17">
        <f t="shared" si="1"/>
        <v>1.525605153</v>
      </c>
      <c r="H563" s="17">
        <f t="shared" si="2"/>
        <v>18064999.16</v>
      </c>
      <c r="I563" s="18">
        <f t="shared" si="3"/>
        <v>168.9401884</v>
      </c>
      <c r="J563" s="19">
        <f t="shared" si="4"/>
        <v>30519043.62</v>
      </c>
      <c r="K563" s="20">
        <v>3.21296E7</v>
      </c>
      <c r="L563" s="18">
        <f t="shared" si="5"/>
        <v>-5.012687299</v>
      </c>
    </row>
    <row r="564">
      <c r="A564" s="13" t="s">
        <v>420</v>
      </c>
      <c r="B564" s="13" t="s">
        <v>347</v>
      </c>
      <c r="C564" s="14" t="s">
        <v>348</v>
      </c>
      <c r="D564" s="15">
        <v>7.921434E7</v>
      </c>
      <c r="E564" s="15">
        <v>8.27271E7</v>
      </c>
      <c r="F564" s="15">
        <v>1.3575297E8</v>
      </c>
      <c r="G564" s="17">
        <f t="shared" si="1"/>
        <v>4.434500117</v>
      </c>
      <c r="H564" s="17">
        <f t="shared" si="2"/>
        <v>86395633.35</v>
      </c>
      <c r="I564" s="18">
        <f t="shared" si="3"/>
        <v>164.0973393</v>
      </c>
      <c r="J564" s="19">
        <f t="shared" si="4"/>
        <v>141772935.6</v>
      </c>
      <c r="K564" s="20">
        <v>1.1985847E8</v>
      </c>
      <c r="L564" s="18">
        <f t="shared" si="5"/>
        <v>18.28361868</v>
      </c>
    </row>
    <row r="565">
      <c r="A565" s="13" t="s">
        <v>420</v>
      </c>
      <c r="B565" s="13" t="s">
        <v>349</v>
      </c>
      <c r="C565" s="14" t="s">
        <v>350</v>
      </c>
      <c r="D565" s="15">
        <v>2889900.0</v>
      </c>
      <c r="E565" s="15">
        <v>3019900.0</v>
      </c>
      <c r="F565" s="15">
        <v>5041830.0</v>
      </c>
      <c r="G565" s="17">
        <f t="shared" si="1"/>
        <v>4.498425551</v>
      </c>
      <c r="H565" s="17">
        <f t="shared" si="2"/>
        <v>3155747.953</v>
      </c>
      <c r="I565" s="18">
        <f t="shared" si="3"/>
        <v>166.9535415</v>
      </c>
      <c r="J565" s="19">
        <f t="shared" si="4"/>
        <v>5268632.969</v>
      </c>
      <c r="K565" s="20">
        <v>5406310.0</v>
      </c>
      <c r="L565" s="18">
        <f t="shared" si="5"/>
        <v>-2.546598901</v>
      </c>
    </row>
    <row r="566">
      <c r="A566" s="13" t="s">
        <v>420</v>
      </c>
      <c r="B566" s="13" t="s">
        <v>351</v>
      </c>
      <c r="C566" s="14" t="s">
        <v>352</v>
      </c>
      <c r="D566" s="15">
        <v>64459.99999999999</v>
      </c>
      <c r="E566" s="15">
        <v>69190.0</v>
      </c>
      <c r="F566" s="15">
        <v>112060.0</v>
      </c>
      <c r="G566" s="17">
        <f t="shared" si="1"/>
        <v>7.337883959</v>
      </c>
      <c r="H566" s="17">
        <f t="shared" si="2"/>
        <v>74267.08191</v>
      </c>
      <c r="I566" s="18">
        <f t="shared" si="3"/>
        <v>161.9598208</v>
      </c>
      <c r="J566" s="19">
        <f t="shared" si="4"/>
        <v>120282.8328</v>
      </c>
      <c r="K566" s="20">
        <v>116870.0</v>
      </c>
      <c r="L566" s="18">
        <f t="shared" si="5"/>
        <v>2.920195743</v>
      </c>
    </row>
    <row r="567">
      <c r="A567" s="13" t="s">
        <v>420</v>
      </c>
      <c r="B567" s="13" t="s">
        <v>353</v>
      </c>
      <c r="C567" s="14" t="s">
        <v>354</v>
      </c>
      <c r="D567" s="15">
        <v>86610.0</v>
      </c>
      <c r="E567" s="15">
        <v>88490.0</v>
      </c>
      <c r="F567" s="15">
        <v>123560.0</v>
      </c>
      <c r="G567" s="17">
        <f t="shared" si="1"/>
        <v>2.17065004</v>
      </c>
      <c r="H567" s="17">
        <f t="shared" si="2"/>
        <v>90410.80822</v>
      </c>
      <c r="I567" s="18">
        <f t="shared" si="3"/>
        <v>139.6315968</v>
      </c>
      <c r="J567" s="19">
        <f t="shared" si="4"/>
        <v>126242.0552</v>
      </c>
      <c r="K567" s="20">
        <v>131430.0</v>
      </c>
      <c r="L567" s="18">
        <f t="shared" si="5"/>
        <v>-3.947306407</v>
      </c>
    </row>
    <row r="568">
      <c r="A568" s="13" t="s">
        <v>420</v>
      </c>
      <c r="B568" s="13" t="s">
        <v>355</v>
      </c>
      <c r="C568" s="14" t="s">
        <v>356</v>
      </c>
      <c r="D568" s="15">
        <v>2.084359E7</v>
      </c>
      <c r="E568" s="15">
        <v>2.174683E7</v>
      </c>
      <c r="F568" s="15">
        <v>4.078739E7</v>
      </c>
      <c r="G568" s="17">
        <f t="shared" si="1"/>
        <v>4.333418571</v>
      </c>
      <c r="H568" s="17">
        <f t="shared" si="2"/>
        <v>22689211.17</v>
      </c>
      <c r="I568" s="18">
        <f t="shared" si="3"/>
        <v>187.5555656</v>
      </c>
      <c r="J568" s="19">
        <f t="shared" si="4"/>
        <v>42554878.33</v>
      </c>
      <c r="K568" s="20">
        <v>4.180101E7</v>
      </c>
      <c r="L568" s="18">
        <f t="shared" si="5"/>
        <v>1.803469182</v>
      </c>
    </row>
    <row r="569">
      <c r="A569" s="13" t="s">
        <v>420</v>
      </c>
      <c r="B569" s="13" t="s">
        <v>357</v>
      </c>
      <c r="C569" s="14" t="s">
        <v>358</v>
      </c>
      <c r="D569" s="15">
        <v>1.544863E7</v>
      </c>
      <c r="E569" s="15">
        <v>1.624261E7</v>
      </c>
      <c r="F569" s="15">
        <v>2.892051E7</v>
      </c>
      <c r="G569" s="17">
        <f t="shared" si="1"/>
        <v>5.13948486</v>
      </c>
      <c r="H569" s="17">
        <f t="shared" si="2"/>
        <v>17077396.48</v>
      </c>
      <c r="I569" s="18">
        <f t="shared" si="3"/>
        <v>178.0533424</v>
      </c>
      <c r="J569" s="19">
        <f t="shared" si="4"/>
        <v>30406875.23</v>
      </c>
      <c r="K569" s="20">
        <v>3.072327E7</v>
      </c>
      <c r="L569" s="18">
        <f t="shared" si="5"/>
        <v>-1.029821262</v>
      </c>
    </row>
    <row r="570">
      <c r="A570" s="13" t="s">
        <v>420</v>
      </c>
      <c r="B570" s="13" t="s">
        <v>359</v>
      </c>
      <c r="C570" s="14" t="s">
        <v>360</v>
      </c>
      <c r="D570" s="15">
        <v>6526580.0</v>
      </c>
      <c r="E570" s="15">
        <v>7120530.0</v>
      </c>
      <c r="F570" s="15">
        <v>1.50988E7</v>
      </c>
      <c r="G570" s="17">
        <f t="shared" si="1"/>
        <v>9.100478352</v>
      </c>
      <c r="H570" s="17">
        <f t="shared" si="2"/>
        <v>7768532.291</v>
      </c>
      <c r="I570" s="18">
        <f t="shared" si="3"/>
        <v>212.0460134</v>
      </c>
      <c r="J570" s="19">
        <f t="shared" si="4"/>
        <v>16472863.03</v>
      </c>
      <c r="K570" s="20">
        <v>1.570494E7</v>
      </c>
      <c r="L570" s="18">
        <f t="shared" si="5"/>
        <v>4.889690921</v>
      </c>
    </row>
    <row r="571">
      <c r="A571" s="13" t="s">
        <v>420</v>
      </c>
      <c r="B571" s="13" t="s">
        <v>361</v>
      </c>
      <c r="C571" s="14" t="s">
        <v>362</v>
      </c>
      <c r="D571" s="15">
        <v>1007460.0</v>
      </c>
      <c r="E571" s="15">
        <v>1048650.0</v>
      </c>
      <c r="F571" s="15">
        <v>1879100.0</v>
      </c>
      <c r="G571" s="17">
        <f t="shared" si="1"/>
        <v>4.088499792</v>
      </c>
      <c r="H571" s="17">
        <f t="shared" si="2"/>
        <v>1091524.053</v>
      </c>
      <c r="I571" s="18">
        <f t="shared" si="3"/>
        <v>179.1922949</v>
      </c>
      <c r="J571" s="19">
        <f t="shared" si="4"/>
        <v>1955927</v>
      </c>
      <c r="K571" s="20">
        <v>1966940.0</v>
      </c>
      <c r="L571" s="18">
        <f t="shared" si="5"/>
        <v>-0.5599052547</v>
      </c>
    </row>
    <row r="572">
      <c r="A572" s="13" t="s">
        <v>420</v>
      </c>
      <c r="B572" s="13" t="s">
        <v>363</v>
      </c>
      <c r="C572" s="14" t="s">
        <v>364</v>
      </c>
      <c r="D572" s="15">
        <v>6828250.0</v>
      </c>
      <c r="E572" s="15">
        <v>7147810.0</v>
      </c>
      <c r="F572" s="15">
        <v>1.008679E7</v>
      </c>
      <c r="G572" s="17">
        <f t="shared" si="1"/>
        <v>4.679969245</v>
      </c>
      <c r="H572" s="17">
        <f t="shared" si="2"/>
        <v>7482325.31</v>
      </c>
      <c r="I572" s="18">
        <f t="shared" si="3"/>
        <v>141.1172093</v>
      </c>
      <c r="J572" s="19">
        <f t="shared" si="4"/>
        <v>10558848.67</v>
      </c>
      <c r="K572" s="20">
        <v>1.053137E7</v>
      </c>
      <c r="L572" s="18">
        <f t="shared" si="5"/>
        <v>0.2609220818</v>
      </c>
    </row>
    <row r="573">
      <c r="A573" s="13" t="s">
        <v>420</v>
      </c>
      <c r="B573" s="13" t="s">
        <v>365</v>
      </c>
      <c r="C573" s="14" t="s">
        <v>366</v>
      </c>
      <c r="D573" s="15">
        <v>2707230.0</v>
      </c>
      <c r="E573" s="15">
        <v>2774380.0</v>
      </c>
      <c r="F573" s="15">
        <v>4812200.0</v>
      </c>
      <c r="G573" s="17">
        <f t="shared" si="1"/>
        <v>2.48039509</v>
      </c>
      <c r="H573" s="17">
        <f t="shared" si="2"/>
        <v>2843195.585</v>
      </c>
      <c r="I573" s="18">
        <f t="shared" si="3"/>
        <v>173.4513657</v>
      </c>
      <c r="J573" s="19">
        <f t="shared" si="4"/>
        <v>4931561.573</v>
      </c>
      <c r="K573" s="20">
        <v>4852250.0</v>
      </c>
      <c r="L573" s="18">
        <f t="shared" si="5"/>
        <v>1.634531867</v>
      </c>
    </row>
    <row r="574">
      <c r="A574" s="13" t="s">
        <v>420</v>
      </c>
      <c r="B574" s="13" t="s">
        <v>367</v>
      </c>
      <c r="C574" s="14" t="s">
        <v>368</v>
      </c>
      <c r="D574" s="15">
        <v>4660090.0</v>
      </c>
      <c r="E574" s="15">
        <v>4879170.0</v>
      </c>
      <c r="F574" s="15">
        <v>7493270.0</v>
      </c>
      <c r="G574" s="17">
        <f t="shared" si="1"/>
        <v>4.701196758</v>
      </c>
      <c r="H574" s="17">
        <f t="shared" si="2"/>
        <v>5108549.382</v>
      </c>
      <c r="I574" s="18">
        <f t="shared" si="3"/>
        <v>153.5767354</v>
      </c>
      <c r="J574" s="19">
        <f t="shared" si="4"/>
        <v>7845543.366</v>
      </c>
      <c r="K574" s="20">
        <v>8010710.0</v>
      </c>
      <c r="L574" s="18">
        <f t="shared" si="5"/>
        <v>-2.061822656</v>
      </c>
    </row>
    <row r="575">
      <c r="A575" s="13" t="s">
        <v>420</v>
      </c>
      <c r="B575" s="13" t="s">
        <v>369</v>
      </c>
      <c r="C575" s="14" t="s">
        <v>370</v>
      </c>
      <c r="D575" s="15">
        <v>1971230.0</v>
      </c>
      <c r="E575" s="15">
        <v>2049540.0</v>
      </c>
      <c r="F575" s="15">
        <v>3183700.0</v>
      </c>
      <c r="G575" s="17">
        <f t="shared" si="1"/>
        <v>3.97264652</v>
      </c>
      <c r="H575" s="17">
        <f t="shared" si="2"/>
        <v>2130960.979</v>
      </c>
      <c r="I575" s="18">
        <f t="shared" si="3"/>
        <v>155.3372952</v>
      </c>
      <c r="J575" s="19">
        <f t="shared" si="4"/>
        <v>3310177.147</v>
      </c>
      <c r="K575" s="20">
        <v>3314840.0</v>
      </c>
      <c r="L575" s="18">
        <f t="shared" si="5"/>
        <v>-0.1406659971</v>
      </c>
    </row>
    <row r="576">
      <c r="A576" s="13" t="s">
        <v>420</v>
      </c>
      <c r="B576" s="13" t="s">
        <v>371</v>
      </c>
      <c r="C576" s="14" t="s">
        <v>372</v>
      </c>
      <c r="D576" s="15">
        <v>1.414447E7</v>
      </c>
      <c r="E576" s="15">
        <v>1.491364E7</v>
      </c>
      <c r="F576" s="15">
        <v>2.509062E7</v>
      </c>
      <c r="G576" s="17">
        <f t="shared" si="1"/>
        <v>5.437955611</v>
      </c>
      <c r="H576" s="17">
        <f t="shared" si="2"/>
        <v>15724637.12</v>
      </c>
      <c r="I576" s="18">
        <f t="shared" si="3"/>
        <v>168.2394104</v>
      </c>
      <c r="J576" s="19">
        <f t="shared" si="4"/>
        <v>26455036.78</v>
      </c>
      <c r="K576" s="20">
        <v>2.723841E7</v>
      </c>
      <c r="L576" s="18">
        <f t="shared" si="5"/>
        <v>-2.875987335</v>
      </c>
    </row>
    <row r="577">
      <c r="A577" s="13" t="s">
        <v>420</v>
      </c>
      <c r="B577" s="13" t="s">
        <v>373</v>
      </c>
      <c r="C577" s="14" t="s">
        <v>374</v>
      </c>
      <c r="D577" s="15">
        <v>3408500.0</v>
      </c>
      <c r="E577" s="15">
        <v>3532740.0</v>
      </c>
      <c r="F577" s="15">
        <v>4730220.0</v>
      </c>
      <c r="G577" s="17">
        <f t="shared" si="1"/>
        <v>3.645005134</v>
      </c>
      <c r="H577" s="17">
        <f t="shared" si="2"/>
        <v>3661508.554</v>
      </c>
      <c r="I577" s="18">
        <f t="shared" si="3"/>
        <v>133.8966355</v>
      </c>
      <c r="J577" s="19">
        <f t="shared" si="4"/>
        <v>4902636.762</v>
      </c>
      <c r="K577" s="20">
        <v>5081380.0</v>
      </c>
      <c r="L577" s="18">
        <f t="shared" si="5"/>
        <v>-3.517612108</v>
      </c>
    </row>
    <row r="578">
      <c r="A578" s="13" t="s">
        <v>420</v>
      </c>
      <c r="B578" s="13" t="s">
        <v>375</v>
      </c>
      <c r="C578" s="14" t="s">
        <v>376</v>
      </c>
      <c r="D578" s="15">
        <v>2721740.0</v>
      </c>
      <c r="E578" s="15">
        <v>2835590.0</v>
      </c>
      <c r="F578" s="15">
        <v>4737580.0</v>
      </c>
      <c r="G578" s="17">
        <f t="shared" si="1"/>
        <v>4.182985884</v>
      </c>
      <c r="H578" s="17">
        <f t="shared" si="2"/>
        <v>2954202.329</v>
      </c>
      <c r="I578" s="18">
        <f t="shared" si="3"/>
        <v>167.0756351</v>
      </c>
      <c r="J578" s="19">
        <f t="shared" si="4"/>
        <v>4935752.303</v>
      </c>
      <c r="K578" s="20">
        <v>5097340.0</v>
      </c>
      <c r="L578" s="18">
        <f t="shared" si="5"/>
        <v>-3.170039616</v>
      </c>
    </row>
    <row r="579">
      <c r="A579" s="13" t="s">
        <v>420</v>
      </c>
      <c r="B579" s="13" t="s">
        <v>377</v>
      </c>
      <c r="C579" s="14" t="s">
        <v>378</v>
      </c>
      <c r="D579" s="15">
        <v>1877000.0</v>
      </c>
      <c r="E579" s="15">
        <v>1930210.0</v>
      </c>
      <c r="F579" s="15">
        <v>2911360.0</v>
      </c>
      <c r="G579" s="17">
        <f t="shared" si="1"/>
        <v>2.834842834</v>
      </c>
      <c r="H579" s="17">
        <f t="shared" si="2"/>
        <v>1984928.42</v>
      </c>
      <c r="I579" s="18">
        <f t="shared" si="3"/>
        <v>150.8312567</v>
      </c>
      <c r="J579" s="19">
        <f t="shared" si="4"/>
        <v>2993892.48</v>
      </c>
      <c r="K579" s="20">
        <v>3132860.0</v>
      </c>
      <c r="L579" s="18">
        <f t="shared" si="5"/>
        <v>-4.435803696</v>
      </c>
    </row>
  </sheetData>
  <mergeCells count="2">
    <mergeCell ref="N1:O1"/>
    <mergeCell ref="N2:O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22"/>
    <col customWidth="1" min="2" max="2" width="17.78"/>
    <col customWidth="1" min="3" max="3" width="20.56"/>
    <col customWidth="1" min="4" max="4" width="26.33"/>
    <col customWidth="1" min="5" max="5" width="16.22"/>
    <col customWidth="1" min="6" max="6" width="14.11"/>
    <col customWidth="1" min="7" max="7" width="15.22"/>
    <col customWidth="1" min="8" max="8" width="20.67"/>
    <col customWidth="1" min="9" max="9" width="18.89"/>
  </cols>
  <sheetData>
    <row r="1">
      <c r="A1" s="5" t="s">
        <v>2</v>
      </c>
      <c r="B1" s="5" t="s">
        <v>0</v>
      </c>
      <c r="C1" s="5" t="s">
        <v>12</v>
      </c>
      <c r="D1" s="5" t="s">
        <v>14</v>
      </c>
      <c r="E1" s="5" t="s">
        <v>18</v>
      </c>
      <c r="F1" s="5" t="s">
        <v>21</v>
      </c>
      <c r="G1" s="5" t="s">
        <v>22</v>
      </c>
      <c r="H1" s="5" t="s">
        <v>20</v>
      </c>
      <c r="I1" s="5" t="s">
        <v>23</v>
      </c>
    </row>
    <row r="2">
      <c r="A2" s="7">
        <v>1.0</v>
      </c>
      <c r="B2" s="9" t="s">
        <v>25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34</v>
      </c>
      <c r="I2" s="7" t="s">
        <v>35</v>
      </c>
    </row>
    <row r="3">
      <c r="A3" s="7">
        <v>2.0</v>
      </c>
      <c r="B3" s="9" t="s">
        <v>38</v>
      </c>
      <c r="C3" s="7" t="s">
        <v>40</v>
      </c>
      <c r="D3" s="7" t="s">
        <v>41</v>
      </c>
      <c r="E3" s="7" t="s">
        <v>43</v>
      </c>
      <c r="F3" s="7" t="s">
        <v>44</v>
      </c>
      <c r="G3" s="7" t="s">
        <v>47</v>
      </c>
      <c r="H3" s="7" t="s">
        <v>48</v>
      </c>
      <c r="I3" s="7" t="s">
        <v>50</v>
      </c>
    </row>
    <row r="4">
      <c r="A4" s="7">
        <v>3.0</v>
      </c>
      <c r="B4" s="9" t="s">
        <v>52</v>
      </c>
      <c r="C4" s="7" t="s">
        <v>53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60</v>
      </c>
    </row>
    <row r="5">
      <c r="A5" s="7">
        <v>4.0</v>
      </c>
      <c r="B5" s="9" t="s">
        <v>61</v>
      </c>
      <c r="C5" s="7" t="s">
        <v>64</v>
      </c>
      <c r="D5" s="7" t="s">
        <v>65</v>
      </c>
      <c r="E5" s="7" t="s">
        <v>67</v>
      </c>
      <c r="F5" s="7" t="s">
        <v>68</v>
      </c>
      <c r="G5" s="7" t="s">
        <v>69</v>
      </c>
      <c r="H5" s="7" t="s">
        <v>70</v>
      </c>
      <c r="I5" s="7" t="s">
        <v>71</v>
      </c>
    </row>
    <row r="6">
      <c r="A6" s="7">
        <v>5.0</v>
      </c>
      <c r="B6" s="9" t="s">
        <v>72</v>
      </c>
      <c r="C6" s="7" t="s">
        <v>74</v>
      </c>
      <c r="D6" s="7" t="s">
        <v>75</v>
      </c>
      <c r="E6" s="7" t="s">
        <v>76</v>
      </c>
      <c r="F6" s="7" t="s">
        <v>77</v>
      </c>
      <c r="G6" s="7" t="s">
        <v>78</v>
      </c>
      <c r="H6" s="7" t="s">
        <v>79</v>
      </c>
      <c r="I6" s="7" t="s">
        <v>80</v>
      </c>
    </row>
    <row r="7">
      <c r="A7" s="7">
        <v>6.0</v>
      </c>
      <c r="B7" s="9" t="s">
        <v>81</v>
      </c>
      <c r="C7" s="7" t="s">
        <v>82</v>
      </c>
      <c r="D7" s="7" t="s">
        <v>83</v>
      </c>
      <c r="E7" s="7" t="s">
        <v>84</v>
      </c>
      <c r="F7" s="7" t="s">
        <v>85</v>
      </c>
      <c r="G7" s="7" t="s">
        <v>86</v>
      </c>
      <c r="H7" s="7" t="s">
        <v>87</v>
      </c>
      <c r="I7" s="7" t="s">
        <v>88</v>
      </c>
    </row>
    <row r="8">
      <c r="A8" s="7">
        <v>7.0</v>
      </c>
      <c r="B8" s="9" t="s">
        <v>89</v>
      </c>
      <c r="C8" s="7" t="s">
        <v>90</v>
      </c>
      <c r="D8" s="7" t="s">
        <v>91</v>
      </c>
      <c r="E8" s="7" t="s">
        <v>92</v>
      </c>
      <c r="F8" s="7" t="s">
        <v>93</v>
      </c>
      <c r="G8" s="7" t="s">
        <v>94</v>
      </c>
      <c r="H8" s="7" t="s">
        <v>95</v>
      </c>
      <c r="I8" s="7" t="s">
        <v>96</v>
      </c>
    </row>
    <row r="9">
      <c r="A9" s="7">
        <v>8.0</v>
      </c>
      <c r="B9" s="9" t="s">
        <v>98</v>
      </c>
      <c r="C9" s="7" t="s">
        <v>99</v>
      </c>
      <c r="D9" s="7" t="s">
        <v>100</v>
      </c>
      <c r="E9" s="7" t="s">
        <v>101</v>
      </c>
      <c r="F9" s="7" t="s">
        <v>103</v>
      </c>
      <c r="G9" s="7" t="s">
        <v>104</v>
      </c>
      <c r="H9" s="7" t="s">
        <v>105</v>
      </c>
      <c r="I9" s="7" t="s">
        <v>106</v>
      </c>
    </row>
    <row r="10">
      <c r="A10" s="7">
        <v>9.0</v>
      </c>
      <c r="B10" s="9" t="s">
        <v>107</v>
      </c>
      <c r="C10" s="7" t="s">
        <v>109</v>
      </c>
      <c r="D10" s="7" t="s">
        <v>110</v>
      </c>
      <c r="E10" s="7" t="s">
        <v>111</v>
      </c>
      <c r="F10" s="7" t="s">
        <v>112</v>
      </c>
      <c r="G10" s="7" t="s">
        <v>113</v>
      </c>
      <c r="H10" s="7" t="s">
        <v>114</v>
      </c>
      <c r="I10" s="7" t="s">
        <v>115</v>
      </c>
    </row>
    <row r="11">
      <c r="A11" s="7">
        <v>10.0</v>
      </c>
      <c r="B11" s="9" t="s">
        <v>116</v>
      </c>
      <c r="C11" s="7" t="s">
        <v>117</v>
      </c>
      <c r="D11" s="7" t="s">
        <v>118</v>
      </c>
      <c r="E11" s="7" t="s">
        <v>119</v>
      </c>
      <c r="F11" s="7" t="s">
        <v>120</v>
      </c>
      <c r="G11" s="7" t="s">
        <v>121</v>
      </c>
      <c r="H11" s="7" t="s">
        <v>122</v>
      </c>
      <c r="I11" s="7" t="s">
        <v>123</v>
      </c>
    </row>
    <row r="12">
      <c r="A12" s="7">
        <v>11.0</v>
      </c>
      <c r="B12" s="9" t="s">
        <v>124</v>
      </c>
      <c r="C12" s="7" t="s">
        <v>125</v>
      </c>
      <c r="D12" s="7" t="s">
        <v>126</v>
      </c>
      <c r="E12" s="7" t="s">
        <v>127</v>
      </c>
      <c r="F12" s="7" t="s">
        <v>128</v>
      </c>
      <c r="G12" s="7" t="s">
        <v>129</v>
      </c>
      <c r="H12" s="7" t="s">
        <v>130</v>
      </c>
      <c r="I12" s="7" t="s">
        <v>131</v>
      </c>
    </row>
    <row r="13">
      <c r="A13" s="7">
        <v>12.0</v>
      </c>
      <c r="B13" s="9" t="s">
        <v>132</v>
      </c>
      <c r="C13" s="7" t="s">
        <v>133</v>
      </c>
      <c r="D13" s="7" t="s">
        <v>134</v>
      </c>
      <c r="E13" s="7" t="s">
        <v>135</v>
      </c>
      <c r="F13" s="7" t="s">
        <v>136</v>
      </c>
      <c r="G13" s="7" t="s">
        <v>137</v>
      </c>
      <c r="H13" s="7" t="s">
        <v>138</v>
      </c>
      <c r="I13" s="7" t="s">
        <v>139</v>
      </c>
    </row>
    <row r="14">
      <c r="A14" s="7">
        <v>13.0</v>
      </c>
      <c r="B14" s="9" t="s">
        <v>141</v>
      </c>
      <c r="C14" s="7" t="s">
        <v>142</v>
      </c>
      <c r="D14" s="7" t="s">
        <v>143</v>
      </c>
      <c r="E14" s="7" t="s">
        <v>144</v>
      </c>
      <c r="F14" s="7" t="s">
        <v>145</v>
      </c>
      <c r="G14" s="7" t="s">
        <v>146</v>
      </c>
      <c r="H14" s="7" t="s">
        <v>147</v>
      </c>
      <c r="I14" s="7" t="s">
        <v>148</v>
      </c>
    </row>
    <row r="15">
      <c r="A15" s="7">
        <v>14.0</v>
      </c>
      <c r="B15" s="9" t="s">
        <v>149</v>
      </c>
      <c r="C15" s="7" t="s">
        <v>150</v>
      </c>
      <c r="D15" s="7" t="s">
        <v>151</v>
      </c>
      <c r="E15" s="7" t="s">
        <v>152</v>
      </c>
      <c r="F15" s="7" t="s">
        <v>153</v>
      </c>
      <c r="G15" s="7" t="s">
        <v>154</v>
      </c>
      <c r="H15" s="7" t="s">
        <v>155</v>
      </c>
      <c r="I15" s="7" t="s">
        <v>156</v>
      </c>
    </row>
    <row r="16">
      <c r="A16" s="7">
        <v>15.0</v>
      </c>
      <c r="B16" s="9" t="s">
        <v>157</v>
      </c>
      <c r="C16" s="7" t="s">
        <v>158</v>
      </c>
      <c r="D16" s="7" t="s">
        <v>159</v>
      </c>
      <c r="E16" s="7" t="s">
        <v>160</v>
      </c>
      <c r="F16" s="7" t="s">
        <v>161</v>
      </c>
      <c r="G16" s="7" t="s">
        <v>162</v>
      </c>
      <c r="H16" s="7" t="s">
        <v>163</v>
      </c>
      <c r="I16" s="7" t="s">
        <v>164</v>
      </c>
    </row>
    <row r="17">
      <c r="A17" s="7">
        <v>16.0</v>
      </c>
      <c r="B17" s="9" t="s">
        <v>165</v>
      </c>
      <c r="C17" s="7" t="s">
        <v>166</v>
      </c>
      <c r="D17" s="7" t="s">
        <v>168</v>
      </c>
      <c r="E17" s="7" t="s">
        <v>169</v>
      </c>
      <c r="F17" s="7" t="s">
        <v>170</v>
      </c>
      <c r="G17" s="7" t="s">
        <v>171</v>
      </c>
      <c r="H17" s="7" t="s">
        <v>172</v>
      </c>
      <c r="I17" s="7" t="s">
        <v>173</v>
      </c>
    </row>
    <row r="18">
      <c r="A18" s="7">
        <v>17.0</v>
      </c>
      <c r="B18" s="9" t="s">
        <v>174</v>
      </c>
      <c r="C18" s="7" t="s">
        <v>175</v>
      </c>
      <c r="D18" s="7" t="s">
        <v>176</v>
      </c>
      <c r="E18" s="7" t="s">
        <v>177</v>
      </c>
      <c r="F18" s="7" t="s">
        <v>178</v>
      </c>
      <c r="G18" s="7" t="s">
        <v>179</v>
      </c>
      <c r="H18" s="7" t="s">
        <v>181</v>
      </c>
      <c r="I18" s="7" t="s">
        <v>182</v>
      </c>
    </row>
    <row r="19">
      <c r="A19" s="7">
        <v>18.0</v>
      </c>
      <c r="B19" s="9" t="s">
        <v>183</v>
      </c>
      <c r="C19" s="7" t="s">
        <v>184</v>
      </c>
      <c r="D19" s="7" t="s">
        <v>185</v>
      </c>
      <c r="E19" s="7" t="s">
        <v>186</v>
      </c>
      <c r="F19" s="7" t="s">
        <v>187</v>
      </c>
      <c r="G19" s="7" t="s">
        <v>188</v>
      </c>
      <c r="H19" s="7" t="s">
        <v>189</v>
      </c>
      <c r="I19" s="7" t="s">
        <v>190</v>
      </c>
    </row>
    <row r="20">
      <c r="A20" s="7">
        <v>19.0</v>
      </c>
      <c r="B20" s="9" t="s">
        <v>191</v>
      </c>
      <c r="C20" s="7" t="s">
        <v>192</v>
      </c>
      <c r="D20" s="7" t="s">
        <v>194</v>
      </c>
      <c r="E20" s="7" t="s">
        <v>195</v>
      </c>
      <c r="F20" s="7" t="s">
        <v>196</v>
      </c>
      <c r="G20" s="7" t="s">
        <v>197</v>
      </c>
      <c r="H20" s="7" t="s">
        <v>198</v>
      </c>
      <c r="I20" s="7" t="s">
        <v>199</v>
      </c>
    </row>
    <row r="21">
      <c r="A21" s="7">
        <v>20.0</v>
      </c>
      <c r="B21" s="9" t="s">
        <v>200</v>
      </c>
      <c r="C21" s="7" t="s">
        <v>201</v>
      </c>
      <c r="D21" s="7" t="s">
        <v>202</v>
      </c>
      <c r="E21" s="7" t="s">
        <v>203</v>
      </c>
      <c r="F21" s="7" t="s">
        <v>204</v>
      </c>
      <c r="G21" s="7" t="s">
        <v>205</v>
      </c>
      <c r="H21" s="7" t="s">
        <v>207</v>
      </c>
      <c r="I21" s="7" t="s">
        <v>208</v>
      </c>
    </row>
    <row r="22">
      <c r="A22" s="7">
        <v>21.0</v>
      </c>
      <c r="B22" s="9" t="s">
        <v>209</v>
      </c>
      <c r="C22" s="7" t="s">
        <v>210</v>
      </c>
      <c r="D22" s="7" t="s">
        <v>211</v>
      </c>
      <c r="E22" s="7" t="s">
        <v>212</v>
      </c>
      <c r="F22" s="7" t="s">
        <v>213</v>
      </c>
      <c r="G22" s="7" t="s">
        <v>214</v>
      </c>
      <c r="H22" s="7" t="s">
        <v>215</v>
      </c>
      <c r="I22" s="7" t="s">
        <v>216</v>
      </c>
    </row>
    <row r="23">
      <c r="A23" s="7">
        <v>22.0</v>
      </c>
      <c r="B23" s="9" t="s">
        <v>218</v>
      </c>
      <c r="C23" s="7" t="s">
        <v>219</v>
      </c>
      <c r="D23" s="7" t="s">
        <v>220</v>
      </c>
      <c r="E23" s="7" t="s">
        <v>221</v>
      </c>
      <c r="F23" s="7" t="s">
        <v>222</v>
      </c>
      <c r="G23" s="7" t="s">
        <v>223</v>
      </c>
      <c r="H23" s="7" t="s">
        <v>224</v>
      </c>
      <c r="I23" s="7" t="s">
        <v>225</v>
      </c>
    </row>
    <row r="24">
      <c r="A24" s="7">
        <v>23.0</v>
      </c>
      <c r="B24" s="9" t="s">
        <v>226</v>
      </c>
      <c r="C24" s="7" t="s">
        <v>227</v>
      </c>
      <c r="D24" s="7" t="s">
        <v>228</v>
      </c>
      <c r="E24" s="7" t="s">
        <v>229</v>
      </c>
      <c r="F24" s="7" t="s">
        <v>230</v>
      </c>
      <c r="G24" s="7" t="s">
        <v>232</v>
      </c>
      <c r="H24" s="7" t="s">
        <v>233</v>
      </c>
      <c r="I24" s="7" t="s">
        <v>234</v>
      </c>
    </row>
    <row r="25">
      <c r="A25" s="7">
        <v>24.0</v>
      </c>
      <c r="B25" s="9" t="s">
        <v>235</v>
      </c>
      <c r="C25" s="7" t="s">
        <v>236</v>
      </c>
      <c r="D25" s="7" t="s">
        <v>237</v>
      </c>
      <c r="E25" s="7" t="s">
        <v>238</v>
      </c>
      <c r="F25" s="7" t="s">
        <v>239</v>
      </c>
      <c r="G25" s="7" t="s">
        <v>240</v>
      </c>
      <c r="H25" s="7" t="s">
        <v>241</v>
      </c>
      <c r="I25" s="7" t="s">
        <v>242</v>
      </c>
    </row>
    <row r="26">
      <c r="A26" s="7">
        <v>25.0</v>
      </c>
      <c r="B26" s="9" t="s">
        <v>244</v>
      </c>
      <c r="C26" s="7" t="s">
        <v>245</v>
      </c>
      <c r="D26" s="7" t="s">
        <v>246</v>
      </c>
      <c r="E26" s="7" t="s">
        <v>247</v>
      </c>
      <c r="F26" s="7" t="s">
        <v>248</v>
      </c>
      <c r="G26" s="7" t="s">
        <v>249</v>
      </c>
      <c r="H26" s="7" t="s">
        <v>250</v>
      </c>
      <c r="I26" s="7" t="s">
        <v>251</v>
      </c>
    </row>
    <row r="27">
      <c r="A27" s="7">
        <v>26.0</v>
      </c>
      <c r="B27" s="9" t="s">
        <v>252</v>
      </c>
      <c r="C27" s="7" t="s">
        <v>253</v>
      </c>
      <c r="D27" s="7" t="s">
        <v>254</v>
      </c>
      <c r="E27" s="7" t="s">
        <v>255</v>
      </c>
      <c r="F27" s="7" t="s">
        <v>256</v>
      </c>
      <c r="G27" s="7" t="s">
        <v>257</v>
      </c>
      <c r="H27" s="7" t="s">
        <v>258</v>
      </c>
      <c r="I27" s="7" t="s">
        <v>259</v>
      </c>
    </row>
    <row r="28">
      <c r="A28" s="7">
        <v>27.0</v>
      </c>
      <c r="B28" s="9" t="s">
        <v>260</v>
      </c>
      <c r="C28" s="7" t="s">
        <v>261</v>
      </c>
      <c r="D28" s="7" t="s">
        <v>262</v>
      </c>
      <c r="E28" s="7" t="s">
        <v>263</v>
      </c>
      <c r="F28" s="7" t="s">
        <v>264</v>
      </c>
      <c r="G28" s="7" t="s">
        <v>214</v>
      </c>
      <c r="H28" s="7" t="s">
        <v>265</v>
      </c>
      <c r="I28" s="7" t="s">
        <v>266</v>
      </c>
    </row>
    <row r="29">
      <c r="A29" s="7">
        <v>28.0</v>
      </c>
      <c r="B29" s="9" t="s">
        <v>267</v>
      </c>
      <c r="C29" s="7" t="s">
        <v>268</v>
      </c>
      <c r="D29" s="7" t="s">
        <v>269</v>
      </c>
      <c r="E29" s="7" t="s">
        <v>270</v>
      </c>
      <c r="F29" s="7" t="s">
        <v>271</v>
      </c>
      <c r="G29" s="7" t="s">
        <v>272</v>
      </c>
      <c r="H29" s="7" t="s">
        <v>273</v>
      </c>
      <c r="I29" s="7" t="s">
        <v>275</v>
      </c>
    </row>
    <row r="30">
      <c r="A30" s="7">
        <v>29.0</v>
      </c>
      <c r="B30" s="9" t="s">
        <v>276</v>
      </c>
      <c r="C30" s="7" t="s">
        <v>277</v>
      </c>
      <c r="D30" s="7" t="s">
        <v>278</v>
      </c>
      <c r="E30" s="7" t="s">
        <v>279</v>
      </c>
      <c r="F30" s="7" t="s">
        <v>280</v>
      </c>
      <c r="G30" s="7" t="s">
        <v>281</v>
      </c>
      <c r="H30" s="7" t="s">
        <v>282</v>
      </c>
      <c r="I30" s="7" t="s">
        <v>283</v>
      </c>
    </row>
    <row r="31">
      <c r="A31" s="7">
        <v>30.0</v>
      </c>
      <c r="B31" s="9" t="s">
        <v>284</v>
      </c>
      <c r="C31" s="7" t="s">
        <v>285</v>
      </c>
      <c r="D31" s="7" t="s">
        <v>287</v>
      </c>
      <c r="E31" s="7" t="s">
        <v>288</v>
      </c>
      <c r="F31" s="7" t="s">
        <v>289</v>
      </c>
      <c r="G31" s="7" t="s">
        <v>290</v>
      </c>
      <c r="H31" s="7" t="s">
        <v>291</v>
      </c>
      <c r="I31" s="7" t="s">
        <v>292</v>
      </c>
    </row>
    <row r="32">
      <c r="A32" s="7">
        <v>31.0</v>
      </c>
      <c r="B32" s="9" t="s">
        <v>293</v>
      </c>
      <c r="C32" s="7" t="s">
        <v>294</v>
      </c>
      <c r="D32" s="7" t="s">
        <v>295</v>
      </c>
      <c r="E32" s="7" t="s">
        <v>296</v>
      </c>
      <c r="F32" s="7" t="s">
        <v>297</v>
      </c>
      <c r="G32" s="7" t="s">
        <v>31</v>
      </c>
      <c r="H32" s="7" t="s">
        <v>299</v>
      </c>
      <c r="I32" s="7" t="s">
        <v>300</v>
      </c>
    </row>
    <row r="33">
      <c r="A33" s="7">
        <v>32.0</v>
      </c>
      <c r="B33" s="9" t="s">
        <v>301</v>
      </c>
      <c r="C33" s="7" t="s">
        <v>302</v>
      </c>
      <c r="D33" s="7" t="s">
        <v>303</v>
      </c>
      <c r="E33" s="7" t="s">
        <v>304</v>
      </c>
      <c r="F33" s="7" t="s">
        <v>305</v>
      </c>
      <c r="G33" s="7" t="s">
        <v>306</v>
      </c>
      <c r="H33" s="7" t="s">
        <v>307</v>
      </c>
      <c r="I33" s="7" t="s">
        <v>308</v>
      </c>
    </row>
    <row r="34">
      <c r="A34" s="7">
        <v>33.0</v>
      </c>
      <c r="B34" s="9" t="s">
        <v>309</v>
      </c>
      <c r="C34" s="7" t="s">
        <v>311</v>
      </c>
      <c r="D34" s="7" t="s">
        <v>312</v>
      </c>
      <c r="E34" s="7" t="s">
        <v>313</v>
      </c>
      <c r="F34" s="7" t="s">
        <v>314</v>
      </c>
      <c r="G34" s="7" t="s">
        <v>146</v>
      </c>
      <c r="H34" s="7" t="s">
        <v>315</v>
      </c>
      <c r="I34" s="7" t="s">
        <v>316</v>
      </c>
    </row>
    <row r="35">
      <c r="A35" s="7">
        <v>34.0</v>
      </c>
      <c r="B35" s="9" t="s">
        <v>317</v>
      </c>
      <c r="C35" s="7" t="s">
        <v>318</v>
      </c>
      <c r="D35" s="7" t="s">
        <v>319</v>
      </c>
      <c r="E35" s="7" t="s">
        <v>320</v>
      </c>
      <c r="F35" s="7" t="s">
        <v>322</v>
      </c>
      <c r="G35" s="7" t="s">
        <v>323</v>
      </c>
      <c r="H35" s="7" t="s">
        <v>324</v>
      </c>
      <c r="I35" s="7" t="s">
        <v>325</v>
      </c>
    </row>
    <row r="36">
      <c r="A36" s="21" t="s">
        <v>326</v>
      </c>
      <c r="B36" s="22"/>
      <c r="C36" s="23" t="s">
        <v>329</v>
      </c>
      <c r="D36" s="23" t="s">
        <v>331</v>
      </c>
      <c r="E36" s="23" t="s">
        <v>333</v>
      </c>
      <c r="F36" s="23" t="s">
        <v>334</v>
      </c>
      <c r="G36" s="23" t="s">
        <v>335</v>
      </c>
      <c r="H36" s="23" t="s">
        <v>336</v>
      </c>
      <c r="I36" s="23" t="s">
        <v>337</v>
      </c>
    </row>
    <row r="37">
      <c r="B37" s="24"/>
    </row>
    <row r="38">
      <c r="B38" s="24"/>
    </row>
    <row r="39">
      <c r="B39" s="24"/>
    </row>
    <row r="40">
      <c r="B40" s="24"/>
    </row>
    <row r="41">
      <c r="B41" s="24"/>
    </row>
    <row r="42">
      <c r="B42" s="24"/>
    </row>
    <row r="43">
      <c r="B43" s="24"/>
    </row>
    <row r="44">
      <c r="B44" s="24"/>
    </row>
    <row r="45">
      <c r="B45" s="24"/>
    </row>
    <row r="46">
      <c r="B46" s="24"/>
    </row>
    <row r="47">
      <c r="B47" s="24"/>
    </row>
    <row r="48">
      <c r="B48" s="24"/>
    </row>
    <row r="49">
      <c r="B49" s="24"/>
    </row>
    <row r="50">
      <c r="B50" s="24"/>
    </row>
    <row r="51">
      <c r="B51" s="24"/>
    </row>
    <row r="52">
      <c r="B52" s="24"/>
    </row>
    <row r="53">
      <c r="B53" s="24"/>
    </row>
    <row r="54">
      <c r="B54" s="24"/>
    </row>
    <row r="55">
      <c r="B55" s="24"/>
    </row>
    <row r="56">
      <c r="B56" s="24"/>
    </row>
    <row r="57">
      <c r="B57" s="24"/>
    </row>
    <row r="58">
      <c r="B58" s="24"/>
    </row>
    <row r="59">
      <c r="B59" s="24"/>
    </row>
    <row r="60">
      <c r="B60" s="24"/>
    </row>
    <row r="61">
      <c r="B61" s="24"/>
    </row>
    <row r="62">
      <c r="B62" s="24"/>
    </row>
    <row r="63">
      <c r="B63" s="24"/>
    </row>
    <row r="64">
      <c r="B64" s="24"/>
    </row>
    <row r="65">
      <c r="B65" s="24"/>
    </row>
    <row r="66">
      <c r="B66" s="24"/>
    </row>
    <row r="67">
      <c r="B67" s="24"/>
    </row>
    <row r="68">
      <c r="B68" s="24"/>
    </row>
    <row r="69">
      <c r="B69" s="24"/>
    </row>
    <row r="70">
      <c r="B70" s="24"/>
    </row>
    <row r="71">
      <c r="B71" s="24"/>
    </row>
    <row r="72">
      <c r="B72" s="24"/>
    </row>
    <row r="73">
      <c r="B73" s="24"/>
    </row>
    <row r="74">
      <c r="B74" s="24"/>
    </row>
    <row r="75">
      <c r="B75" s="24"/>
    </row>
    <row r="76">
      <c r="B76" s="24"/>
    </row>
    <row r="77">
      <c r="B77" s="24"/>
    </row>
    <row r="78">
      <c r="B78" s="24"/>
    </row>
    <row r="79">
      <c r="B79" s="24"/>
    </row>
    <row r="80">
      <c r="B80" s="24"/>
    </row>
    <row r="81">
      <c r="B81" s="24"/>
    </row>
    <row r="82">
      <c r="B82" s="24"/>
    </row>
    <row r="83">
      <c r="B83" s="24"/>
    </row>
    <row r="84">
      <c r="B84" s="24"/>
    </row>
    <row r="85">
      <c r="B85" s="24"/>
    </row>
    <row r="86">
      <c r="B86" s="24"/>
    </row>
    <row r="87">
      <c r="B87" s="24"/>
    </row>
    <row r="88">
      <c r="B88" s="24"/>
    </row>
    <row r="89">
      <c r="B89" s="24"/>
    </row>
    <row r="90">
      <c r="B90" s="24"/>
    </row>
    <row r="91">
      <c r="B91" s="24"/>
    </row>
    <row r="92">
      <c r="B92" s="24"/>
    </row>
    <row r="93">
      <c r="B93" s="24"/>
    </row>
    <row r="94">
      <c r="B94" s="24"/>
    </row>
    <row r="95">
      <c r="B95" s="24"/>
    </row>
    <row r="96">
      <c r="B96" s="24"/>
    </row>
    <row r="97">
      <c r="B97" s="24"/>
    </row>
    <row r="98">
      <c r="B98" s="24"/>
    </row>
    <row r="99">
      <c r="B99" s="24"/>
    </row>
    <row r="100">
      <c r="B100" s="24"/>
    </row>
    <row r="101">
      <c r="B101" s="24"/>
    </row>
    <row r="102">
      <c r="B102" s="24"/>
    </row>
    <row r="103">
      <c r="B103" s="24"/>
    </row>
    <row r="104">
      <c r="B104" s="24"/>
    </row>
    <row r="105">
      <c r="B105" s="24"/>
    </row>
    <row r="106">
      <c r="B106" s="24"/>
    </row>
    <row r="107">
      <c r="B107" s="24"/>
    </row>
    <row r="108">
      <c r="B108" s="24"/>
    </row>
    <row r="109">
      <c r="B109" s="24"/>
    </row>
    <row r="110">
      <c r="B110" s="24"/>
    </row>
    <row r="111">
      <c r="B111" s="24"/>
    </row>
    <row r="112">
      <c r="B112" s="24"/>
    </row>
    <row r="113">
      <c r="B113" s="24"/>
    </row>
    <row r="114">
      <c r="B114" s="24"/>
    </row>
    <row r="115">
      <c r="B115" s="24"/>
    </row>
    <row r="116">
      <c r="B116" s="24"/>
    </row>
    <row r="117">
      <c r="B117" s="24"/>
    </row>
    <row r="118">
      <c r="B118" s="24"/>
    </row>
    <row r="119">
      <c r="B119" s="24"/>
    </row>
    <row r="120">
      <c r="B120" s="24"/>
    </row>
    <row r="121">
      <c r="B121" s="24"/>
    </row>
    <row r="122">
      <c r="B122" s="24"/>
    </row>
    <row r="123">
      <c r="B123" s="24"/>
    </row>
    <row r="124">
      <c r="B124" s="24"/>
    </row>
    <row r="125">
      <c r="B125" s="24"/>
    </row>
    <row r="126">
      <c r="B126" s="24"/>
    </row>
    <row r="127">
      <c r="B127" s="24"/>
    </row>
    <row r="128">
      <c r="B128" s="24"/>
    </row>
    <row r="129">
      <c r="B129" s="24"/>
    </row>
    <row r="130">
      <c r="B130" s="24"/>
    </row>
    <row r="131">
      <c r="B131" s="24"/>
    </row>
    <row r="132">
      <c r="B132" s="24"/>
    </row>
    <row r="133">
      <c r="B133" s="24"/>
    </row>
    <row r="134">
      <c r="B134" s="24"/>
    </row>
    <row r="135">
      <c r="B135" s="24"/>
    </row>
    <row r="136">
      <c r="B136" s="24"/>
    </row>
    <row r="137">
      <c r="B137" s="24"/>
    </row>
    <row r="138">
      <c r="B138" s="24"/>
    </row>
    <row r="139">
      <c r="B139" s="24"/>
    </row>
    <row r="140">
      <c r="B140" s="24"/>
    </row>
    <row r="141">
      <c r="B141" s="24"/>
    </row>
    <row r="142">
      <c r="B142" s="24"/>
    </row>
    <row r="143">
      <c r="B143" s="24"/>
    </row>
    <row r="144">
      <c r="B144" s="24"/>
    </row>
    <row r="145">
      <c r="B145" s="24"/>
    </row>
    <row r="146">
      <c r="B146" s="24"/>
    </row>
    <row r="147">
      <c r="B147" s="24"/>
    </row>
    <row r="148">
      <c r="B148" s="24"/>
    </row>
    <row r="149">
      <c r="B149" s="24"/>
    </row>
    <row r="150">
      <c r="B150" s="24"/>
    </row>
    <row r="151">
      <c r="B151" s="24"/>
    </row>
    <row r="152">
      <c r="B152" s="24"/>
    </row>
    <row r="153">
      <c r="B153" s="24"/>
    </row>
    <row r="154">
      <c r="B154" s="24"/>
    </row>
    <row r="155">
      <c r="B155" s="24"/>
    </row>
    <row r="156">
      <c r="B156" s="24"/>
    </row>
    <row r="157">
      <c r="B157" s="24"/>
    </row>
    <row r="158">
      <c r="B158" s="24"/>
    </row>
    <row r="159">
      <c r="B159" s="24"/>
    </row>
    <row r="160">
      <c r="B160" s="24"/>
    </row>
    <row r="161">
      <c r="B161" s="24"/>
    </row>
    <row r="162">
      <c r="B162" s="24"/>
    </row>
    <row r="163">
      <c r="B163" s="24"/>
    </row>
    <row r="164">
      <c r="B164" s="24"/>
    </row>
    <row r="165">
      <c r="B165" s="24"/>
    </row>
    <row r="166">
      <c r="B166" s="24"/>
    </row>
    <row r="167">
      <c r="B167" s="24"/>
    </row>
    <row r="168">
      <c r="B168" s="24"/>
    </row>
    <row r="169">
      <c r="B169" s="24"/>
    </row>
    <row r="170">
      <c r="B170" s="24"/>
    </row>
    <row r="171">
      <c r="B171" s="24"/>
    </row>
    <row r="172">
      <c r="B172" s="24"/>
    </row>
    <row r="173">
      <c r="B173" s="24"/>
    </row>
    <row r="174">
      <c r="B174" s="24"/>
    </row>
    <row r="175">
      <c r="B175" s="24"/>
    </row>
    <row r="176">
      <c r="B176" s="24"/>
    </row>
    <row r="177">
      <c r="B177" s="24"/>
    </row>
    <row r="178">
      <c r="B178" s="24"/>
    </row>
    <row r="179">
      <c r="B179" s="24"/>
    </row>
    <row r="180">
      <c r="B180" s="24"/>
    </row>
    <row r="181">
      <c r="B181" s="24"/>
    </row>
    <row r="182">
      <c r="B182" s="24"/>
    </row>
    <row r="183">
      <c r="B183" s="24"/>
    </row>
    <row r="184">
      <c r="B184" s="24"/>
    </row>
    <row r="185">
      <c r="B185" s="24"/>
    </row>
    <row r="186">
      <c r="B186" s="24"/>
    </row>
    <row r="187">
      <c r="B187" s="24"/>
    </row>
    <row r="188">
      <c r="B188" s="24"/>
    </row>
    <row r="189">
      <c r="B189" s="24"/>
    </row>
    <row r="190">
      <c r="B190" s="24"/>
    </row>
    <row r="191">
      <c r="B191" s="24"/>
    </row>
    <row r="192">
      <c r="B192" s="24"/>
    </row>
    <row r="193">
      <c r="B193" s="24"/>
    </row>
    <row r="194">
      <c r="B194" s="24"/>
    </row>
    <row r="195">
      <c r="B195" s="24"/>
    </row>
    <row r="196">
      <c r="B196" s="24"/>
    </row>
    <row r="197">
      <c r="B197" s="24"/>
    </row>
    <row r="198">
      <c r="B198" s="24"/>
    </row>
    <row r="199">
      <c r="B199" s="24"/>
    </row>
    <row r="200">
      <c r="B200" s="24"/>
    </row>
    <row r="201">
      <c r="B201" s="24"/>
    </row>
    <row r="202">
      <c r="B202" s="24"/>
    </row>
    <row r="203">
      <c r="B203" s="24"/>
    </row>
    <row r="204">
      <c r="B204" s="24"/>
    </row>
    <row r="205">
      <c r="B205" s="24"/>
    </row>
    <row r="206">
      <c r="B206" s="24"/>
    </row>
    <row r="207">
      <c r="B207" s="24"/>
    </row>
    <row r="208">
      <c r="B208" s="24"/>
    </row>
    <row r="209">
      <c r="B209" s="24"/>
    </row>
    <row r="210">
      <c r="B210" s="24"/>
    </row>
    <row r="211">
      <c r="B211" s="24"/>
    </row>
    <row r="212">
      <c r="B212" s="24"/>
    </row>
    <row r="213">
      <c r="B213" s="24"/>
    </row>
    <row r="214">
      <c r="B214" s="24"/>
    </row>
    <row r="215">
      <c r="B215" s="24"/>
    </row>
    <row r="216">
      <c r="B216" s="24"/>
    </row>
    <row r="217">
      <c r="B217" s="24"/>
    </row>
    <row r="218">
      <c r="B218" s="24"/>
    </row>
    <row r="219">
      <c r="B219" s="24"/>
    </row>
    <row r="220">
      <c r="B220" s="24"/>
    </row>
    <row r="221">
      <c r="B221" s="24"/>
    </row>
    <row r="222">
      <c r="B222" s="24"/>
    </row>
    <row r="223">
      <c r="B223" s="24"/>
    </row>
    <row r="224">
      <c r="B224" s="24"/>
    </row>
    <row r="225">
      <c r="B225" s="24"/>
    </row>
    <row r="226">
      <c r="B226" s="24"/>
    </row>
    <row r="227">
      <c r="B227" s="24"/>
    </row>
    <row r="228">
      <c r="B228" s="24"/>
    </row>
    <row r="229">
      <c r="B229" s="24"/>
    </row>
    <row r="230">
      <c r="B230" s="24"/>
    </row>
    <row r="231">
      <c r="B231" s="24"/>
    </row>
    <row r="232">
      <c r="B232" s="24"/>
    </row>
    <row r="233">
      <c r="B233" s="24"/>
    </row>
    <row r="234">
      <c r="B234" s="24"/>
    </row>
    <row r="235">
      <c r="B235" s="24"/>
    </row>
    <row r="236">
      <c r="B236" s="24"/>
    </row>
    <row r="237">
      <c r="B237" s="24"/>
    </row>
    <row r="238">
      <c r="B238" s="24"/>
    </row>
    <row r="239">
      <c r="B239" s="24"/>
    </row>
    <row r="240">
      <c r="B240" s="24"/>
    </row>
    <row r="241">
      <c r="B241" s="24"/>
    </row>
    <row r="242">
      <c r="B242" s="24"/>
    </row>
    <row r="243">
      <c r="B243" s="24"/>
    </row>
    <row r="244">
      <c r="B244" s="24"/>
    </row>
    <row r="245">
      <c r="B245" s="24"/>
    </row>
    <row r="246">
      <c r="B246" s="24"/>
    </row>
    <row r="247">
      <c r="B247" s="24"/>
    </row>
    <row r="248">
      <c r="B248" s="24"/>
    </row>
    <row r="249">
      <c r="B249" s="24"/>
    </row>
    <row r="250">
      <c r="B250" s="24"/>
    </row>
    <row r="251">
      <c r="B251" s="24"/>
    </row>
    <row r="252">
      <c r="B252" s="24"/>
    </row>
    <row r="253">
      <c r="B253" s="24"/>
    </row>
    <row r="254">
      <c r="B254" s="24"/>
    </row>
    <row r="255">
      <c r="B255" s="24"/>
    </row>
    <row r="256">
      <c r="B256" s="24"/>
    </row>
    <row r="257">
      <c r="B257" s="24"/>
    </row>
    <row r="258">
      <c r="B258" s="24"/>
    </row>
    <row r="259">
      <c r="B259" s="24"/>
    </row>
    <row r="260">
      <c r="B260" s="24"/>
    </row>
    <row r="261">
      <c r="B261" s="24"/>
    </row>
    <row r="262">
      <c r="B262" s="24"/>
    </row>
    <row r="263">
      <c r="B263" s="24"/>
    </row>
    <row r="264">
      <c r="B264" s="24"/>
    </row>
    <row r="265">
      <c r="B265" s="24"/>
    </row>
    <row r="266">
      <c r="B266" s="24"/>
    </row>
    <row r="267">
      <c r="B267" s="24"/>
    </row>
    <row r="268">
      <c r="B268" s="24"/>
    </row>
    <row r="269">
      <c r="B269" s="24"/>
    </row>
    <row r="270">
      <c r="B270" s="24"/>
    </row>
    <row r="271">
      <c r="B271" s="24"/>
    </row>
    <row r="272">
      <c r="B272" s="24"/>
    </row>
    <row r="273">
      <c r="B273" s="24"/>
    </row>
    <row r="274">
      <c r="B274" s="24"/>
    </row>
    <row r="275">
      <c r="B275" s="24"/>
    </row>
    <row r="276">
      <c r="B276" s="24"/>
    </row>
    <row r="277">
      <c r="B277" s="24"/>
    </row>
    <row r="278">
      <c r="B278" s="24"/>
    </row>
    <row r="279">
      <c r="B279" s="24"/>
    </row>
    <row r="280">
      <c r="B280" s="24"/>
    </row>
    <row r="281">
      <c r="B281" s="24"/>
    </row>
    <row r="282">
      <c r="B282" s="24"/>
    </row>
    <row r="283">
      <c r="B283" s="24"/>
    </row>
    <row r="284">
      <c r="B284" s="24"/>
    </row>
    <row r="285">
      <c r="B285" s="24"/>
    </row>
    <row r="286">
      <c r="B286" s="24"/>
    </row>
    <row r="287">
      <c r="B287" s="24"/>
    </row>
    <row r="288">
      <c r="B288" s="24"/>
    </row>
    <row r="289">
      <c r="B289" s="24"/>
    </row>
    <row r="290">
      <c r="B290" s="24"/>
    </row>
    <row r="291">
      <c r="B291" s="24"/>
    </row>
    <row r="292">
      <c r="B292" s="24"/>
    </row>
    <row r="293">
      <c r="B293" s="24"/>
    </row>
    <row r="294">
      <c r="B294" s="24"/>
    </row>
    <row r="295">
      <c r="B295" s="24"/>
    </row>
    <row r="296">
      <c r="B296" s="24"/>
    </row>
    <row r="297">
      <c r="B297" s="24"/>
    </row>
    <row r="298">
      <c r="B298" s="24"/>
    </row>
    <row r="299">
      <c r="B299" s="24"/>
    </row>
    <row r="300">
      <c r="B300" s="24"/>
    </row>
    <row r="301">
      <c r="B301" s="24"/>
    </row>
    <row r="302">
      <c r="B302" s="24"/>
    </row>
    <row r="303">
      <c r="B303" s="24"/>
    </row>
    <row r="304">
      <c r="B304" s="24"/>
    </row>
    <row r="305">
      <c r="B305" s="24"/>
    </row>
    <row r="306">
      <c r="B306" s="24"/>
    </row>
    <row r="307">
      <c r="B307" s="24"/>
    </row>
    <row r="308">
      <c r="B308" s="24"/>
    </row>
    <row r="309">
      <c r="B309" s="24"/>
    </row>
    <row r="310">
      <c r="B310" s="24"/>
    </row>
    <row r="311">
      <c r="B311" s="24"/>
    </row>
    <row r="312">
      <c r="B312" s="24"/>
    </row>
    <row r="313">
      <c r="B313" s="24"/>
    </row>
    <row r="314">
      <c r="B314" s="24"/>
    </row>
    <row r="315">
      <c r="B315" s="24"/>
    </row>
    <row r="316">
      <c r="B316" s="24"/>
    </row>
    <row r="317">
      <c r="B317" s="24"/>
    </row>
    <row r="318">
      <c r="B318" s="24"/>
    </row>
    <row r="319">
      <c r="B319" s="24"/>
    </row>
    <row r="320">
      <c r="B320" s="24"/>
    </row>
    <row r="321">
      <c r="B321" s="24"/>
    </row>
    <row r="322">
      <c r="B322" s="24"/>
    </row>
    <row r="323">
      <c r="B323" s="24"/>
    </row>
    <row r="324">
      <c r="B324" s="24"/>
    </row>
    <row r="325">
      <c r="B325" s="24"/>
    </row>
    <row r="326">
      <c r="B326" s="24"/>
    </row>
    <row r="327">
      <c r="B327" s="24"/>
    </row>
    <row r="328">
      <c r="B328" s="24"/>
    </row>
    <row r="329">
      <c r="B329" s="24"/>
    </row>
    <row r="330">
      <c r="B330" s="24"/>
    </row>
    <row r="331">
      <c r="B331" s="24"/>
    </row>
    <row r="332">
      <c r="B332" s="24"/>
    </row>
    <row r="333">
      <c r="B333" s="24"/>
    </row>
    <row r="334">
      <c r="B334" s="24"/>
    </row>
    <row r="335">
      <c r="B335" s="24"/>
    </row>
    <row r="336">
      <c r="B336" s="24"/>
    </row>
    <row r="337">
      <c r="B337" s="24"/>
    </row>
    <row r="338">
      <c r="B338" s="24"/>
    </row>
    <row r="339">
      <c r="B339" s="24"/>
    </row>
    <row r="340">
      <c r="B340" s="24"/>
    </row>
    <row r="341">
      <c r="B341" s="24"/>
    </row>
    <row r="342">
      <c r="B342" s="24"/>
    </row>
    <row r="343">
      <c r="B343" s="24"/>
    </row>
    <row r="344">
      <c r="B344" s="24"/>
    </row>
    <row r="345">
      <c r="B345" s="24"/>
    </row>
    <row r="346">
      <c r="B346" s="24"/>
    </row>
    <row r="347">
      <c r="B347" s="24"/>
    </row>
    <row r="348">
      <c r="B348" s="24"/>
    </row>
    <row r="349">
      <c r="B349" s="24"/>
    </row>
    <row r="350">
      <c r="B350" s="24"/>
    </row>
    <row r="351">
      <c r="B351" s="24"/>
    </row>
    <row r="352">
      <c r="B352" s="24"/>
    </row>
    <row r="353">
      <c r="B353" s="24"/>
    </row>
    <row r="354">
      <c r="B354" s="24"/>
    </row>
    <row r="355">
      <c r="B355" s="24"/>
    </row>
    <row r="356">
      <c r="B356" s="24"/>
    </row>
    <row r="357">
      <c r="B357" s="24"/>
    </row>
    <row r="358">
      <c r="B358" s="24"/>
    </row>
    <row r="359">
      <c r="B359" s="24"/>
    </row>
    <row r="360">
      <c r="B360" s="24"/>
    </row>
    <row r="361">
      <c r="B361" s="24"/>
    </row>
    <row r="362">
      <c r="B362" s="24"/>
    </row>
    <row r="363">
      <c r="B363" s="24"/>
    </row>
    <row r="364">
      <c r="B364" s="24"/>
    </row>
    <row r="365">
      <c r="B365" s="24"/>
    </row>
    <row r="366">
      <c r="B366" s="24"/>
    </row>
    <row r="367">
      <c r="B367" s="24"/>
    </row>
    <row r="368">
      <c r="B368" s="24"/>
    </row>
    <row r="369">
      <c r="B369" s="24"/>
    </row>
    <row r="370">
      <c r="B370" s="24"/>
    </row>
    <row r="371">
      <c r="B371" s="24"/>
    </row>
    <row r="372">
      <c r="B372" s="24"/>
    </row>
    <row r="373">
      <c r="B373" s="24"/>
    </row>
    <row r="374">
      <c r="B374" s="24"/>
    </row>
    <row r="375">
      <c r="B375" s="24"/>
    </row>
    <row r="376">
      <c r="B376" s="24"/>
    </row>
    <row r="377">
      <c r="B377" s="24"/>
    </row>
    <row r="378">
      <c r="B378" s="24"/>
    </row>
    <row r="379">
      <c r="B379" s="24"/>
    </row>
    <row r="380">
      <c r="B380" s="24"/>
    </row>
    <row r="381">
      <c r="B381" s="24"/>
    </row>
    <row r="382">
      <c r="B382" s="24"/>
    </row>
    <row r="383">
      <c r="B383" s="24"/>
    </row>
    <row r="384">
      <c r="B384" s="24"/>
    </row>
    <row r="385">
      <c r="B385" s="24"/>
    </row>
    <row r="386">
      <c r="B386" s="24"/>
    </row>
    <row r="387">
      <c r="B387" s="24"/>
    </row>
    <row r="388">
      <c r="B388" s="24"/>
    </row>
    <row r="389">
      <c r="B389" s="24"/>
    </row>
    <row r="390">
      <c r="B390" s="24"/>
    </row>
    <row r="391">
      <c r="B391" s="24"/>
    </row>
    <row r="392">
      <c r="B392" s="24"/>
    </row>
    <row r="393">
      <c r="B393" s="24"/>
    </row>
    <row r="394">
      <c r="B394" s="24"/>
    </row>
    <row r="395">
      <c r="B395" s="24"/>
    </row>
    <row r="396">
      <c r="B396" s="24"/>
    </row>
    <row r="397">
      <c r="B397" s="24"/>
    </row>
    <row r="398">
      <c r="B398" s="24"/>
    </row>
    <row r="399">
      <c r="B399" s="24"/>
    </row>
    <row r="400">
      <c r="B400" s="24"/>
    </row>
    <row r="401">
      <c r="B401" s="24"/>
    </row>
    <row r="402">
      <c r="B402" s="24"/>
    </row>
    <row r="403">
      <c r="B403" s="24"/>
    </row>
    <row r="404">
      <c r="B404" s="24"/>
    </row>
    <row r="405">
      <c r="B405" s="24"/>
    </row>
    <row r="406">
      <c r="B406" s="24"/>
    </row>
    <row r="407">
      <c r="B407" s="24"/>
    </row>
    <row r="408">
      <c r="B408" s="24"/>
    </row>
    <row r="409">
      <c r="B409" s="24"/>
    </row>
    <row r="410">
      <c r="B410" s="24"/>
    </row>
    <row r="411">
      <c r="B411" s="24"/>
    </row>
    <row r="412">
      <c r="B412" s="24"/>
    </row>
    <row r="413">
      <c r="B413" s="24"/>
    </row>
    <row r="414">
      <c r="B414" s="24"/>
    </row>
    <row r="415">
      <c r="B415" s="24"/>
    </row>
    <row r="416">
      <c r="B416" s="24"/>
    </row>
    <row r="417">
      <c r="B417" s="24"/>
    </row>
    <row r="418">
      <c r="B418" s="24"/>
    </row>
    <row r="419">
      <c r="B419" s="24"/>
    </row>
    <row r="420">
      <c r="B420" s="24"/>
    </row>
    <row r="421">
      <c r="B421" s="24"/>
    </row>
    <row r="422">
      <c r="B422" s="24"/>
    </row>
    <row r="423">
      <c r="B423" s="24"/>
    </row>
    <row r="424">
      <c r="B424" s="24"/>
    </row>
    <row r="425">
      <c r="B425" s="24"/>
    </row>
    <row r="426">
      <c r="B426" s="24"/>
    </row>
    <row r="427">
      <c r="B427" s="24"/>
    </row>
    <row r="428">
      <c r="B428" s="24"/>
    </row>
    <row r="429">
      <c r="B429" s="24"/>
    </row>
    <row r="430">
      <c r="B430" s="24"/>
    </row>
    <row r="431">
      <c r="B431" s="24"/>
    </row>
    <row r="432">
      <c r="B432" s="24"/>
    </row>
    <row r="433">
      <c r="B433" s="24"/>
    </row>
    <row r="434">
      <c r="B434" s="24"/>
    </row>
    <row r="435">
      <c r="B435" s="24"/>
    </row>
    <row r="436">
      <c r="B436" s="24"/>
    </row>
    <row r="437">
      <c r="B437" s="24"/>
    </row>
    <row r="438">
      <c r="B438" s="24"/>
    </row>
    <row r="439">
      <c r="B439" s="24"/>
    </row>
    <row r="440">
      <c r="B440" s="24"/>
    </row>
    <row r="441">
      <c r="B441" s="24"/>
    </row>
    <row r="442">
      <c r="B442" s="24"/>
    </row>
    <row r="443">
      <c r="B443" s="24"/>
    </row>
    <row r="444">
      <c r="B444" s="24"/>
    </row>
    <row r="445">
      <c r="B445" s="24"/>
    </row>
    <row r="446">
      <c r="B446" s="24"/>
    </row>
    <row r="447">
      <c r="B447" s="24"/>
    </row>
    <row r="448">
      <c r="B448" s="24"/>
    </row>
    <row r="449">
      <c r="B449" s="24"/>
    </row>
    <row r="450">
      <c r="B450" s="24"/>
    </row>
    <row r="451">
      <c r="B451" s="24"/>
    </row>
    <row r="452">
      <c r="B452" s="24"/>
    </row>
    <row r="453">
      <c r="B453" s="24"/>
    </row>
    <row r="454">
      <c r="B454" s="24"/>
    </row>
    <row r="455">
      <c r="B455" s="24"/>
    </row>
    <row r="456">
      <c r="B456" s="24"/>
    </row>
    <row r="457">
      <c r="B457" s="24"/>
    </row>
    <row r="458">
      <c r="B458" s="24"/>
    </row>
    <row r="459">
      <c r="B459" s="24"/>
    </row>
    <row r="460">
      <c r="B460" s="24"/>
    </row>
    <row r="461">
      <c r="B461" s="24"/>
    </row>
    <row r="462">
      <c r="B462" s="24"/>
    </row>
    <row r="463">
      <c r="B463" s="24"/>
    </row>
    <row r="464">
      <c r="B464" s="24"/>
    </row>
    <row r="465">
      <c r="B465" s="24"/>
    </row>
    <row r="466">
      <c r="B466" s="24"/>
    </row>
    <row r="467">
      <c r="B467" s="24"/>
    </row>
    <row r="468">
      <c r="B468" s="24"/>
    </row>
    <row r="469">
      <c r="B469" s="24"/>
    </row>
    <row r="470">
      <c r="B470" s="24"/>
    </row>
    <row r="471">
      <c r="B471" s="24"/>
    </row>
    <row r="472">
      <c r="B472" s="24"/>
    </row>
    <row r="473">
      <c r="B473" s="24"/>
    </row>
    <row r="474">
      <c r="B474" s="24"/>
    </row>
    <row r="475">
      <c r="B475" s="24"/>
    </row>
    <row r="476">
      <c r="B476" s="24"/>
    </row>
    <row r="477">
      <c r="B477" s="24"/>
    </row>
    <row r="478">
      <c r="B478" s="24"/>
    </row>
    <row r="479">
      <c r="B479" s="24"/>
    </row>
    <row r="480">
      <c r="B480" s="24"/>
    </row>
    <row r="481">
      <c r="B481" s="24"/>
    </row>
    <row r="482">
      <c r="B482" s="24"/>
    </row>
    <row r="483">
      <c r="B483" s="24"/>
    </row>
    <row r="484">
      <c r="B484" s="24"/>
    </row>
    <row r="485">
      <c r="B485" s="24"/>
    </row>
    <row r="486">
      <c r="B486" s="24"/>
    </row>
    <row r="487">
      <c r="B487" s="24"/>
    </row>
    <row r="488">
      <c r="B488" s="24"/>
    </row>
    <row r="489">
      <c r="B489" s="24"/>
    </row>
    <row r="490">
      <c r="B490" s="24"/>
    </row>
    <row r="491">
      <c r="B491" s="24"/>
    </row>
    <row r="492">
      <c r="B492" s="24"/>
    </row>
    <row r="493">
      <c r="B493" s="24"/>
    </row>
    <row r="494">
      <c r="B494" s="24"/>
    </row>
    <row r="495">
      <c r="B495" s="24"/>
    </row>
    <row r="496">
      <c r="B496" s="24"/>
    </row>
    <row r="497">
      <c r="B497" s="24"/>
    </row>
    <row r="498">
      <c r="B498" s="24"/>
    </row>
    <row r="499">
      <c r="B499" s="24"/>
    </row>
    <row r="500">
      <c r="B500" s="24"/>
    </row>
    <row r="501">
      <c r="B501" s="24"/>
    </row>
    <row r="502">
      <c r="B502" s="24"/>
    </row>
    <row r="503">
      <c r="B503" s="24"/>
    </row>
    <row r="504">
      <c r="B504" s="24"/>
    </row>
    <row r="505">
      <c r="B505" s="24"/>
    </row>
    <row r="506">
      <c r="B506" s="24"/>
    </row>
    <row r="507">
      <c r="B507" s="24"/>
    </row>
    <row r="508">
      <c r="B508" s="24"/>
    </row>
    <row r="509">
      <c r="B509" s="24"/>
    </row>
    <row r="510">
      <c r="B510" s="24"/>
    </row>
    <row r="511">
      <c r="B511" s="24"/>
    </row>
    <row r="512">
      <c r="B512" s="24"/>
    </row>
    <row r="513">
      <c r="B513" s="24"/>
    </row>
    <row r="514">
      <c r="B514" s="24"/>
    </row>
    <row r="515">
      <c r="B515" s="24"/>
    </row>
    <row r="516">
      <c r="B516" s="24"/>
    </row>
    <row r="517">
      <c r="B517" s="24"/>
    </row>
    <row r="518">
      <c r="B518" s="24"/>
    </row>
    <row r="519">
      <c r="B519" s="24"/>
    </row>
    <row r="520">
      <c r="B520" s="24"/>
    </row>
    <row r="521">
      <c r="B521" s="24"/>
    </row>
    <row r="522">
      <c r="B522" s="24"/>
    </row>
    <row r="523">
      <c r="B523" s="24"/>
    </row>
    <row r="524">
      <c r="B524" s="24"/>
    </row>
    <row r="525">
      <c r="B525" s="24"/>
    </row>
    <row r="526">
      <c r="B526" s="24"/>
    </row>
    <row r="527">
      <c r="B527" s="24"/>
    </row>
    <row r="528">
      <c r="B528" s="24"/>
    </row>
    <row r="529">
      <c r="B529" s="24"/>
    </row>
    <row r="530">
      <c r="B530" s="24"/>
    </row>
    <row r="531">
      <c r="B531" s="24"/>
    </row>
    <row r="532">
      <c r="B532" s="24"/>
    </row>
    <row r="533">
      <c r="B533" s="24"/>
    </row>
    <row r="534">
      <c r="B534" s="24"/>
    </row>
    <row r="535">
      <c r="B535" s="24"/>
    </row>
    <row r="536">
      <c r="B536" s="24"/>
    </row>
    <row r="537">
      <c r="B537" s="24"/>
    </row>
    <row r="538">
      <c r="B538" s="24"/>
    </row>
    <row r="539">
      <c r="B539" s="24"/>
    </row>
    <row r="540">
      <c r="B540" s="24"/>
    </row>
    <row r="541">
      <c r="B541" s="24"/>
    </row>
    <row r="542">
      <c r="B542" s="24"/>
    </row>
    <row r="543">
      <c r="B543" s="24"/>
    </row>
    <row r="544">
      <c r="B544" s="24"/>
    </row>
    <row r="545">
      <c r="B545" s="24"/>
    </row>
    <row r="546">
      <c r="B546" s="24"/>
    </row>
    <row r="547">
      <c r="B547" s="24"/>
    </row>
    <row r="548">
      <c r="B548" s="24"/>
    </row>
    <row r="549">
      <c r="B549" s="24"/>
    </row>
    <row r="550">
      <c r="B550" s="24"/>
    </row>
    <row r="551">
      <c r="B551" s="24"/>
    </row>
    <row r="552">
      <c r="B552" s="24"/>
    </row>
    <row r="553">
      <c r="B553" s="24"/>
    </row>
    <row r="554">
      <c r="B554" s="24"/>
    </row>
    <row r="555">
      <c r="B555" s="24"/>
    </row>
    <row r="556">
      <c r="B556" s="24"/>
    </row>
    <row r="557">
      <c r="B557" s="24"/>
    </row>
    <row r="558">
      <c r="B558" s="24"/>
    </row>
    <row r="559">
      <c r="B559" s="24"/>
    </row>
    <row r="560">
      <c r="B560" s="24"/>
    </row>
    <row r="561">
      <c r="B561" s="24"/>
    </row>
    <row r="562">
      <c r="B562" s="24"/>
    </row>
    <row r="563">
      <c r="B563" s="24"/>
    </row>
    <row r="564">
      <c r="B564" s="24"/>
    </row>
    <row r="565">
      <c r="B565" s="24"/>
    </row>
    <row r="566">
      <c r="B566" s="24"/>
    </row>
    <row r="567">
      <c r="B567" s="24"/>
    </row>
    <row r="568">
      <c r="B568" s="24"/>
    </row>
    <row r="569">
      <c r="B569" s="24"/>
    </row>
    <row r="570">
      <c r="B570" s="24"/>
    </row>
    <row r="571">
      <c r="B571" s="24"/>
    </row>
    <row r="572">
      <c r="B572" s="24"/>
    </row>
    <row r="573">
      <c r="B573" s="24"/>
    </row>
    <row r="574">
      <c r="B574" s="24"/>
    </row>
    <row r="575">
      <c r="B575" s="24"/>
    </row>
    <row r="576">
      <c r="B576" s="24"/>
    </row>
    <row r="577">
      <c r="B577" s="24"/>
    </row>
    <row r="578">
      <c r="B578" s="24"/>
    </row>
    <row r="579">
      <c r="B579" s="24"/>
    </row>
    <row r="580">
      <c r="B580" s="24"/>
    </row>
    <row r="581">
      <c r="B581" s="24"/>
    </row>
    <row r="582">
      <c r="B582" s="24"/>
    </row>
    <row r="583">
      <c r="B583" s="24"/>
    </row>
    <row r="584">
      <c r="B584" s="24"/>
    </row>
    <row r="585">
      <c r="B585" s="24"/>
    </row>
    <row r="586">
      <c r="B586" s="24"/>
    </row>
    <row r="587">
      <c r="B587" s="24"/>
    </row>
    <row r="588">
      <c r="B588" s="24"/>
    </row>
    <row r="589">
      <c r="B589" s="24"/>
    </row>
    <row r="590">
      <c r="B590" s="24"/>
    </row>
    <row r="591">
      <c r="B591" s="24"/>
    </row>
    <row r="592">
      <c r="B592" s="24"/>
    </row>
    <row r="593">
      <c r="B593" s="24"/>
    </row>
    <row r="594">
      <c r="B594" s="24"/>
    </row>
    <row r="595">
      <c r="B595" s="24"/>
    </row>
    <row r="596">
      <c r="B596" s="24"/>
    </row>
    <row r="597">
      <c r="B597" s="24"/>
    </row>
    <row r="598">
      <c r="B598" s="24"/>
    </row>
    <row r="599">
      <c r="B599" s="24"/>
    </row>
    <row r="600">
      <c r="B600" s="24"/>
    </row>
    <row r="601">
      <c r="B601" s="24"/>
    </row>
    <row r="602">
      <c r="B602" s="24"/>
    </row>
    <row r="603">
      <c r="B603" s="24"/>
    </row>
    <row r="604">
      <c r="B604" s="24"/>
    </row>
    <row r="605">
      <c r="B605" s="24"/>
    </row>
    <row r="606">
      <c r="B606" s="24"/>
    </row>
    <row r="607">
      <c r="B607" s="24"/>
    </row>
    <row r="608">
      <c r="B608" s="24"/>
    </row>
    <row r="609">
      <c r="B609" s="24"/>
    </row>
    <row r="610">
      <c r="B610" s="24"/>
    </row>
    <row r="611">
      <c r="B611" s="24"/>
    </row>
    <row r="612">
      <c r="B612" s="24"/>
    </row>
    <row r="613">
      <c r="B613" s="24"/>
    </row>
    <row r="614">
      <c r="B614" s="24"/>
    </row>
    <row r="615">
      <c r="B615" s="24"/>
    </row>
    <row r="616">
      <c r="B616" s="24"/>
    </row>
    <row r="617">
      <c r="B617" s="24"/>
    </row>
    <row r="618">
      <c r="B618" s="24"/>
    </row>
    <row r="619">
      <c r="B619" s="24"/>
    </row>
    <row r="620">
      <c r="B620" s="24"/>
    </row>
    <row r="621">
      <c r="B621" s="24"/>
    </row>
    <row r="622">
      <c r="B622" s="24"/>
    </row>
    <row r="623">
      <c r="B623" s="24"/>
    </row>
    <row r="624">
      <c r="B624" s="24"/>
    </row>
    <row r="625">
      <c r="B625" s="24"/>
    </row>
    <row r="626">
      <c r="B626" s="24"/>
    </row>
    <row r="627">
      <c r="B627" s="24"/>
    </row>
    <row r="628">
      <c r="B628" s="24"/>
    </row>
    <row r="629">
      <c r="B629" s="24"/>
    </row>
    <row r="630">
      <c r="B630" s="24"/>
    </row>
    <row r="631">
      <c r="B631" s="24"/>
    </row>
    <row r="632">
      <c r="B632" s="24"/>
    </row>
    <row r="633">
      <c r="B633" s="24"/>
    </row>
    <row r="634">
      <c r="B634" s="24"/>
    </row>
    <row r="635">
      <c r="B635" s="24"/>
    </row>
    <row r="636">
      <c r="B636" s="24"/>
    </row>
    <row r="637">
      <c r="B637" s="24"/>
    </row>
    <row r="638">
      <c r="B638" s="24"/>
    </row>
    <row r="639">
      <c r="B639" s="24"/>
    </row>
    <row r="640">
      <c r="B640" s="24"/>
    </row>
    <row r="641">
      <c r="B641" s="24"/>
    </row>
    <row r="642">
      <c r="B642" s="24"/>
    </row>
    <row r="643">
      <c r="B643" s="24"/>
    </row>
    <row r="644">
      <c r="B644" s="24"/>
    </row>
    <row r="645">
      <c r="B645" s="24"/>
    </row>
    <row r="646">
      <c r="B646" s="24"/>
    </row>
    <row r="647">
      <c r="B647" s="24"/>
    </row>
    <row r="648">
      <c r="B648" s="24"/>
    </row>
    <row r="649">
      <c r="B649" s="24"/>
    </row>
    <row r="650">
      <c r="B650" s="24"/>
    </row>
    <row r="651">
      <c r="B651" s="24"/>
    </row>
    <row r="652">
      <c r="B652" s="24"/>
    </row>
    <row r="653">
      <c r="B653" s="24"/>
    </row>
    <row r="654">
      <c r="B654" s="24"/>
    </row>
    <row r="655">
      <c r="B655" s="24"/>
    </row>
    <row r="656">
      <c r="B656" s="24"/>
    </row>
    <row r="657">
      <c r="B657" s="24"/>
    </row>
    <row r="658">
      <c r="B658" s="24"/>
    </row>
    <row r="659">
      <c r="B659" s="24"/>
    </row>
    <row r="660">
      <c r="B660" s="24"/>
    </row>
    <row r="661">
      <c r="B661" s="24"/>
    </row>
    <row r="662">
      <c r="B662" s="24"/>
    </row>
    <row r="663">
      <c r="B663" s="24"/>
    </row>
    <row r="664">
      <c r="B664" s="24"/>
    </row>
    <row r="665">
      <c r="B665" s="24"/>
    </row>
    <row r="666">
      <c r="B666" s="24"/>
    </row>
    <row r="667">
      <c r="B667" s="24"/>
    </row>
    <row r="668">
      <c r="B668" s="24"/>
    </row>
    <row r="669">
      <c r="B669" s="24"/>
    </row>
    <row r="670">
      <c r="B670" s="24"/>
    </row>
    <row r="671">
      <c r="B671" s="24"/>
    </row>
    <row r="672">
      <c r="B672" s="24"/>
    </row>
    <row r="673">
      <c r="B673" s="24"/>
    </row>
    <row r="674">
      <c r="B674" s="24"/>
    </row>
    <row r="675">
      <c r="B675" s="24"/>
    </row>
    <row r="676">
      <c r="B676" s="24"/>
    </row>
    <row r="677">
      <c r="B677" s="24"/>
    </row>
    <row r="678">
      <c r="B678" s="24"/>
    </row>
    <row r="679">
      <c r="B679" s="24"/>
    </row>
    <row r="680">
      <c r="B680" s="24"/>
    </row>
    <row r="681">
      <c r="B681" s="24"/>
    </row>
    <row r="682">
      <c r="B682" s="24"/>
    </row>
    <row r="683">
      <c r="B683" s="24"/>
    </row>
    <row r="684">
      <c r="B684" s="24"/>
    </row>
    <row r="685">
      <c r="B685" s="24"/>
    </row>
    <row r="686">
      <c r="B686" s="24"/>
    </row>
    <row r="687">
      <c r="B687" s="24"/>
    </row>
    <row r="688">
      <c r="B688" s="24"/>
    </row>
    <row r="689">
      <c r="B689" s="24"/>
    </row>
    <row r="690">
      <c r="B690" s="24"/>
    </row>
    <row r="691">
      <c r="B691" s="24"/>
    </row>
    <row r="692">
      <c r="B692" s="24"/>
    </row>
    <row r="693">
      <c r="B693" s="24"/>
    </row>
    <row r="694">
      <c r="B694" s="24"/>
    </row>
    <row r="695">
      <c r="B695" s="24"/>
    </row>
    <row r="696">
      <c r="B696" s="24"/>
    </row>
    <row r="697">
      <c r="B697" s="24"/>
    </row>
    <row r="698">
      <c r="B698" s="24"/>
    </row>
    <row r="699">
      <c r="B699" s="24"/>
    </row>
    <row r="700">
      <c r="B700" s="24"/>
    </row>
    <row r="701">
      <c r="B701" s="24"/>
    </row>
    <row r="702">
      <c r="B702" s="24"/>
    </row>
    <row r="703">
      <c r="B703" s="24"/>
    </row>
    <row r="704">
      <c r="B704" s="24"/>
    </row>
    <row r="705">
      <c r="B705" s="24"/>
    </row>
    <row r="706">
      <c r="B706" s="24"/>
    </row>
    <row r="707">
      <c r="B707" s="24"/>
    </row>
    <row r="708">
      <c r="B708" s="24"/>
    </row>
    <row r="709">
      <c r="B709" s="24"/>
    </row>
    <row r="710">
      <c r="B710" s="24"/>
    </row>
    <row r="711">
      <c r="B711" s="24"/>
    </row>
    <row r="712">
      <c r="B712" s="24"/>
    </row>
    <row r="713">
      <c r="B713" s="24"/>
    </row>
    <row r="714">
      <c r="B714" s="24"/>
    </row>
    <row r="715">
      <c r="B715" s="24"/>
    </row>
    <row r="716">
      <c r="B716" s="24"/>
    </row>
    <row r="717">
      <c r="B717" s="24"/>
    </row>
    <row r="718">
      <c r="B718" s="24"/>
    </row>
    <row r="719">
      <c r="B719" s="24"/>
    </row>
    <row r="720">
      <c r="B720" s="24"/>
    </row>
    <row r="721">
      <c r="B721" s="24"/>
    </row>
    <row r="722">
      <c r="B722" s="24"/>
    </row>
    <row r="723">
      <c r="B723" s="24"/>
    </row>
    <row r="724">
      <c r="B724" s="24"/>
    </row>
    <row r="725">
      <c r="B725" s="24"/>
    </row>
    <row r="726">
      <c r="B726" s="24"/>
    </row>
    <row r="727">
      <c r="B727" s="24"/>
    </row>
    <row r="728">
      <c r="B728" s="24"/>
    </row>
    <row r="729">
      <c r="B729" s="24"/>
    </row>
    <row r="730">
      <c r="B730" s="24"/>
    </row>
    <row r="731">
      <c r="B731" s="24"/>
    </row>
    <row r="732">
      <c r="B732" s="24"/>
    </row>
    <row r="733">
      <c r="B733" s="24"/>
    </row>
    <row r="734">
      <c r="B734" s="24"/>
    </row>
    <row r="735">
      <c r="B735" s="24"/>
    </row>
    <row r="736">
      <c r="B736" s="24"/>
    </row>
    <row r="737">
      <c r="B737" s="24"/>
    </row>
    <row r="738">
      <c r="B738" s="24"/>
    </row>
    <row r="739">
      <c r="B739" s="24"/>
    </row>
    <row r="740">
      <c r="B740" s="24"/>
    </row>
    <row r="741">
      <c r="B741" s="24"/>
    </row>
    <row r="742">
      <c r="B742" s="24"/>
    </row>
    <row r="743">
      <c r="B743" s="24"/>
    </row>
    <row r="744">
      <c r="B744" s="24"/>
    </row>
    <row r="745">
      <c r="B745" s="24"/>
    </row>
    <row r="746">
      <c r="B746" s="24"/>
    </row>
    <row r="747">
      <c r="B747" s="24"/>
    </row>
    <row r="748">
      <c r="B748" s="24"/>
    </row>
    <row r="749">
      <c r="B749" s="24"/>
    </row>
    <row r="750">
      <c r="B750" s="24"/>
    </row>
    <row r="751">
      <c r="B751" s="24"/>
    </row>
    <row r="752">
      <c r="B752" s="24"/>
    </row>
    <row r="753">
      <c r="B753" s="24"/>
    </row>
    <row r="754">
      <c r="B754" s="24"/>
    </row>
    <row r="755">
      <c r="B755" s="24"/>
    </row>
    <row r="756">
      <c r="B756" s="24"/>
    </row>
    <row r="757">
      <c r="B757" s="24"/>
    </row>
    <row r="758">
      <c r="B758" s="24"/>
    </row>
    <row r="759">
      <c r="B759" s="24"/>
    </row>
    <row r="760">
      <c r="B760" s="24"/>
    </row>
    <row r="761">
      <c r="B761" s="24"/>
    </row>
    <row r="762">
      <c r="B762" s="24"/>
    </row>
    <row r="763">
      <c r="B763" s="24"/>
    </row>
    <row r="764">
      <c r="B764" s="24"/>
    </row>
    <row r="765">
      <c r="B765" s="24"/>
    </row>
    <row r="766">
      <c r="B766" s="24"/>
    </row>
    <row r="767">
      <c r="B767" s="24"/>
    </row>
    <row r="768">
      <c r="B768" s="24"/>
    </row>
    <row r="769">
      <c r="B769" s="24"/>
    </row>
    <row r="770">
      <c r="B770" s="24"/>
    </row>
    <row r="771">
      <c r="B771" s="24"/>
    </row>
    <row r="772">
      <c r="B772" s="24"/>
    </row>
    <row r="773">
      <c r="B773" s="24"/>
    </row>
    <row r="774">
      <c r="B774" s="24"/>
    </row>
    <row r="775">
      <c r="B775" s="24"/>
    </row>
    <row r="776">
      <c r="B776" s="24"/>
    </row>
    <row r="777">
      <c r="B777" s="24"/>
    </row>
    <row r="778">
      <c r="B778" s="24"/>
    </row>
    <row r="779">
      <c r="B779" s="24"/>
    </row>
    <row r="780">
      <c r="B780" s="24"/>
    </row>
    <row r="781">
      <c r="B781" s="24"/>
    </row>
    <row r="782">
      <c r="B782" s="24"/>
    </row>
    <row r="783">
      <c r="B783" s="24"/>
    </row>
    <row r="784">
      <c r="B784" s="24"/>
    </row>
    <row r="785">
      <c r="B785" s="24"/>
    </row>
    <row r="786">
      <c r="B786" s="24"/>
    </row>
    <row r="787">
      <c r="B787" s="24"/>
    </row>
    <row r="788">
      <c r="B788" s="24"/>
    </row>
    <row r="789">
      <c r="B789" s="24"/>
    </row>
    <row r="790">
      <c r="B790" s="24"/>
    </row>
    <row r="791">
      <c r="B791" s="24"/>
    </row>
    <row r="792">
      <c r="B792" s="24"/>
    </row>
    <row r="793">
      <c r="B793" s="24"/>
    </row>
    <row r="794">
      <c r="B794" s="24"/>
    </row>
    <row r="795">
      <c r="B795" s="24"/>
    </row>
    <row r="796">
      <c r="B796" s="24"/>
    </row>
    <row r="797">
      <c r="B797" s="24"/>
    </row>
    <row r="798">
      <c r="B798" s="24"/>
    </row>
    <row r="799">
      <c r="B799" s="24"/>
    </row>
    <row r="800">
      <c r="B800" s="24"/>
    </row>
    <row r="801">
      <c r="B801" s="24"/>
    </row>
    <row r="802">
      <c r="B802" s="24"/>
    </row>
    <row r="803">
      <c r="B803" s="24"/>
    </row>
    <row r="804">
      <c r="B804" s="24"/>
    </row>
    <row r="805">
      <c r="B805" s="24"/>
    </row>
    <row r="806">
      <c r="B806" s="24"/>
    </row>
    <row r="807">
      <c r="B807" s="24"/>
    </row>
    <row r="808">
      <c r="B808" s="24"/>
    </row>
    <row r="809">
      <c r="B809" s="24"/>
    </row>
    <row r="810">
      <c r="B810" s="24"/>
    </row>
    <row r="811">
      <c r="B811" s="24"/>
    </row>
    <row r="812">
      <c r="B812" s="24"/>
    </row>
    <row r="813">
      <c r="B813" s="24"/>
    </row>
    <row r="814">
      <c r="B814" s="24"/>
    </row>
    <row r="815">
      <c r="B815" s="24"/>
    </row>
    <row r="816">
      <c r="B816" s="24"/>
    </row>
    <row r="817">
      <c r="B817" s="24"/>
    </row>
    <row r="818">
      <c r="B818" s="24"/>
    </row>
    <row r="819">
      <c r="B819" s="24"/>
    </row>
    <row r="820">
      <c r="B820" s="24"/>
    </row>
    <row r="821">
      <c r="B821" s="24"/>
    </row>
    <row r="822">
      <c r="B822" s="24"/>
    </row>
    <row r="823">
      <c r="B823" s="24"/>
    </row>
    <row r="824">
      <c r="B824" s="24"/>
    </row>
    <row r="825">
      <c r="B825" s="24"/>
    </row>
    <row r="826">
      <c r="B826" s="24"/>
    </row>
    <row r="827">
      <c r="B827" s="24"/>
    </row>
    <row r="828">
      <c r="B828" s="24"/>
    </row>
    <row r="829">
      <c r="B829" s="24"/>
    </row>
    <row r="830">
      <c r="B830" s="24"/>
    </row>
    <row r="831">
      <c r="B831" s="24"/>
    </row>
    <row r="832">
      <c r="B832" s="24"/>
    </row>
    <row r="833">
      <c r="B833" s="24"/>
    </row>
    <row r="834">
      <c r="B834" s="24"/>
    </row>
    <row r="835">
      <c r="B835" s="24"/>
    </row>
    <row r="836">
      <c r="B836" s="24"/>
    </row>
    <row r="837">
      <c r="B837" s="24"/>
    </row>
    <row r="838">
      <c r="B838" s="24"/>
    </row>
    <row r="839">
      <c r="B839" s="24"/>
    </row>
    <row r="840">
      <c r="B840" s="24"/>
    </row>
    <row r="841">
      <c r="B841" s="24"/>
    </row>
    <row r="842">
      <c r="B842" s="24"/>
    </row>
    <row r="843">
      <c r="B843" s="24"/>
    </row>
    <row r="844">
      <c r="B844" s="24"/>
    </row>
    <row r="845">
      <c r="B845" s="24"/>
    </row>
    <row r="846">
      <c r="B846" s="24"/>
    </row>
    <row r="847">
      <c r="B847" s="24"/>
    </row>
    <row r="848">
      <c r="B848" s="24"/>
    </row>
    <row r="849">
      <c r="B849" s="24"/>
    </row>
    <row r="850">
      <c r="B850" s="24"/>
    </row>
    <row r="851">
      <c r="B851" s="24"/>
    </row>
    <row r="852">
      <c r="B852" s="24"/>
    </row>
    <row r="853">
      <c r="B853" s="24"/>
    </row>
    <row r="854">
      <c r="B854" s="24"/>
    </row>
    <row r="855">
      <c r="B855" s="24"/>
    </row>
    <row r="856">
      <c r="B856" s="24"/>
    </row>
    <row r="857">
      <c r="B857" s="24"/>
    </row>
    <row r="858">
      <c r="B858" s="24"/>
    </row>
    <row r="859">
      <c r="B859" s="24"/>
    </row>
    <row r="860">
      <c r="B860" s="24"/>
    </row>
    <row r="861">
      <c r="B861" s="24"/>
    </row>
    <row r="862">
      <c r="B862" s="24"/>
    </row>
    <row r="863">
      <c r="B863" s="24"/>
    </row>
    <row r="864">
      <c r="B864" s="24"/>
    </row>
    <row r="865">
      <c r="B865" s="24"/>
    </row>
    <row r="866">
      <c r="B866" s="24"/>
    </row>
    <row r="867">
      <c r="B867" s="24"/>
    </row>
    <row r="868">
      <c r="B868" s="24"/>
    </row>
    <row r="869">
      <c r="B869" s="24"/>
    </row>
    <row r="870">
      <c r="B870" s="24"/>
    </row>
    <row r="871">
      <c r="B871" s="24"/>
    </row>
    <row r="872">
      <c r="B872" s="24"/>
    </row>
    <row r="873">
      <c r="B873" s="24"/>
    </row>
    <row r="874">
      <c r="B874" s="24"/>
    </row>
    <row r="875">
      <c r="B875" s="24"/>
    </row>
    <row r="876">
      <c r="B876" s="24"/>
    </row>
    <row r="877">
      <c r="B877" s="24"/>
    </row>
    <row r="878">
      <c r="B878" s="24"/>
    </row>
    <row r="879">
      <c r="B879" s="24"/>
    </row>
    <row r="880">
      <c r="B880" s="24"/>
    </row>
    <row r="881">
      <c r="B881" s="24"/>
    </row>
    <row r="882">
      <c r="B882" s="24"/>
    </row>
    <row r="883">
      <c r="B883" s="24"/>
    </row>
    <row r="884">
      <c r="B884" s="24"/>
    </row>
    <row r="885">
      <c r="B885" s="24"/>
    </row>
    <row r="886">
      <c r="B886" s="24"/>
    </row>
    <row r="887">
      <c r="B887" s="24"/>
    </row>
    <row r="888">
      <c r="B888" s="24"/>
    </row>
    <row r="889">
      <c r="B889" s="24"/>
    </row>
    <row r="890">
      <c r="B890" s="24"/>
    </row>
    <row r="891">
      <c r="B891" s="24"/>
    </row>
    <row r="892">
      <c r="B892" s="24"/>
    </row>
    <row r="893">
      <c r="B893" s="24"/>
    </row>
    <row r="894">
      <c r="B894" s="24"/>
    </row>
    <row r="895">
      <c r="B895" s="24"/>
    </row>
    <row r="896">
      <c r="B896" s="24"/>
    </row>
    <row r="897">
      <c r="B897" s="24"/>
    </row>
    <row r="898">
      <c r="B898" s="24"/>
    </row>
    <row r="899">
      <c r="B899" s="24"/>
    </row>
    <row r="900">
      <c r="B900" s="24"/>
    </row>
    <row r="901">
      <c r="B901" s="24"/>
    </row>
    <row r="902">
      <c r="B902" s="24"/>
    </row>
    <row r="903">
      <c r="B903" s="24"/>
    </row>
    <row r="904">
      <c r="B904" s="24"/>
    </row>
    <row r="905">
      <c r="B905" s="24"/>
    </row>
    <row r="906">
      <c r="B906" s="24"/>
    </row>
    <row r="907">
      <c r="B907" s="24"/>
    </row>
    <row r="908">
      <c r="B908" s="24"/>
    </row>
    <row r="909">
      <c r="B909" s="24"/>
    </row>
    <row r="910">
      <c r="B910" s="24"/>
    </row>
    <row r="911">
      <c r="B911" s="24"/>
    </row>
    <row r="912">
      <c r="B912" s="24"/>
    </row>
    <row r="913">
      <c r="B913" s="24"/>
    </row>
    <row r="914">
      <c r="B914" s="24"/>
    </row>
    <row r="915">
      <c r="B915" s="24"/>
    </row>
    <row r="916">
      <c r="B916" s="24"/>
    </row>
    <row r="917">
      <c r="B917" s="24"/>
    </row>
    <row r="918">
      <c r="B918" s="24"/>
    </row>
    <row r="919">
      <c r="B919" s="24"/>
    </row>
    <row r="920">
      <c r="B920" s="24"/>
    </row>
    <row r="921">
      <c r="B921" s="24"/>
    </row>
    <row r="922">
      <c r="B922" s="24"/>
    </row>
    <row r="923">
      <c r="B923" s="24"/>
    </row>
    <row r="924">
      <c r="B924" s="24"/>
    </row>
    <row r="925">
      <c r="B925" s="24"/>
    </row>
    <row r="926">
      <c r="B926" s="24"/>
    </row>
    <row r="927">
      <c r="B927" s="24"/>
    </row>
    <row r="928">
      <c r="B928" s="24"/>
    </row>
    <row r="929">
      <c r="B929" s="24"/>
    </row>
    <row r="930">
      <c r="B930" s="24"/>
    </row>
    <row r="931">
      <c r="B931" s="24"/>
    </row>
    <row r="932">
      <c r="B932" s="24"/>
    </row>
    <row r="933">
      <c r="B933" s="24"/>
    </row>
    <row r="934">
      <c r="B934" s="24"/>
    </row>
    <row r="935">
      <c r="B935" s="24"/>
    </row>
    <row r="936">
      <c r="B936" s="24"/>
    </row>
    <row r="937">
      <c r="B937" s="24"/>
    </row>
    <row r="938">
      <c r="B938" s="24"/>
    </row>
    <row r="939">
      <c r="B939" s="24"/>
    </row>
    <row r="940">
      <c r="B940" s="24"/>
    </row>
    <row r="941">
      <c r="B941" s="24"/>
    </row>
    <row r="942">
      <c r="B942" s="24"/>
    </row>
    <row r="943">
      <c r="B943" s="24"/>
    </row>
    <row r="944">
      <c r="B944" s="24"/>
    </row>
    <row r="945">
      <c r="B945" s="24"/>
    </row>
    <row r="946">
      <c r="B946" s="24"/>
    </row>
    <row r="947">
      <c r="B947" s="24"/>
    </row>
    <row r="948">
      <c r="B948" s="24"/>
    </row>
    <row r="949">
      <c r="B949" s="24"/>
    </row>
    <row r="950">
      <c r="B950" s="24"/>
    </row>
    <row r="951">
      <c r="B951" s="24"/>
    </row>
    <row r="952">
      <c r="B952" s="24"/>
    </row>
    <row r="953">
      <c r="B953" s="24"/>
    </row>
    <row r="954">
      <c r="B954" s="24"/>
    </row>
    <row r="955">
      <c r="B955" s="24"/>
    </row>
    <row r="956">
      <c r="B956" s="24"/>
    </row>
    <row r="957">
      <c r="B957" s="24"/>
    </row>
    <row r="958">
      <c r="B958" s="24"/>
    </row>
    <row r="959">
      <c r="B959" s="24"/>
    </row>
    <row r="960">
      <c r="B960" s="24"/>
    </row>
    <row r="961">
      <c r="B961" s="24"/>
    </row>
    <row r="962">
      <c r="B962" s="24"/>
    </row>
    <row r="963">
      <c r="B963" s="24"/>
    </row>
    <row r="964">
      <c r="B964" s="24"/>
    </row>
    <row r="965">
      <c r="B965" s="24"/>
    </row>
    <row r="966">
      <c r="B966" s="24"/>
    </row>
    <row r="967">
      <c r="B967" s="24"/>
    </row>
    <row r="968">
      <c r="B968" s="24"/>
    </row>
    <row r="969">
      <c r="B969" s="24"/>
    </row>
    <row r="970">
      <c r="B970" s="24"/>
    </row>
    <row r="971">
      <c r="B971" s="24"/>
    </row>
    <row r="972">
      <c r="B972" s="24"/>
    </row>
    <row r="973">
      <c r="B973" s="24"/>
    </row>
    <row r="974">
      <c r="B974" s="24"/>
    </row>
    <row r="975">
      <c r="B975" s="24"/>
    </row>
    <row r="976">
      <c r="B976" s="24"/>
    </row>
    <row r="977">
      <c r="B977" s="24"/>
    </row>
    <row r="978">
      <c r="B978" s="24"/>
    </row>
    <row r="979">
      <c r="B979" s="24"/>
    </row>
    <row r="980">
      <c r="B980" s="24"/>
    </row>
    <row r="981">
      <c r="B981" s="24"/>
    </row>
    <row r="982">
      <c r="B982" s="24"/>
    </row>
    <row r="983">
      <c r="B983" s="24"/>
    </row>
    <row r="984">
      <c r="B984" s="24"/>
    </row>
    <row r="985">
      <c r="B985" s="24"/>
    </row>
    <row r="986">
      <c r="B986" s="24"/>
    </row>
    <row r="987">
      <c r="B987" s="24"/>
    </row>
    <row r="988">
      <c r="B988" s="24"/>
    </row>
    <row r="989">
      <c r="B989" s="24"/>
    </row>
    <row r="990">
      <c r="B990" s="24"/>
    </row>
    <row r="991">
      <c r="B991" s="24"/>
    </row>
    <row r="992">
      <c r="B992" s="24"/>
    </row>
    <row r="993">
      <c r="B993" s="24"/>
    </row>
    <row r="994">
      <c r="B994" s="24"/>
    </row>
    <row r="995">
      <c r="B995" s="24"/>
    </row>
    <row r="996">
      <c r="B996" s="24"/>
    </row>
    <row r="997">
      <c r="B997" s="24"/>
    </row>
    <row r="998">
      <c r="B998" s="24"/>
    </row>
    <row r="999">
      <c r="B999" s="24"/>
    </row>
    <row r="1000">
      <c r="B1000" s="24"/>
    </row>
  </sheetData>
  <mergeCells count="1">
    <mergeCell ref="A36:B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0</v>
      </c>
      <c r="B1" s="4" t="s">
        <v>3</v>
      </c>
      <c r="C1" s="4" t="s">
        <v>5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13</v>
      </c>
      <c r="J1" s="4" t="s">
        <v>15</v>
      </c>
      <c r="K1" s="4" t="s">
        <v>17</v>
      </c>
      <c r="L1" s="4" t="s">
        <v>19</v>
      </c>
      <c r="M1" s="4" t="s">
        <v>36</v>
      </c>
      <c r="N1" s="4" t="s">
        <v>37</v>
      </c>
      <c r="O1" s="4" t="s">
        <v>42</v>
      </c>
      <c r="P1" s="4" t="s">
        <v>45</v>
      </c>
      <c r="Q1" s="4" t="s">
        <v>49</v>
      </c>
      <c r="R1" s="4" t="s">
        <v>51</v>
      </c>
    </row>
    <row r="2">
      <c r="B2" s="12">
        <v>2024.0</v>
      </c>
      <c r="C2" s="12">
        <v>2024.0</v>
      </c>
      <c r="D2" s="12">
        <v>2024.0</v>
      </c>
      <c r="E2" s="12">
        <v>2024.0</v>
      </c>
      <c r="F2" s="12">
        <v>2024.0</v>
      </c>
      <c r="G2" s="12">
        <v>2024.0</v>
      </c>
      <c r="H2" s="12">
        <v>2024.0</v>
      </c>
      <c r="I2" s="12">
        <v>2024.0</v>
      </c>
      <c r="J2" s="12">
        <v>2024.0</v>
      </c>
      <c r="K2" s="12">
        <v>2024.0</v>
      </c>
      <c r="L2" s="12">
        <v>2024.0</v>
      </c>
      <c r="M2" s="12">
        <v>2024.0</v>
      </c>
      <c r="N2" s="12">
        <v>2024.0</v>
      </c>
      <c r="O2" s="12">
        <v>2024.0</v>
      </c>
      <c r="P2" s="12">
        <v>2024.0</v>
      </c>
      <c r="Q2" s="12">
        <v>2024.0</v>
      </c>
      <c r="R2" s="12">
        <v>2024.0</v>
      </c>
      <c r="S2" s="12"/>
    </row>
    <row r="3">
      <c r="B3" s="12" t="s">
        <v>73</v>
      </c>
      <c r="C3" s="12" t="s">
        <v>73</v>
      </c>
      <c r="D3" s="12" t="s">
        <v>73</v>
      </c>
      <c r="E3" s="12" t="s">
        <v>73</v>
      </c>
      <c r="F3" s="12" t="s">
        <v>73</v>
      </c>
      <c r="G3" s="12" t="s">
        <v>73</v>
      </c>
      <c r="H3" s="12" t="s">
        <v>73</v>
      </c>
      <c r="I3" s="12" t="s">
        <v>73</v>
      </c>
      <c r="J3" s="12" t="s">
        <v>73</v>
      </c>
      <c r="K3" s="12" t="s">
        <v>73</v>
      </c>
      <c r="L3" s="12" t="s">
        <v>73</v>
      </c>
      <c r="M3" s="12" t="s">
        <v>73</v>
      </c>
      <c r="N3" s="12" t="s">
        <v>73</v>
      </c>
      <c r="O3" s="12" t="s">
        <v>73</v>
      </c>
      <c r="P3" s="12" t="s">
        <v>73</v>
      </c>
      <c r="Q3" s="12" t="s">
        <v>73</v>
      </c>
      <c r="R3" s="12" t="s">
        <v>73</v>
      </c>
      <c r="S3" s="12"/>
    </row>
    <row r="4">
      <c r="A4" s="12" t="s">
        <v>25</v>
      </c>
      <c r="B4" s="12">
        <v>75317.96</v>
      </c>
      <c r="C4" s="12">
        <v>17146.85</v>
      </c>
      <c r="D4" s="12">
        <v>11462.81</v>
      </c>
      <c r="E4" s="12">
        <v>275.88</v>
      </c>
      <c r="F4" s="12">
        <v>114.56</v>
      </c>
      <c r="G4" s="12">
        <v>21392.99</v>
      </c>
      <c r="H4" s="12">
        <v>36461.54</v>
      </c>
      <c r="I4" s="12">
        <v>16913.75</v>
      </c>
      <c r="J4" s="12">
        <v>4172.67</v>
      </c>
      <c r="K4" s="12">
        <v>6693.22</v>
      </c>
      <c r="L4" s="12">
        <v>4056.99</v>
      </c>
      <c r="M4" s="12">
        <v>8571.83</v>
      </c>
      <c r="N4" s="12">
        <v>1436.37</v>
      </c>
      <c r="O4" s="12">
        <v>22088.18</v>
      </c>
      <c r="P4" s="12">
        <v>6419.27</v>
      </c>
      <c r="Q4" s="12">
        <v>7301.11</v>
      </c>
      <c r="R4" s="12">
        <v>3376.16</v>
      </c>
      <c r="S4" s="12"/>
    </row>
    <row r="5">
      <c r="A5" s="12" t="s">
        <v>97</v>
      </c>
      <c r="B5" s="12">
        <v>279732.3</v>
      </c>
      <c r="C5" s="12">
        <v>13308.37</v>
      </c>
      <c r="D5" s="12">
        <v>210618.69</v>
      </c>
      <c r="E5" s="12">
        <v>1125.19</v>
      </c>
      <c r="F5" s="12">
        <v>1001.63</v>
      </c>
      <c r="G5" s="12">
        <v>149061.01</v>
      </c>
      <c r="H5" s="12">
        <v>215708.94</v>
      </c>
      <c r="I5" s="12">
        <v>57640.22</v>
      </c>
      <c r="J5" s="12">
        <v>25335.31</v>
      </c>
      <c r="K5" s="12">
        <v>26124.96</v>
      </c>
      <c r="L5" s="12">
        <v>31626.43</v>
      </c>
      <c r="M5" s="12">
        <v>52204.45</v>
      </c>
      <c r="N5" s="12">
        <v>12010.07</v>
      </c>
      <c r="O5" s="12">
        <v>34463.7</v>
      </c>
      <c r="P5" s="12">
        <v>19784.2</v>
      </c>
      <c r="Q5" s="12">
        <v>10668.57</v>
      </c>
      <c r="R5" s="12">
        <v>6505.72</v>
      </c>
      <c r="S5" s="12"/>
    </row>
    <row r="6">
      <c r="A6" s="12" t="s">
        <v>108</v>
      </c>
      <c r="B6" s="12">
        <v>71161.99</v>
      </c>
      <c r="C6" s="12">
        <v>12905.89</v>
      </c>
      <c r="D6" s="12">
        <v>27873.22</v>
      </c>
      <c r="E6" s="12">
        <v>301.45</v>
      </c>
      <c r="F6" s="12">
        <v>289.18</v>
      </c>
      <c r="G6" s="12">
        <v>33562.98</v>
      </c>
      <c r="H6" s="12">
        <v>54977.65</v>
      </c>
      <c r="I6" s="12">
        <v>37004.68</v>
      </c>
      <c r="J6" s="12">
        <v>4573.55</v>
      </c>
      <c r="K6" s="12">
        <v>22191.11</v>
      </c>
      <c r="L6" s="12">
        <v>10254.38</v>
      </c>
      <c r="M6" s="12">
        <v>6964.58</v>
      </c>
      <c r="N6" s="12">
        <v>1431.09</v>
      </c>
      <c r="O6" s="12">
        <v>22025.11</v>
      </c>
      <c r="P6" s="12">
        <v>14726.74</v>
      </c>
      <c r="Q6" s="12">
        <v>5718.21</v>
      </c>
      <c r="R6" s="12">
        <v>7184.02</v>
      </c>
      <c r="S6" s="12"/>
    </row>
    <row r="7">
      <c r="A7" s="12" t="s">
        <v>61</v>
      </c>
      <c r="B7" s="12">
        <v>301625.9</v>
      </c>
      <c r="C7" s="12">
        <v>205758.44</v>
      </c>
      <c r="D7" s="12">
        <v>312817.74</v>
      </c>
      <c r="E7" s="12">
        <v>888.43</v>
      </c>
      <c r="F7" s="12">
        <v>108.83</v>
      </c>
      <c r="G7" s="12">
        <v>106657.2</v>
      </c>
      <c r="H7" s="12">
        <v>114288.25</v>
      </c>
      <c r="I7" s="12">
        <v>9502.72</v>
      </c>
      <c r="J7" s="12">
        <v>5495.39</v>
      </c>
      <c r="K7" s="12">
        <v>8836.77</v>
      </c>
      <c r="L7" s="12">
        <v>9924.39</v>
      </c>
      <c r="M7" s="12">
        <v>9027.07</v>
      </c>
      <c r="N7" s="12">
        <v>51.49</v>
      </c>
      <c r="O7" s="12">
        <v>14528.92</v>
      </c>
      <c r="P7" s="12">
        <v>5401.86</v>
      </c>
      <c r="Q7" s="12">
        <v>2713.6</v>
      </c>
      <c r="R7" s="12">
        <v>4854.62</v>
      </c>
      <c r="S7" s="12"/>
    </row>
    <row r="8">
      <c r="A8" s="12" t="s">
        <v>72</v>
      </c>
      <c r="B8" s="12">
        <v>109588.6</v>
      </c>
      <c r="C8" s="12">
        <v>43504.57</v>
      </c>
      <c r="D8" s="12">
        <v>31524.81</v>
      </c>
      <c r="E8" s="12">
        <v>243.34</v>
      </c>
      <c r="F8" s="12">
        <v>401.06</v>
      </c>
      <c r="G8" s="12">
        <v>23950.37</v>
      </c>
      <c r="H8" s="12">
        <v>43006.34</v>
      </c>
      <c r="I8" s="12">
        <v>10402.4</v>
      </c>
      <c r="J8" s="12">
        <v>3552.76</v>
      </c>
      <c r="K8" s="12">
        <v>11503.13</v>
      </c>
      <c r="L8" s="12">
        <v>6964.76</v>
      </c>
      <c r="M8" s="12">
        <v>4672.8</v>
      </c>
      <c r="N8" s="12">
        <v>4944.18</v>
      </c>
      <c r="O8" s="12">
        <v>11913.03</v>
      </c>
      <c r="P8" s="12">
        <v>9892.99</v>
      </c>
      <c r="Q8" s="12">
        <v>4019.81</v>
      </c>
      <c r="R8" s="12">
        <v>3089.36</v>
      </c>
      <c r="S8" s="12"/>
    </row>
    <row r="9">
      <c r="A9" s="12" t="s">
        <v>140</v>
      </c>
      <c r="B9" s="12">
        <v>89951.53</v>
      </c>
      <c r="C9" s="12">
        <v>163333.02</v>
      </c>
      <c r="D9" s="12">
        <v>121454.68</v>
      </c>
      <c r="E9" s="12">
        <v>876.5</v>
      </c>
      <c r="F9" s="12">
        <v>640.95</v>
      </c>
      <c r="G9" s="12">
        <v>71717.14</v>
      </c>
      <c r="H9" s="12">
        <v>91958.7</v>
      </c>
      <c r="I9" s="12">
        <v>16579.36</v>
      </c>
      <c r="J9" s="12">
        <v>13370.89</v>
      </c>
      <c r="K9" s="12">
        <v>19905.37</v>
      </c>
      <c r="L9" s="12">
        <v>14164.1</v>
      </c>
      <c r="M9" s="12">
        <v>19502.51</v>
      </c>
      <c r="N9" s="12">
        <v>747.94</v>
      </c>
      <c r="O9" s="12">
        <v>16669.52</v>
      </c>
      <c r="P9" s="12">
        <v>14279.86</v>
      </c>
      <c r="Q9" s="12">
        <v>4154.71</v>
      </c>
      <c r="R9" s="12">
        <v>4654.93</v>
      </c>
      <c r="S9" s="12"/>
    </row>
    <row r="10">
      <c r="A10" s="12" t="s">
        <v>89</v>
      </c>
      <c r="B10" s="12">
        <v>31019.11</v>
      </c>
      <c r="C10" s="12">
        <v>4370.6</v>
      </c>
      <c r="D10" s="12">
        <v>5396.39</v>
      </c>
      <c r="E10" s="12">
        <v>103.15</v>
      </c>
      <c r="F10" s="12">
        <v>188.34</v>
      </c>
      <c r="G10" s="12">
        <v>5082.61</v>
      </c>
      <c r="H10" s="12">
        <v>14353.35</v>
      </c>
      <c r="I10" s="12">
        <v>10027.86</v>
      </c>
      <c r="J10" s="12">
        <v>1888.52</v>
      </c>
      <c r="K10" s="12">
        <v>4110.88</v>
      </c>
      <c r="L10" s="12">
        <v>2974.19</v>
      </c>
      <c r="M10" s="12">
        <v>3406.85</v>
      </c>
      <c r="N10" s="12">
        <v>2418.55</v>
      </c>
      <c r="O10" s="12">
        <v>9148.62</v>
      </c>
      <c r="P10" s="12">
        <v>6377.97</v>
      </c>
      <c r="Q10" s="12">
        <v>2149.94</v>
      </c>
      <c r="R10" s="12">
        <v>974.98</v>
      </c>
      <c r="S10" s="12"/>
    </row>
    <row r="11">
      <c r="A11" s="12" t="s">
        <v>98</v>
      </c>
      <c r="B11" s="12">
        <v>127266.59</v>
      </c>
      <c r="C11" s="12">
        <v>24746.48</v>
      </c>
      <c r="D11" s="12">
        <v>91478.25</v>
      </c>
      <c r="E11" s="12">
        <v>508.38</v>
      </c>
      <c r="F11" s="12">
        <v>465.29</v>
      </c>
      <c r="G11" s="12">
        <v>45804.32</v>
      </c>
      <c r="H11" s="12">
        <v>68925.49</v>
      </c>
      <c r="I11" s="12">
        <v>35927.64</v>
      </c>
      <c r="J11" s="12">
        <v>7796.37</v>
      </c>
      <c r="K11" s="12">
        <v>18860.41</v>
      </c>
      <c r="L11" s="12">
        <v>9636.45</v>
      </c>
      <c r="M11" s="12">
        <v>12724.63</v>
      </c>
      <c r="N11" s="12">
        <v>806.81</v>
      </c>
      <c r="O11" s="12">
        <v>14971.58</v>
      </c>
      <c r="P11" s="12">
        <v>13676.74</v>
      </c>
      <c r="Q11" s="12">
        <v>4839.49</v>
      </c>
      <c r="R11" s="12">
        <v>5607.6</v>
      </c>
      <c r="S11" s="12"/>
    </row>
    <row r="12">
      <c r="A12" s="12" t="s">
        <v>167</v>
      </c>
      <c r="B12" s="12">
        <v>21786.46</v>
      </c>
      <c r="C12" s="12">
        <v>8110.48</v>
      </c>
      <c r="D12" s="12">
        <v>22141.52</v>
      </c>
      <c r="E12" s="12">
        <v>117.59</v>
      </c>
      <c r="F12" s="12">
        <v>21.2</v>
      </c>
      <c r="G12" s="12">
        <v>9784.12</v>
      </c>
      <c r="H12" s="12">
        <v>16515.36</v>
      </c>
      <c r="I12" s="12">
        <v>5219.08</v>
      </c>
      <c r="J12" s="12">
        <v>3490.85</v>
      </c>
      <c r="K12" s="12">
        <v>2527.21</v>
      </c>
      <c r="L12" s="12">
        <v>2111.37</v>
      </c>
      <c r="M12" s="12">
        <v>3649.57</v>
      </c>
      <c r="N12" s="12">
        <v>325.95</v>
      </c>
      <c r="O12" s="12">
        <v>5890.12</v>
      </c>
      <c r="P12" s="12">
        <v>3361.1</v>
      </c>
      <c r="Q12" s="12">
        <v>1458.11</v>
      </c>
      <c r="R12" s="12">
        <v>993.1</v>
      </c>
      <c r="S12" s="12"/>
    </row>
    <row r="13">
      <c r="A13" s="12" t="s">
        <v>180</v>
      </c>
      <c r="B13" s="12">
        <v>10355.53</v>
      </c>
      <c r="C13" s="12">
        <v>34242.44</v>
      </c>
      <c r="D13" s="12">
        <v>144628.95</v>
      </c>
      <c r="E13" s="12">
        <v>3865.21</v>
      </c>
      <c r="F13" s="12">
        <v>343.47</v>
      </c>
      <c r="G13" s="12">
        <v>71355.76</v>
      </c>
      <c r="H13" s="12">
        <v>32602.64</v>
      </c>
      <c r="I13" s="12">
        <v>7207.25</v>
      </c>
      <c r="J13" s="12">
        <v>6681.44</v>
      </c>
      <c r="K13" s="12">
        <v>9388.78</v>
      </c>
      <c r="L13" s="12">
        <v>9644.34</v>
      </c>
      <c r="M13" s="12">
        <v>3882.74</v>
      </c>
      <c r="N13" s="12">
        <v>11.97</v>
      </c>
      <c r="O13" s="12">
        <v>9223.37</v>
      </c>
      <c r="P13" s="12">
        <v>4702.61</v>
      </c>
      <c r="Q13" s="12">
        <v>3124.06</v>
      </c>
      <c r="R13" s="12">
        <v>1175.87</v>
      </c>
      <c r="S13" s="12"/>
    </row>
    <row r="14">
      <c r="A14" s="12" t="s">
        <v>193</v>
      </c>
      <c r="B14" s="12">
        <v>2762.53</v>
      </c>
      <c r="C14" s="12">
        <v>5717.42</v>
      </c>
      <c r="D14" s="12">
        <v>422940.32</v>
      </c>
      <c r="E14" s="12">
        <v>5628.35</v>
      </c>
      <c r="F14" s="12">
        <v>1121.37</v>
      </c>
      <c r="G14" s="12">
        <v>401305.8</v>
      </c>
      <c r="H14" s="12">
        <v>662471.32</v>
      </c>
      <c r="I14" s="12">
        <v>166936.1</v>
      </c>
      <c r="J14" s="12">
        <v>178510.88</v>
      </c>
      <c r="K14" s="12">
        <v>342477.64</v>
      </c>
      <c r="L14" s="12">
        <v>408186.14</v>
      </c>
      <c r="M14" s="12">
        <v>200045.22</v>
      </c>
      <c r="N14" s="12">
        <v>323347.99</v>
      </c>
      <c r="O14" s="12">
        <v>157015.91</v>
      </c>
      <c r="P14" s="12">
        <v>159541.97</v>
      </c>
      <c r="Q14" s="12">
        <v>82004.51</v>
      </c>
      <c r="R14" s="12">
        <v>159695.26</v>
      </c>
      <c r="S14" s="12"/>
    </row>
    <row r="15">
      <c r="A15" s="12" t="s">
        <v>206</v>
      </c>
      <c r="B15" s="12">
        <v>237631.6</v>
      </c>
      <c r="C15" s="12">
        <v>27473.37</v>
      </c>
      <c r="D15" s="12">
        <v>1168548.23</v>
      </c>
      <c r="E15" s="12">
        <v>12059.32</v>
      </c>
      <c r="F15" s="12">
        <v>2872.12</v>
      </c>
      <c r="G15" s="12">
        <v>238500.79</v>
      </c>
      <c r="H15" s="12">
        <v>408257.19</v>
      </c>
      <c r="I15" s="12">
        <v>176286.3</v>
      </c>
      <c r="J15" s="12">
        <v>86660.11</v>
      </c>
      <c r="K15" s="12">
        <v>108134.62</v>
      </c>
      <c r="L15" s="12">
        <v>78558.45</v>
      </c>
      <c r="M15" s="12">
        <v>32865.01</v>
      </c>
      <c r="N15" s="12">
        <v>13105.19</v>
      </c>
      <c r="O15" s="12">
        <v>50520.49</v>
      </c>
      <c r="P15" s="12">
        <v>92230.1</v>
      </c>
      <c r="Q15" s="12">
        <v>22908.96</v>
      </c>
      <c r="R15" s="12">
        <v>66839.94</v>
      </c>
      <c r="S15" s="12"/>
    </row>
    <row r="16">
      <c r="A16" s="12" t="s">
        <v>217</v>
      </c>
      <c r="B16" s="12">
        <v>237348.86</v>
      </c>
      <c r="C16" s="12">
        <v>39211.8</v>
      </c>
      <c r="D16" s="12">
        <v>614658.98</v>
      </c>
      <c r="E16" s="12">
        <v>1675.83</v>
      </c>
      <c r="F16" s="12">
        <v>1066.34</v>
      </c>
      <c r="G16" s="12">
        <v>207039.33</v>
      </c>
      <c r="H16" s="12">
        <v>245140.47</v>
      </c>
      <c r="I16" s="12">
        <v>74443.94</v>
      </c>
      <c r="J16" s="12">
        <v>64731.32</v>
      </c>
      <c r="K16" s="12">
        <v>76438.36</v>
      </c>
      <c r="L16" s="12">
        <v>50560.09</v>
      </c>
      <c r="M16" s="12">
        <v>29153.89</v>
      </c>
      <c r="N16" s="12">
        <v>7783.77</v>
      </c>
      <c r="O16" s="12">
        <v>43959.71</v>
      </c>
      <c r="P16" s="12">
        <v>77978.57</v>
      </c>
      <c r="Q16" s="12">
        <v>16932.97</v>
      </c>
      <c r="R16" s="12">
        <v>29586.58</v>
      </c>
      <c r="S16" s="12"/>
    </row>
    <row r="17">
      <c r="A17" s="12" t="s">
        <v>231</v>
      </c>
      <c r="B17" s="12">
        <v>19266.67</v>
      </c>
      <c r="C17" s="12">
        <v>871.35</v>
      </c>
      <c r="D17" s="12">
        <v>22927.55</v>
      </c>
      <c r="E17" s="12">
        <v>277.56</v>
      </c>
      <c r="F17" s="12">
        <v>174.22</v>
      </c>
      <c r="G17" s="12">
        <v>18627.62</v>
      </c>
      <c r="H17" s="12">
        <v>15623.23</v>
      </c>
      <c r="I17" s="12">
        <v>11282.92</v>
      </c>
      <c r="J17" s="12">
        <v>20534.52</v>
      </c>
      <c r="K17" s="12">
        <v>18931.12</v>
      </c>
      <c r="L17" s="12">
        <v>8250.02</v>
      </c>
      <c r="M17" s="12">
        <v>12540.58</v>
      </c>
      <c r="N17" s="12">
        <v>1873.46</v>
      </c>
      <c r="O17" s="12">
        <v>14551.51</v>
      </c>
      <c r="P17" s="12">
        <v>16027.4</v>
      </c>
      <c r="Q17" s="12">
        <v>6253.69</v>
      </c>
      <c r="R17" s="12">
        <v>5548.53</v>
      </c>
      <c r="S17" s="12"/>
    </row>
    <row r="18">
      <c r="A18" s="12" t="s">
        <v>243</v>
      </c>
      <c r="B18" s="12">
        <v>337697.52</v>
      </c>
      <c r="C18" s="12">
        <v>113344.46</v>
      </c>
      <c r="D18" s="12">
        <v>977507.54</v>
      </c>
      <c r="E18" s="12">
        <v>11181.77</v>
      </c>
      <c r="F18" s="12">
        <v>2626.96</v>
      </c>
      <c r="G18" s="12">
        <v>284121.28</v>
      </c>
      <c r="H18" s="12">
        <v>596083.66</v>
      </c>
      <c r="I18" s="12">
        <v>132252.92</v>
      </c>
      <c r="J18" s="12">
        <v>189716.7</v>
      </c>
      <c r="K18" s="12">
        <v>156394.33</v>
      </c>
      <c r="L18" s="12">
        <v>80978.2</v>
      </c>
      <c r="M18" s="12">
        <v>48278.29</v>
      </c>
      <c r="N18" s="12">
        <v>26186.87</v>
      </c>
      <c r="O18" s="12">
        <v>68203.9</v>
      </c>
      <c r="P18" s="12">
        <v>77115.59</v>
      </c>
      <c r="Q18" s="12">
        <v>21473.36</v>
      </c>
      <c r="R18" s="12">
        <v>45132.22</v>
      </c>
      <c r="S18" s="12"/>
    </row>
    <row r="19">
      <c r="A19" s="12" t="s">
        <v>165</v>
      </c>
      <c r="B19" s="12">
        <v>49367.5</v>
      </c>
      <c r="C19" s="12">
        <v>3321.9</v>
      </c>
      <c r="D19" s="12">
        <v>265140.7</v>
      </c>
      <c r="E19" s="12">
        <v>10831.56</v>
      </c>
      <c r="F19" s="12">
        <v>718.35</v>
      </c>
      <c r="G19" s="12">
        <v>102168.15</v>
      </c>
      <c r="H19" s="12">
        <v>108160.85</v>
      </c>
      <c r="I19" s="12">
        <v>100200.91</v>
      </c>
      <c r="J19" s="12">
        <v>21071.86</v>
      </c>
      <c r="K19" s="12">
        <v>32734.19</v>
      </c>
      <c r="L19" s="12">
        <v>26054.81</v>
      </c>
      <c r="M19" s="12">
        <v>67427.4</v>
      </c>
      <c r="N19" s="12">
        <v>9660.48</v>
      </c>
      <c r="O19" s="12">
        <v>19202.51</v>
      </c>
      <c r="P19" s="12">
        <v>29453.36</v>
      </c>
      <c r="Q19" s="12">
        <v>13208.08</v>
      </c>
      <c r="R19" s="12">
        <v>14903.65</v>
      </c>
      <c r="S19" s="12"/>
    </row>
    <row r="20">
      <c r="A20" s="12" t="s">
        <v>174</v>
      </c>
      <c r="B20" s="12">
        <v>40069.82</v>
      </c>
      <c r="C20" s="12">
        <v>2549.56</v>
      </c>
      <c r="D20" s="12">
        <v>18664.58</v>
      </c>
      <c r="E20" s="12">
        <v>717.47</v>
      </c>
      <c r="F20" s="12">
        <v>458.72</v>
      </c>
      <c r="G20" s="12">
        <v>27563.21</v>
      </c>
      <c r="H20" s="12">
        <v>25893.43</v>
      </c>
      <c r="I20" s="12">
        <v>30622.9</v>
      </c>
      <c r="J20" s="12">
        <v>63866.22</v>
      </c>
      <c r="K20" s="12">
        <v>16101.49</v>
      </c>
      <c r="L20" s="12">
        <v>15455.37</v>
      </c>
      <c r="M20" s="12">
        <v>11449.02</v>
      </c>
      <c r="N20" s="12">
        <v>3445.13</v>
      </c>
      <c r="O20" s="12">
        <v>14955.85</v>
      </c>
      <c r="P20" s="12">
        <v>14244.44</v>
      </c>
      <c r="Q20" s="12">
        <v>7085.73</v>
      </c>
      <c r="R20" s="12">
        <v>5296.62</v>
      </c>
      <c r="S20" s="12"/>
    </row>
    <row r="21">
      <c r="A21" s="12" t="s">
        <v>274</v>
      </c>
      <c r="B21" s="12">
        <v>39096.53</v>
      </c>
      <c r="C21" s="12">
        <v>36662.93</v>
      </c>
      <c r="D21" s="12">
        <v>7056.02</v>
      </c>
      <c r="E21" s="12">
        <v>153.71</v>
      </c>
      <c r="F21" s="12">
        <v>131.87</v>
      </c>
      <c r="G21" s="12">
        <v>16603.62</v>
      </c>
      <c r="H21" s="12">
        <v>25884.35</v>
      </c>
      <c r="I21" s="12">
        <v>10626.92</v>
      </c>
      <c r="J21" s="12">
        <v>3196.23</v>
      </c>
      <c r="K21" s="12">
        <v>3643.21</v>
      </c>
      <c r="L21" s="12">
        <v>6973.02</v>
      </c>
      <c r="M21" s="12">
        <v>5270.09</v>
      </c>
      <c r="N21" s="12">
        <v>323.76</v>
      </c>
      <c r="O21" s="12">
        <v>10602.48</v>
      </c>
      <c r="P21" s="12">
        <v>8693.99</v>
      </c>
      <c r="Q21" s="12">
        <v>3521.31</v>
      </c>
      <c r="R21" s="12">
        <v>3825.59</v>
      </c>
      <c r="S21" s="12"/>
    </row>
    <row r="22">
      <c r="A22" s="12" t="s">
        <v>286</v>
      </c>
      <c r="B22" s="12">
        <v>39641.35</v>
      </c>
      <c r="C22" s="12">
        <v>1405.76</v>
      </c>
      <c r="D22" s="12">
        <v>1923.32</v>
      </c>
      <c r="E22" s="12">
        <v>126.16</v>
      </c>
      <c r="F22" s="12">
        <v>76.06</v>
      </c>
      <c r="G22" s="12">
        <v>14046.91</v>
      </c>
      <c r="H22" s="12">
        <v>17622.28</v>
      </c>
      <c r="I22" s="12">
        <v>7142.58</v>
      </c>
      <c r="J22" s="12">
        <v>972.59</v>
      </c>
      <c r="K22" s="12">
        <v>9432.69</v>
      </c>
      <c r="L22" s="12">
        <v>5893.1</v>
      </c>
      <c r="M22" s="12">
        <v>3412.62</v>
      </c>
      <c r="N22" s="12">
        <v>204.86</v>
      </c>
      <c r="O22" s="12">
        <v>17485.33</v>
      </c>
      <c r="P22" s="12">
        <v>12195.37</v>
      </c>
      <c r="Q22" s="12">
        <v>3679.22</v>
      </c>
      <c r="R22" s="12">
        <v>2198.29</v>
      </c>
      <c r="S22" s="12"/>
    </row>
    <row r="23">
      <c r="A23" s="12" t="s">
        <v>298</v>
      </c>
      <c r="B23" s="12">
        <v>65235.75</v>
      </c>
      <c r="C23" s="12">
        <v>15328.89</v>
      </c>
      <c r="D23" s="12">
        <v>46846.54</v>
      </c>
      <c r="E23" s="12">
        <v>392.22</v>
      </c>
      <c r="F23" s="12">
        <v>343.48</v>
      </c>
      <c r="G23" s="12">
        <v>36830.61</v>
      </c>
      <c r="H23" s="12">
        <v>43187.9</v>
      </c>
      <c r="I23" s="12">
        <v>13842.12</v>
      </c>
      <c r="J23" s="12">
        <v>6431.37</v>
      </c>
      <c r="K23" s="12">
        <v>12179.34</v>
      </c>
      <c r="L23" s="12">
        <v>9620.02</v>
      </c>
      <c r="M23" s="12">
        <v>8122.05</v>
      </c>
      <c r="N23" s="12">
        <v>1298.54</v>
      </c>
      <c r="O23" s="12">
        <v>19690.43</v>
      </c>
      <c r="P23" s="12">
        <v>10480.79</v>
      </c>
      <c r="Q23" s="12">
        <v>7889.7</v>
      </c>
      <c r="R23" s="12">
        <v>2447.14</v>
      </c>
      <c r="S23" s="12"/>
    </row>
    <row r="24">
      <c r="A24" s="12" t="s">
        <v>310</v>
      </c>
      <c r="B24" s="12">
        <v>49786.51</v>
      </c>
      <c r="C24" s="12">
        <v>23718.05</v>
      </c>
      <c r="D24" s="12">
        <v>35036.13</v>
      </c>
      <c r="E24" s="12">
        <v>212.94</v>
      </c>
      <c r="F24" s="12">
        <v>216.26</v>
      </c>
      <c r="G24" s="12">
        <v>19693.84</v>
      </c>
      <c r="H24" s="12">
        <v>27966.43</v>
      </c>
      <c r="I24" s="12">
        <v>16136.33</v>
      </c>
      <c r="J24" s="12">
        <v>4161.79</v>
      </c>
      <c r="K24" s="12">
        <v>2302.14</v>
      </c>
      <c r="L24" s="12">
        <v>7338.18</v>
      </c>
      <c r="M24" s="12">
        <v>4447.15</v>
      </c>
      <c r="N24" s="12">
        <v>83.2</v>
      </c>
      <c r="O24" s="12">
        <v>13112.09</v>
      </c>
      <c r="P24" s="12">
        <v>11036.3</v>
      </c>
      <c r="Q24" s="12">
        <v>5545.76</v>
      </c>
      <c r="R24" s="12">
        <v>2071.38</v>
      </c>
      <c r="S24" s="12"/>
    </row>
    <row r="25">
      <c r="A25" s="12" t="s">
        <v>321</v>
      </c>
      <c r="B25" s="12">
        <v>33119.22</v>
      </c>
      <c r="C25" s="12">
        <v>84512.2</v>
      </c>
      <c r="D25" s="12">
        <v>31413.55</v>
      </c>
      <c r="E25" s="12">
        <v>379.2</v>
      </c>
      <c r="F25" s="12">
        <v>1061.25</v>
      </c>
      <c r="G25" s="12">
        <v>20333.1</v>
      </c>
      <c r="H25" s="12">
        <v>28179.44</v>
      </c>
      <c r="I25" s="12">
        <v>20816.06</v>
      </c>
      <c r="J25" s="12">
        <v>5534.47</v>
      </c>
      <c r="K25" s="12">
        <v>9656.89</v>
      </c>
      <c r="L25" s="12">
        <v>8924.72</v>
      </c>
      <c r="M25" s="12">
        <v>5998.49</v>
      </c>
      <c r="N25" s="12">
        <v>1923.83</v>
      </c>
      <c r="O25" s="12">
        <v>14276.42</v>
      </c>
      <c r="P25" s="12">
        <v>11513.29</v>
      </c>
      <c r="Q25" s="12">
        <v>5756.06</v>
      </c>
      <c r="R25" s="12">
        <v>3441.88</v>
      </c>
      <c r="S25" s="12"/>
    </row>
    <row r="26">
      <c r="A26" s="12" t="s">
        <v>327</v>
      </c>
      <c r="B26" s="12">
        <v>74356.72</v>
      </c>
      <c r="C26" s="12">
        <v>329116.43</v>
      </c>
      <c r="D26" s="12">
        <v>156814.17</v>
      </c>
      <c r="E26" s="12">
        <v>588.78</v>
      </c>
      <c r="F26" s="12">
        <v>472.08</v>
      </c>
      <c r="G26" s="12">
        <v>101974.2</v>
      </c>
      <c r="H26" s="12">
        <v>59295.75</v>
      </c>
      <c r="I26" s="12">
        <v>38630.11</v>
      </c>
      <c r="J26" s="12">
        <v>9627.66</v>
      </c>
      <c r="K26" s="12">
        <v>12940.84</v>
      </c>
      <c r="L26" s="12">
        <v>16613.49</v>
      </c>
      <c r="M26" s="12">
        <v>6978.22</v>
      </c>
      <c r="N26" s="12">
        <v>1888.74</v>
      </c>
      <c r="O26" s="12">
        <v>18877.75</v>
      </c>
      <c r="P26" s="12">
        <v>15537.85</v>
      </c>
      <c r="Q26" s="12">
        <v>7865.59</v>
      </c>
      <c r="R26" s="12">
        <v>6615.32</v>
      </c>
      <c r="S26" s="12"/>
    </row>
    <row r="27">
      <c r="A27" s="12" t="s">
        <v>328</v>
      </c>
      <c r="B27" s="12">
        <v>21698.8</v>
      </c>
      <c r="C27" s="12">
        <v>42163.99</v>
      </c>
      <c r="D27" s="12">
        <v>12153.16</v>
      </c>
      <c r="E27" s="12">
        <v>86.58</v>
      </c>
      <c r="F27" s="12">
        <v>86.23</v>
      </c>
      <c r="G27" s="12">
        <v>18993.99</v>
      </c>
      <c r="H27" s="12">
        <v>19074.98</v>
      </c>
      <c r="I27" s="12">
        <v>11066.3</v>
      </c>
      <c r="J27" s="12">
        <v>2432.42</v>
      </c>
      <c r="K27" s="12">
        <v>3856.5</v>
      </c>
      <c r="L27" s="12">
        <v>1731.17</v>
      </c>
      <c r="M27" s="12">
        <v>958.55</v>
      </c>
      <c r="N27" s="12">
        <v>296.49</v>
      </c>
      <c r="O27" s="12">
        <v>6238.97</v>
      </c>
      <c r="P27" s="12">
        <v>3625.62</v>
      </c>
      <c r="Q27" s="12">
        <v>1443.2</v>
      </c>
      <c r="R27" s="12">
        <v>1069.75</v>
      </c>
      <c r="S27" s="12"/>
    </row>
    <row r="28">
      <c r="A28" s="12" t="s">
        <v>330</v>
      </c>
      <c r="B28" s="12">
        <v>38583.04</v>
      </c>
      <c r="C28" s="12">
        <v>9177.92</v>
      </c>
      <c r="D28" s="12">
        <v>19890.49</v>
      </c>
      <c r="E28" s="12">
        <v>187.16</v>
      </c>
      <c r="F28" s="12">
        <v>179.56</v>
      </c>
      <c r="G28" s="12">
        <v>20051.93</v>
      </c>
      <c r="H28" s="12">
        <v>25553.36</v>
      </c>
      <c r="I28" s="12">
        <v>21766.6</v>
      </c>
      <c r="J28" s="12">
        <v>3151.66</v>
      </c>
      <c r="K28" s="12">
        <v>7490.59</v>
      </c>
      <c r="L28" s="12">
        <v>6362.55</v>
      </c>
      <c r="M28" s="12">
        <v>5589.24</v>
      </c>
      <c r="N28" s="12">
        <v>172.78</v>
      </c>
      <c r="O28" s="12">
        <v>12719.15</v>
      </c>
      <c r="P28" s="12">
        <v>5658.03</v>
      </c>
      <c r="Q28" s="12">
        <v>7450.63</v>
      </c>
      <c r="R28" s="12">
        <v>3389.6</v>
      </c>
      <c r="S28" s="12"/>
    </row>
    <row r="29">
      <c r="A29" s="12" t="s">
        <v>332</v>
      </c>
      <c r="B29" s="12">
        <v>59567.55</v>
      </c>
      <c r="C29" s="12">
        <v>55198.23</v>
      </c>
      <c r="D29" s="12">
        <v>155241.98</v>
      </c>
      <c r="E29" s="12">
        <v>73.54</v>
      </c>
      <c r="F29" s="12">
        <v>253.67</v>
      </c>
      <c r="G29" s="12">
        <v>31345.75</v>
      </c>
      <c r="H29" s="12">
        <v>21766.11</v>
      </c>
      <c r="I29" s="12">
        <v>8028.11</v>
      </c>
      <c r="J29" s="12">
        <v>1202.46</v>
      </c>
      <c r="K29" s="12">
        <v>7802.84</v>
      </c>
      <c r="L29" s="12">
        <v>5338.81</v>
      </c>
      <c r="M29" s="12">
        <v>4245.94</v>
      </c>
      <c r="N29" s="12">
        <v>539.45</v>
      </c>
      <c r="O29" s="12">
        <v>13755.75</v>
      </c>
      <c r="P29" s="12">
        <v>7309.27</v>
      </c>
      <c r="Q29" s="12">
        <v>3518.48</v>
      </c>
      <c r="R29" s="12">
        <v>1762.37</v>
      </c>
      <c r="S29" s="12"/>
    </row>
    <row r="30">
      <c r="A30" s="12" t="s">
        <v>338</v>
      </c>
      <c r="B30" s="12">
        <v>152048.02</v>
      </c>
      <c r="C30" s="12">
        <v>31687.92</v>
      </c>
      <c r="D30" s="12">
        <v>90664.86</v>
      </c>
      <c r="E30" s="12">
        <v>499.46</v>
      </c>
      <c r="F30" s="12">
        <v>646.3</v>
      </c>
      <c r="G30" s="12">
        <v>94072.51</v>
      </c>
      <c r="H30" s="12">
        <v>103078.54</v>
      </c>
      <c r="I30" s="12">
        <v>32219.99</v>
      </c>
      <c r="J30" s="12">
        <v>9497.46</v>
      </c>
      <c r="K30" s="12">
        <v>37618.84</v>
      </c>
      <c r="L30" s="12">
        <v>24963.82</v>
      </c>
      <c r="M30" s="12">
        <v>24347.53</v>
      </c>
      <c r="N30" s="12">
        <v>3462.27</v>
      </c>
      <c r="O30" s="12">
        <v>27942.56</v>
      </c>
      <c r="P30" s="12">
        <v>35046.1</v>
      </c>
      <c r="Q30" s="12">
        <v>17810.8</v>
      </c>
      <c r="R30" s="12">
        <v>10645.81</v>
      </c>
      <c r="S30" s="12"/>
    </row>
    <row r="31">
      <c r="A31" s="12" t="s">
        <v>339</v>
      </c>
      <c r="B31" s="12">
        <v>44495.19</v>
      </c>
      <c r="C31" s="12">
        <v>40028.08</v>
      </c>
      <c r="D31" s="12">
        <v>17805.37</v>
      </c>
      <c r="E31" s="12">
        <v>71.42</v>
      </c>
      <c r="F31" s="12">
        <v>256.65</v>
      </c>
      <c r="G31" s="12">
        <v>23018.48</v>
      </c>
      <c r="H31" s="12">
        <v>23733.22</v>
      </c>
      <c r="I31" s="12">
        <v>8596.51</v>
      </c>
      <c r="J31" s="12">
        <v>945.4</v>
      </c>
      <c r="K31" s="12">
        <v>3016.53</v>
      </c>
      <c r="L31" s="12">
        <v>4203.73</v>
      </c>
      <c r="M31" s="12">
        <v>2085.97</v>
      </c>
      <c r="N31" s="12">
        <v>385.36</v>
      </c>
      <c r="O31" s="12">
        <v>8911.52</v>
      </c>
      <c r="P31" s="12">
        <v>8269.07</v>
      </c>
      <c r="Q31" s="12">
        <v>1597.39</v>
      </c>
      <c r="R31" s="12">
        <v>2061.87</v>
      </c>
      <c r="S31" s="12"/>
    </row>
    <row r="32">
      <c r="A32" s="12" t="s">
        <v>276</v>
      </c>
      <c r="B32" s="12">
        <v>20344.28</v>
      </c>
      <c r="C32" s="12">
        <v>606.29</v>
      </c>
      <c r="D32" s="12">
        <v>2396.85</v>
      </c>
      <c r="E32" s="12">
        <v>26.07</v>
      </c>
      <c r="F32" s="12">
        <v>31.0</v>
      </c>
      <c r="G32" s="12">
        <v>6186.44</v>
      </c>
      <c r="H32" s="12">
        <v>7760.67</v>
      </c>
      <c r="I32" s="12">
        <v>3296.35</v>
      </c>
      <c r="J32" s="12">
        <v>1250.17</v>
      </c>
      <c r="K32" s="12">
        <v>1464.96</v>
      </c>
      <c r="L32" s="12">
        <v>2123.19</v>
      </c>
      <c r="M32" s="12">
        <v>862.84</v>
      </c>
      <c r="N32" s="12">
        <v>42.98</v>
      </c>
      <c r="O32" s="12">
        <v>3139.57</v>
      </c>
      <c r="P32" s="12">
        <v>2276.92</v>
      </c>
      <c r="Q32" s="12">
        <v>2051.91</v>
      </c>
      <c r="R32" s="12">
        <v>699.15</v>
      </c>
      <c r="S32" s="12"/>
    </row>
    <row r="33">
      <c r="A33" s="12" t="s">
        <v>340</v>
      </c>
      <c r="B33" s="12">
        <v>29608.76</v>
      </c>
      <c r="C33" s="12">
        <v>1417.81</v>
      </c>
      <c r="D33" s="12">
        <v>6684.64</v>
      </c>
      <c r="E33" s="12">
        <v>25.46</v>
      </c>
      <c r="F33" s="12">
        <v>81.92</v>
      </c>
      <c r="G33" s="12">
        <v>4618.63</v>
      </c>
      <c r="H33" s="12">
        <v>6241.99</v>
      </c>
      <c r="I33" s="12">
        <v>967.34</v>
      </c>
      <c r="J33" s="12">
        <v>156.04</v>
      </c>
      <c r="K33" s="12">
        <v>2490.3</v>
      </c>
      <c r="L33" s="12">
        <v>1279.61</v>
      </c>
      <c r="M33" s="12">
        <v>1620.27</v>
      </c>
      <c r="N33" s="12">
        <v>40.2</v>
      </c>
      <c r="O33" s="12">
        <v>3989.5</v>
      </c>
      <c r="P33" s="12">
        <v>2765.97</v>
      </c>
      <c r="Q33" s="12">
        <v>1187.94</v>
      </c>
      <c r="R33" s="12">
        <v>1038.28</v>
      </c>
      <c r="S33" s="12"/>
    </row>
    <row r="34">
      <c r="A34" s="12" t="s">
        <v>293</v>
      </c>
      <c r="B34" s="12">
        <v>14781.47</v>
      </c>
      <c r="C34" s="12">
        <v>1051.42</v>
      </c>
      <c r="D34" s="12">
        <v>3950.35</v>
      </c>
      <c r="E34" s="12">
        <v>60.19</v>
      </c>
      <c r="F34" s="12">
        <v>236.52</v>
      </c>
      <c r="G34" s="12">
        <v>4870.75</v>
      </c>
      <c r="H34" s="12">
        <v>8774.27</v>
      </c>
      <c r="I34" s="12">
        <v>3401.45</v>
      </c>
      <c r="J34" s="12">
        <v>909.24</v>
      </c>
      <c r="K34" s="12">
        <v>1940.62</v>
      </c>
      <c r="L34" s="12">
        <v>2483.44</v>
      </c>
      <c r="M34" s="12">
        <v>163.12</v>
      </c>
      <c r="N34" s="12">
        <v>591.23</v>
      </c>
      <c r="O34" s="12">
        <v>13485.94</v>
      </c>
      <c r="P34" s="12">
        <v>3351.3</v>
      </c>
      <c r="Q34" s="12">
        <v>1555.76</v>
      </c>
      <c r="R34" s="12">
        <v>1040.45</v>
      </c>
      <c r="S34" s="12"/>
    </row>
    <row r="35">
      <c r="A35" s="12" t="s">
        <v>341</v>
      </c>
      <c r="B35" s="12">
        <v>11920.29</v>
      </c>
      <c r="C35" s="12">
        <v>18021.27</v>
      </c>
      <c r="D35" s="12">
        <v>33369.89</v>
      </c>
      <c r="E35" s="12">
        <v>69.28</v>
      </c>
      <c r="F35" s="12">
        <v>41.33</v>
      </c>
      <c r="G35" s="12">
        <v>4064.82</v>
      </c>
      <c r="H35" s="12">
        <v>9992.4</v>
      </c>
      <c r="I35" s="12">
        <v>3376.94</v>
      </c>
      <c r="J35" s="12">
        <v>212.03</v>
      </c>
      <c r="K35" s="12">
        <v>1941.43</v>
      </c>
      <c r="L35" s="12">
        <v>2035.43</v>
      </c>
      <c r="M35" s="12">
        <v>56.91</v>
      </c>
      <c r="N35" s="12">
        <v>169.92</v>
      </c>
      <c r="O35" s="12">
        <v>8399.89</v>
      </c>
      <c r="P35" s="12">
        <v>1742.45</v>
      </c>
      <c r="Q35" s="12">
        <v>1143.56</v>
      </c>
      <c r="R35" s="12">
        <v>391.6</v>
      </c>
      <c r="S35" s="12"/>
    </row>
    <row r="36">
      <c r="A36" s="12" t="s">
        <v>342</v>
      </c>
      <c r="B36" s="12">
        <v>5124.21</v>
      </c>
      <c r="C36" s="12">
        <v>19336.57</v>
      </c>
      <c r="D36" s="12">
        <v>29652.8</v>
      </c>
      <c r="E36" s="12">
        <v>31.62</v>
      </c>
      <c r="F36" s="12">
        <v>52.22</v>
      </c>
      <c r="G36" s="12">
        <v>6009.44</v>
      </c>
      <c r="H36" s="12">
        <v>3588.85</v>
      </c>
      <c r="I36" s="12">
        <v>1250.68</v>
      </c>
      <c r="J36" s="12">
        <v>367.73</v>
      </c>
      <c r="K36" s="12">
        <v>763.22</v>
      </c>
      <c r="L36" s="12">
        <v>906.7</v>
      </c>
      <c r="M36" s="12">
        <v>689.66</v>
      </c>
      <c r="N36" s="12">
        <v>47.29</v>
      </c>
      <c r="O36" s="12">
        <v>6865.68</v>
      </c>
      <c r="P36" s="12">
        <v>926.42</v>
      </c>
      <c r="Q36" s="12">
        <v>418.39</v>
      </c>
      <c r="R36" s="12">
        <v>146.0</v>
      </c>
      <c r="S36" s="12"/>
    </row>
    <row r="37">
      <c r="A37" s="12" t="s">
        <v>343</v>
      </c>
      <c r="B37" s="12">
        <v>4500.23</v>
      </c>
      <c r="C37" s="12">
        <v>3708.45</v>
      </c>
      <c r="D37" s="12">
        <v>6570.08</v>
      </c>
      <c r="E37" s="12">
        <v>31.46</v>
      </c>
      <c r="F37" s="12">
        <v>62.2</v>
      </c>
      <c r="G37" s="12">
        <v>5345.16</v>
      </c>
      <c r="H37" s="12">
        <v>5195.9</v>
      </c>
      <c r="I37" s="12">
        <v>1585.05</v>
      </c>
      <c r="J37" s="12">
        <v>466.26</v>
      </c>
      <c r="K37" s="12">
        <v>1189.04</v>
      </c>
      <c r="L37" s="12">
        <v>1032.61</v>
      </c>
      <c r="M37" s="12">
        <v>737.08</v>
      </c>
      <c r="N37" s="12">
        <v>71.16</v>
      </c>
      <c r="O37" s="12">
        <v>4575.79</v>
      </c>
      <c r="P37" s="12">
        <v>1267.69</v>
      </c>
      <c r="Q37" s="12">
        <v>503.9</v>
      </c>
      <c r="R37" s="12">
        <v>198.27</v>
      </c>
      <c r="S37" s="12"/>
    </row>
    <row r="38">
      <c r="A38" s="12" t="s">
        <v>317</v>
      </c>
      <c r="B38" s="12">
        <v>12106.72</v>
      </c>
      <c r="C38" s="12">
        <v>716.31</v>
      </c>
      <c r="D38" s="12">
        <v>2559.69</v>
      </c>
      <c r="E38" s="12">
        <v>59.03</v>
      </c>
      <c r="F38" s="12">
        <v>89.57</v>
      </c>
      <c r="G38" s="12">
        <v>17259.7</v>
      </c>
      <c r="H38" s="12">
        <v>13954.66</v>
      </c>
      <c r="I38" s="12">
        <v>7118.3</v>
      </c>
      <c r="J38" s="12">
        <v>1121.51</v>
      </c>
      <c r="K38" s="12">
        <v>5134.31</v>
      </c>
      <c r="L38" s="12">
        <v>3113.38</v>
      </c>
      <c r="M38" s="12">
        <v>3996.58</v>
      </c>
      <c r="N38" s="12">
        <v>2090.38</v>
      </c>
      <c r="O38" s="12">
        <v>10199.63</v>
      </c>
      <c r="P38" s="12">
        <v>2331.73</v>
      </c>
      <c r="Q38" s="12">
        <v>2505.54</v>
      </c>
      <c r="R38" s="12">
        <v>1557.3</v>
      </c>
      <c r="S38" s="12"/>
    </row>
    <row r="39">
      <c r="A39" s="12" t="s">
        <v>344</v>
      </c>
      <c r="B39" s="12">
        <v>7156.52</v>
      </c>
      <c r="C39" s="12">
        <v>402.3</v>
      </c>
      <c r="D39" s="12">
        <v>1875.58</v>
      </c>
      <c r="E39" s="12">
        <v>13.1</v>
      </c>
      <c r="F39" s="12">
        <v>19.86</v>
      </c>
      <c r="G39" s="12">
        <v>7748.63</v>
      </c>
      <c r="H39" s="12">
        <v>4276.04</v>
      </c>
      <c r="I39" s="12">
        <v>2473.61</v>
      </c>
      <c r="J39" s="12">
        <v>288.48</v>
      </c>
      <c r="K39" s="12">
        <v>1667.4</v>
      </c>
      <c r="L39" s="12">
        <v>574.88</v>
      </c>
      <c r="M39" s="12">
        <v>700.09</v>
      </c>
      <c r="N39" s="12">
        <v>302.75</v>
      </c>
      <c r="O39" s="12">
        <v>4003.09</v>
      </c>
      <c r="P39" s="12">
        <v>793.74</v>
      </c>
      <c r="Q39" s="12">
        <v>752.26</v>
      </c>
      <c r="R39" s="12">
        <v>355.32</v>
      </c>
      <c r="S39" s="12"/>
    </row>
    <row r="40">
      <c r="A40" s="12" t="s">
        <v>345</v>
      </c>
      <c r="B40" s="12">
        <v>6448.35</v>
      </c>
      <c r="C40" s="12">
        <v>134330.74</v>
      </c>
      <c r="D40" s="12">
        <v>405.89</v>
      </c>
      <c r="E40" s="12">
        <v>31.57</v>
      </c>
      <c r="F40" s="12">
        <v>11.47</v>
      </c>
      <c r="G40" s="12">
        <v>10497.76</v>
      </c>
      <c r="H40" s="12">
        <v>6627.94</v>
      </c>
      <c r="I40" s="12">
        <v>2914.37</v>
      </c>
      <c r="J40" s="12">
        <v>371.48</v>
      </c>
      <c r="K40" s="12">
        <v>2540.94</v>
      </c>
      <c r="L40" s="12">
        <v>912.44</v>
      </c>
      <c r="M40" s="12">
        <v>1574.28</v>
      </c>
      <c r="N40" s="12">
        <v>621.8</v>
      </c>
      <c r="O40" s="12">
        <v>5588.96</v>
      </c>
      <c r="P40" s="12">
        <v>683.69</v>
      </c>
      <c r="Q40" s="12">
        <v>745.23</v>
      </c>
      <c r="R40" s="12">
        <v>636.06</v>
      </c>
      <c r="S40" s="12"/>
    </row>
    <row r="41">
      <c r="A41" s="12" t="s">
        <v>346</v>
      </c>
      <c r="B41" s="12">
        <v>4348.85</v>
      </c>
      <c r="C41" s="12">
        <v>303.62</v>
      </c>
      <c r="D41" s="12">
        <v>200.67</v>
      </c>
      <c r="E41" s="12">
        <v>8.36</v>
      </c>
      <c r="F41" s="12">
        <v>2.66</v>
      </c>
      <c r="G41" s="12">
        <v>5281.3</v>
      </c>
      <c r="H41" s="12">
        <v>4061.87</v>
      </c>
      <c r="I41" s="12">
        <v>2592.52</v>
      </c>
      <c r="J41" s="12">
        <v>97.63</v>
      </c>
      <c r="K41" s="12">
        <v>744.14</v>
      </c>
      <c r="L41" s="12">
        <v>211.5</v>
      </c>
      <c r="M41" s="12">
        <v>1222.32</v>
      </c>
      <c r="N41" s="12">
        <v>168.77</v>
      </c>
      <c r="O41" s="12">
        <v>5298.94</v>
      </c>
      <c r="P41" s="12">
        <v>921.06</v>
      </c>
      <c r="Q41" s="12">
        <v>734.55</v>
      </c>
      <c r="R41" s="12">
        <v>362.68</v>
      </c>
      <c r="S41" s="12"/>
    </row>
  </sheetData>
  <mergeCells count="1">
    <mergeCell ref="A1:A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2" t="s">
        <v>0</v>
      </c>
      <c r="B1" s="12" t="s">
        <v>62</v>
      </c>
    </row>
    <row r="2">
      <c r="B2" s="12" t="s">
        <v>3</v>
      </c>
      <c r="C2" s="12" t="s">
        <v>5</v>
      </c>
      <c r="D2" s="12" t="s">
        <v>7</v>
      </c>
      <c r="E2" s="12" t="s">
        <v>8</v>
      </c>
      <c r="F2" s="12" t="s">
        <v>9</v>
      </c>
      <c r="G2" s="12" t="s">
        <v>10</v>
      </c>
      <c r="H2" s="12" t="s">
        <v>11</v>
      </c>
      <c r="I2" s="12" t="s">
        <v>13</v>
      </c>
      <c r="J2" s="12" t="s">
        <v>15</v>
      </c>
      <c r="K2" s="12" t="s">
        <v>17</v>
      </c>
      <c r="L2" s="12" t="s">
        <v>19</v>
      </c>
      <c r="M2" s="12" t="s">
        <v>36</v>
      </c>
      <c r="N2" s="12" t="s">
        <v>37</v>
      </c>
      <c r="O2" s="12" t="s">
        <v>42</v>
      </c>
      <c r="P2" s="12" t="s">
        <v>45</v>
      </c>
      <c r="Q2" s="12" t="s">
        <v>49</v>
      </c>
      <c r="R2" s="12" t="s">
        <v>51</v>
      </c>
      <c r="S2" s="12"/>
      <c r="T2" s="12" t="s">
        <v>102</v>
      </c>
    </row>
    <row r="3">
      <c r="B3" s="12">
        <v>2023.0</v>
      </c>
      <c r="C3" s="12">
        <v>2023.0</v>
      </c>
      <c r="D3" s="12">
        <v>2023.0</v>
      </c>
      <c r="E3" s="12">
        <v>2023.0</v>
      </c>
      <c r="F3" s="12">
        <v>2023.0</v>
      </c>
      <c r="G3" s="12">
        <v>2023.0</v>
      </c>
      <c r="H3" s="12">
        <v>2023.0</v>
      </c>
      <c r="I3" s="12">
        <v>2023.0</v>
      </c>
      <c r="J3" s="12">
        <v>2023.0</v>
      </c>
      <c r="K3" s="12">
        <v>2023.0</v>
      </c>
      <c r="L3" s="12">
        <v>2023.0</v>
      </c>
      <c r="M3" s="12">
        <v>2023.0</v>
      </c>
      <c r="N3" s="12">
        <v>2023.0</v>
      </c>
      <c r="O3" s="12">
        <v>2023.0</v>
      </c>
      <c r="P3" s="12">
        <v>2023.0</v>
      </c>
      <c r="Q3" s="12">
        <v>2023.0</v>
      </c>
      <c r="R3" s="12">
        <v>2023.0</v>
      </c>
      <c r="S3" s="12"/>
      <c r="T3" s="12">
        <v>2023.0</v>
      </c>
      <c r="U3" s="12">
        <v>2024.0</v>
      </c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>
      <c r="B4" s="12" t="s">
        <v>73</v>
      </c>
      <c r="C4" s="12" t="s">
        <v>73</v>
      </c>
      <c r="D4" s="12" t="s">
        <v>73</v>
      </c>
      <c r="E4" s="12" t="s">
        <v>73</v>
      </c>
      <c r="F4" s="12" t="s">
        <v>73</v>
      </c>
      <c r="G4" s="12" t="s">
        <v>73</v>
      </c>
      <c r="H4" s="12" t="s">
        <v>73</v>
      </c>
      <c r="I4" s="12" t="s">
        <v>73</v>
      </c>
      <c r="J4" s="12" t="s">
        <v>73</v>
      </c>
      <c r="K4" s="12" t="s">
        <v>73</v>
      </c>
      <c r="L4" s="12" t="s">
        <v>73</v>
      </c>
      <c r="M4" s="12" t="s">
        <v>73</v>
      </c>
      <c r="N4" s="12" t="s">
        <v>73</v>
      </c>
      <c r="O4" s="12" t="s">
        <v>73</v>
      </c>
      <c r="P4" s="12" t="s">
        <v>73</v>
      </c>
      <c r="Q4" s="12" t="s">
        <v>73</v>
      </c>
      <c r="R4" s="12" t="s">
        <v>73</v>
      </c>
      <c r="S4" s="12"/>
      <c r="T4" s="12" t="s">
        <v>73</v>
      </c>
      <c r="U4" s="12" t="s">
        <v>73</v>
      </c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>
      <c r="A5" s="12" t="s">
        <v>25</v>
      </c>
      <c r="B5" s="12">
        <v>41626.32</v>
      </c>
      <c r="C5" s="12">
        <v>10330.73</v>
      </c>
      <c r="D5" s="12">
        <v>6371.28</v>
      </c>
      <c r="E5" s="12">
        <v>238.47</v>
      </c>
      <c r="F5" s="12">
        <v>58.43</v>
      </c>
      <c r="G5" s="12">
        <v>14020.44</v>
      </c>
      <c r="H5" s="12">
        <v>23258.34</v>
      </c>
      <c r="I5" s="12">
        <v>9720.94</v>
      </c>
      <c r="J5" s="12">
        <v>2219.94</v>
      </c>
      <c r="K5" s="12">
        <v>6509.1</v>
      </c>
      <c r="L5" s="12">
        <v>1874.07</v>
      </c>
      <c r="M5" s="12">
        <v>6107.45</v>
      </c>
      <c r="N5" s="12">
        <v>930.64</v>
      </c>
      <c r="O5" s="12">
        <v>12407.0</v>
      </c>
      <c r="P5" s="12">
        <v>3907.8</v>
      </c>
      <c r="Q5" s="12">
        <v>5002.72</v>
      </c>
      <c r="R5" s="12">
        <v>2348.83</v>
      </c>
      <c r="S5" s="12"/>
      <c r="T5" s="12">
        <v>146932.51</v>
      </c>
      <c r="U5" s="12">
        <v>153780.49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>
      <c r="A6" s="12" t="s">
        <v>97</v>
      </c>
      <c r="B6" s="12">
        <v>153246.71</v>
      </c>
      <c r="C6" s="12">
        <v>7510.21</v>
      </c>
      <c r="D6" s="12">
        <v>103315.91</v>
      </c>
      <c r="E6" s="12">
        <v>844.76</v>
      </c>
      <c r="F6" s="12">
        <v>583.59</v>
      </c>
      <c r="G6" s="12">
        <v>74870.64</v>
      </c>
      <c r="H6" s="12">
        <v>111126.94</v>
      </c>
      <c r="I6" s="12">
        <v>27673.81</v>
      </c>
      <c r="J6" s="12">
        <v>14054.57</v>
      </c>
      <c r="K6" s="12">
        <v>20166.73</v>
      </c>
      <c r="L6" s="12">
        <v>17543.31</v>
      </c>
      <c r="M6" s="12">
        <v>25593.95</v>
      </c>
      <c r="N6" s="12">
        <v>5466.88</v>
      </c>
      <c r="O6" s="12">
        <v>18387.96</v>
      </c>
      <c r="P6" s="12">
        <v>12903.31</v>
      </c>
      <c r="Q6" s="12">
        <v>5680.82</v>
      </c>
      <c r="R6" s="12">
        <v>3265.84</v>
      </c>
      <c r="S6" s="12"/>
      <c r="T6" s="12">
        <v>602235.95</v>
      </c>
      <c r="U6" s="12">
        <v>632534.73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>
      <c r="A7" s="12" t="s">
        <v>108</v>
      </c>
      <c r="B7" s="12">
        <v>41612.83</v>
      </c>
      <c r="C7" s="12">
        <v>7365.81</v>
      </c>
      <c r="D7" s="12">
        <v>17440.38</v>
      </c>
      <c r="E7" s="12">
        <v>188.53</v>
      </c>
      <c r="F7" s="12">
        <v>188.35</v>
      </c>
      <c r="G7" s="12">
        <v>17580.38</v>
      </c>
      <c r="H7" s="12">
        <v>31987.5</v>
      </c>
      <c r="I7" s="12">
        <v>20128.4</v>
      </c>
      <c r="J7" s="12">
        <v>2194.62</v>
      </c>
      <c r="K7" s="12">
        <v>17117.63</v>
      </c>
      <c r="L7" s="12">
        <v>5635.5</v>
      </c>
      <c r="M7" s="12">
        <v>3903.01</v>
      </c>
      <c r="N7" s="12">
        <v>854.69</v>
      </c>
      <c r="O7" s="12">
        <v>10162.41</v>
      </c>
      <c r="P7" s="12">
        <v>7888.88</v>
      </c>
      <c r="Q7" s="12">
        <v>3212.56</v>
      </c>
      <c r="R7" s="12">
        <v>3607.85</v>
      </c>
      <c r="S7" s="12"/>
      <c r="T7" s="12">
        <v>191069.34</v>
      </c>
      <c r="U7" s="12">
        <v>199419.96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>
      <c r="A8" s="12" t="s">
        <v>61</v>
      </c>
      <c r="B8" s="12">
        <v>149361.11</v>
      </c>
      <c r="C8" s="12">
        <v>80730.22</v>
      </c>
      <c r="D8" s="12">
        <v>176290.05</v>
      </c>
      <c r="E8" s="12">
        <v>447.2</v>
      </c>
      <c r="F8" s="12">
        <v>77.47</v>
      </c>
      <c r="G8" s="12">
        <v>48756.79</v>
      </c>
      <c r="H8" s="12">
        <v>55636.27</v>
      </c>
      <c r="I8" s="12">
        <v>4300.02</v>
      </c>
      <c r="J8" s="12">
        <v>2498.89</v>
      </c>
      <c r="K8" s="12">
        <v>6561.68</v>
      </c>
      <c r="L8" s="12">
        <v>5491.87</v>
      </c>
      <c r="M8" s="12">
        <v>5307.41</v>
      </c>
      <c r="N8" s="12">
        <v>27.58</v>
      </c>
      <c r="O8" s="12">
        <v>9354.72</v>
      </c>
      <c r="P8" s="12">
        <v>2881.48</v>
      </c>
      <c r="Q8" s="12">
        <v>1445.97</v>
      </c>
      <c r="R8" s="12">
        <v>2659.74</v>
      </c>
      <c r="S8" s="12"/>
      <c r="T8" s="12">
        <v>551828.49</v>
      </c>
      <c r="U8" s="12">
        <v>571233.59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>
      <c r="A9" s="12" t="s">
        <v>72</v>
      </c>
      <c r="B9" s="12">
        <v>45698.37</v>
      </c>
      <c r="C9" s="12">
        <v>38517.96</v>
      </c>
      <c r="D9" s="12">
        <v>16892.88</v>
      </c>
      <c r="E9" s="12">
        <v>108.81</v>
      </c>
      <c r="F9" s="12">
        <v>220.25</v>
      </c>
      <c r="G9" s="12">
        <v>12870.48</v>
      </c>
      <c r="H9" s="12">
        <v>17253.08</v>
      </c>
      <c r="I9" s="12">
        <v>5620.46</v>
      </c>
      <c r="J9" s="12">
        <v>2007.34</v>
      </c>
      <c r="K9" s="12">
        <v>7303.95</v>
      </c>
      <c r="L9" s="12">
        <v>3692.37</v>
      </c>
      <c r="M9" s="12">
        <v>2456.56</v>
      </c>
      <c r="N9" s="12">
        <v>2071.95</v>
      </c>
      <c r="O9" s="12">
        <v>5045.81</v>
      </c>
      <c r="P9" s="12">
        <v>5457.12</v>
      </c>
      <c r="Q9" s="12">
        <v>2261.37</v>
      </c>
      <c r="R9" s="12">
        <v>1780.29</v>
      </c>
      <c r="S9" s="12"/>
      <c r="T9" s="12">
        <v>169259.04</v>
      </c>
      <c r="U9" s="12">
        <v>176868.44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>
      <c r="A10" s="12" t="s">
        <v>140</v>
      </c>
      <c r="B10" s="12">
        <v>58154.46</v>
      </c>
      <c r="C10" s="12">
        <v>82688.48</v>
      </c>
      <c r="D10" s="12">
        <v>65761.47</v>
      </c>
      <c r="E10" s="12">
        <v>442.18</v>
      </c>
      <c r="F10" s="12">
        <v>366.02</v>
      </c>
      <c r="G10" s="12">
        <v>38455.69</v>
      </c>
      <c r="H10" s="12">
        <v>41413.67</v>
      </c>
      <c r="I10" s="12">
        <v>7166.94</v>
      </c>
      <c r="J10" s="12">
        <v>5912.06</v>
      </c>
      <c r="K10" s="12">
        <v>14892.48</v>
      </c>
      <c r="L10" s="12">
        <v>8100.35</v>
      </c>
      <c r="M10" s="12">
        <v>11860.29</v>
      </c>
      <c r="N10" s="12">
        <v>378.28</v>
      </c>
      <c r="O10" s="12">
        <v>11036.99</v>
      </c>
      <c r="P10" s="12">
        <v>9003.08</v>
      </c>
      <c r="Q10" s="12">
        <v>2499.19</v>
      </c>
      <c r="R10" s="12">
        <v>2835.79</v>
      </c>
      <c r="S10" s="12"/>
      <c r="T10" s="12">
        <v>360967.45</v>
      </c>
      <c r="U10" s="12">
        <v>379119.63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>
      <c r="A11" s="12" t="s">
        <v>89</v>
      </c>
      <c r="B11" s="12">
        <v>13981.68</v>
      </c>
      <c r="C11" s="12">
        <v>1723.28</v>
      </c>
      <c r="D11" s="12">
        <v>2915.71</v>
      </c>
      <c r="E11" s="12">
        <v>59.67</v>
      </c>
      <c r="F11" s="12">
        <v>112.18</v>
      </c>
      <c r="G11" s="12">
        <v>2368.4</v>
      </c>
      <c r="H11" s="12">
        <v>8119.54</v>
      </c>
      <c r="I11" s="12">
        <v>4548.19</v>
      </c>
      <c r="J11" s="12">
        <v>972.15</v>
      </c>
      <c r="K11" s="12">
        <v>2839.84</v>
      </c>
      <c r="L11" s="12">
        <v>1561.32</v>
      </c>
      <c r="M11" s="12">
        <v>2261.17</v>
      </c>
      <c r="N11" s="12">
        <v>1219.3</v>
      </c>
      <c r="O11" s="12">
        <v>4561.64</v>
      </c>
      <c r="P11" s="12">
        <v>3288.02</v>
      </c>
      <c r="Q11" s="12">
        <v>1054.15</v>
      </c>
      <c r="R11" s="12">
        <v>465.35</v>
      </c>
      <c r="S11" s="12"/>
      <c r="T11" s="12">
        <v>52051.6</v>
      </c>
      <c r="U11" s="12">
        <v>54454.65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>
      <c r="A12" s="12" t="s">
        <v>98</v>
      </c>
      <c r="B12" s="12">
        <v>69697.99</v>
      </c>
      <c r="C12" s="12">
        <v>12684.06</v>
      </c>
      <c r="D12" s="12">
        <v>47257.57</v>
      </c>
      <c r="E12" s="12">
        <v>434.62</v>
      </c>
      <c r="F12" s="12">
        <v>284.47</v>
      </c>
      <c r="G12" s="12">
        <v>28140.92</v>
      </c>
      <c r="H12" s="12">
        <v>38744.23</v>
      </c>
      <c r="I12" s="12">
        <v>17482.25</v>
      </c>
      <c r="J12" s="12">
        <v>4374.49</v>
      </c>
      <c r="K12" s="12">
        <v>14924.33</v>
      </c>
      <c r="L12" s="12">
        <v>5181.36</v>
      </c>
      <c r="M12" s="12">
        <v>7745.86</v>
      </c>
      <c r="N12" s="12">
        <v>414.2</v>
      </c>
      <c r="O12" s="12">
        <v>8034.21</v>
      </c>
      <c r="P12" s="12">
        <v>7849.02</v>
      </c>
      <c r="Q12" s="12">
        <v>2872.53</v>
      </c>
      <c r="R12" s="12">
        <v>3118.44</v>
      </c>
      <c r="S12" s="12"/>
      <c r="T12" s="12">
        <v>269240.54</v>
      </c>
      <c r="U12" s="12">
        <v>281557.23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>
      <c r="A13" s="12" t="s">
        <v>167</v>
      </c>
      <c r="B13" s="12">
        <v>11281.88</v>
      </c>
      <c r="C13" s="12">
        <v>6406.13</v>
      </c>
      <c r="D13" s="12">
        <v>12724.01</v>
      </c>
      <c r="E13" s="12">
        <v>60.37</v>
      </c>
      <c r="F13" s="12">
        <v>10.64</v>
      </c>
      <c r="G13" s="12">
        <v>5278.87</v>
      </c>
      <c r="H13" s="12">
        <v>8689.3</v>
      </c>
      <c r="I13" s="12">
        <v>2489.44</v>
      </c>
      <c r="J13" s="12">
        <v>1716.94</v>
      </c>
      <c r="K13" s="12">
        <v>1965.18</v>
      </c>
      <c r="L13" s="12">
        <v>1169.89</v>
      </c>
      <c r="M13" s="12">
        <v>2111.16</v>
      </c>
      <c r="N13" s="12">
        <v>151.64</v>
      </c>
      <c r="O13" s="12">
        <v>3299.53</v>
      </c>
      <c r="P13" s="12">
        <v>1600.08</v>
      </c>
      <c r="Q13" s="12">
        <v>894.45</v>
      </c>
      <c r="R13" s="12">
        <v>486.81</v>
      </c>
      <c r="S13" s="12"/>
      <c r="T13" s="12">
        <v>60336.31</v>
      </c>
      <c r="U13" s="12">
        <v>60801.88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>
      <c r="A14" s="12" t="s">
        <v>180</v>
      </c>
      <c r="B14" s="12">
        <v>5687.63</v>
      </c>
      <c r="C14" s="12">
        <v>22406.26</v>
      </c>
      <c r="D14" s="12">
        <v>81302.96</v>
      </c>
      <c r="E14" s="12">
        <v>2073.12</v>
      </c>
      <c r="F14" s="12">
        <v>248.56</v>
      </c>
      <c r="G14" s="12">
        <v>38580.25</v>
      </c>
      <c r="H14" s="12">
        <v>16385.52</v>
      </c>
      <c r="I14" s="12">
        <v>3999.01</v>
      </c>
      <c r="J14" s="12">
        <v>4494.33</v>
      </c>
      <c r="K14" s="12">
        <v>7702.88</v>
      </c>
      <c r="L14" s="12">
        <v>5470.38</v>
      </c>
      <c r="M14" s="12">
        <v>2475.66</v>
      </c>
      <c r="N14" s="12">
        <v>7.82</v>
      </c>
      <c r="O14" s="12">
        <v>4376.99</v>
      </c>
      <c r="P14" s="12">
        <v>2342.98</v>
      </c>
      <c r="Q14" s="12">
        <v>1794.92</v>
      </c>
      <c r="R14" s="12">
        <v>563.56</v>
      </c>
      <c r="S14" s="12"/>
      <c r="T14" s="12">
        <v>199912.83</v>
      </c>
      <c r="U14" s="12">
        <v>209939.07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>
      <c r="A15" s="12" t="s">
        <v>193</v>
      </c>
      <c r="B15" s="12">
        <v>1443.05</v>
      </c>
      <c r="C15" s="12">
        <v>2094.15</v>
      </c>
      <c r="D15" s="12">
        <v>232990.97</v>
      </c>
      <c r="E15" s="12">
        <v>3961.69</v>
      </c>
      <c r="F15" s="12">
        <v>826.6</v>
      </c>
      <c r="G15" s="12">
        <v>216505.24</v>
      </c>
      <c r="H15" s="12">
        <v>321661.05</v>
      </c>
      <c r="I15" s="12">
        <v>84642.25</v>
      </c>
      <c r="J15" s="12">
        <v>99983.06</v>
      </c>
      <c r="K15" s="12">
        <v>281781.27</v>
      </c>
      <c r="L15" s="12">
        <v>221859.15</v>
      </c>
      <c r="M15" s="12">
        <v>123874.01</v>
      </c>
      <c r="N15" s="12">
        <v>171012.97</v>
      </c>
      <c r="O15" s="12">
        <v>65927.42</v>
      </c>
      <c r="P15" s="12">
        <v>88808.74</v>
      </c>
      <c r="Q15" s="12">
        <v>45901.07</v>
      </c>
      <c r="R15" s="12">
        <v>87201.78</v>
      </c>
      <c r="S15" s="12"/>
      <c r="T15" s="12">
        <v>2050474.47</v>
      </c>
      <c r="U15" s="12">
        <v>2151198.76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>
      <c r="A16" s="12" t="s">
        <v>206</v>
      </c>
      <c r="B16" s="12">
        <v>113308.41</v>
      </c>
      <c r="C16" s="12">
        <v>23842.08</v>
      </c>
      <c r="D16" s="12">
        <v>715811.26</v>
      </c>
      <c r="E16" s="12">
        <v>5854.08</v>
      </c>
      <c r="F16" s="12">
        <v>1495.07</v>
      </c>
      <c r="G16" s="12">
        <v>133549.61</v>
      </c>
      <c r="H16" s="12">
        <v>240583.83</v>
      </c>
      <c r="I16" s="12">
        <v>83777.2</v>
      </c>
      <c r="J16" s="12">
        <v>46721.9</v>
      </c>
      <c r="K16" s="12">
        <v>105146.0</v>
      </c>
      <c r="L16" s="12">
        <v>40184.13</v>
      </c>
      <c r="M16" s="12">
        <v>24426.12</v>
      </c>
      <c r="N16" s="12">
        <v>7350.91</v>
      </c>
      <c r="O16" s="12">
        <v>26337.53</v>
      </c>
      <c r="P16" s="12">
        <v>48575.41</v>
      </c>
      <c r="Q16" s="12">
        <v>14189.42</v>
      </c>
      <c r="R16" s="12">
        <v>38253.41</v>
      </c>
      <c r="S16" s="12"/>
      <c r="T16" s="12">
        <v>1669406.36</v>
      </c>
      <c r="U16" s="12">
        <v>1752124.2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>
      <c r="A17" s="12" t="s">
        <v>217</v>
      </c>
      <c r="B17" s="12">
        <v>131330.54</v>
      </c>
      <c r="C17" s="12">
        <v>21232.09</v>
      </c>
      <c r="D17" s="12">
        <v>361111.03</v>
      </c>
      <c r="E17" s="12">
        <v>1297.42</v>
      </c>
      <c r="F17" s="12">
        <v>783.02</v>
      </c>
      <c r="G17" s="12">
        <v>115250.87</v>
      </c>
      <c r="H17" s="12">
        <v>161240.41</v>
      </c>
      <c r="I17" s="12">
        <v>45523.39</v>
      </c>
      <c r="J17" s="12">
        <v>42417.2</v>
      </c>
      <c r="K17" s="12">
        <v>70658.78</v>
      </c>
      <c r="L17" s="12">
        <v>28289.1</v>
      </c>
      <c r="M17" s="12">
        <v>21494.52</v>
      </c>
      <c r="N17" s="12">
        <v>4344.41</v>
      </c>
      <c r="O17" s="12">
        <v>25944.09</v>
      </c>
      <c r="P17" s="12">
        <v>41951.57</v>
      </c>
      <c r="Q17" s="12">
        <v>10274.55</v>
      </c>
      <c r="R17" s="12">
        <v>19294.49</v>
      </c>
      <c r="S17" s="12"/>
      <c r="T17" s="12">
        <v>1102437.49</v>
      </c>
      <c r="U17" s="12">
        <v>1156998.88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>
      <c r="A18" s="12" t="s">
        <v>231</v>
      </c>
      <c r="B18" s="12">
        <v>9194.04</v>
      </c>
      <c r="C18" s="12">
        <v>517.33</v>
      </c>
      <c r="D18" s="12">
        <v>13441.25</v>
      </c>
      <c r="E18" s="12">
        <v>191.26</v>
      </c>
      <c r="F18" s="12">
        <v>118.57</v>
      </c>
      <c r="G18" s="12">
        <v>11732.07</v>
      </c>
      <c r="H18" s="12">
        <v>9159.47</v>
      </c>
      <c r="I18" s="12">
        <v>5822.82</v>
      </c>
      <c r="J18" s="12">
        <v>11173.46</v>
      </c>
      <c r="K18" s="12">
        <v>17631.3</v>
      </c>
      <c r="L18" s="12">
        <v>4432.25</v>
      </c>
      <c r="M18" s="12">
        <v>8155.53</v>
      </c>
      <c r="N18" s="12">
        <v>1304.87</v>
      </c>
      <c r="O18" s="12">
        <v>7684.43</v>
      </c>
      <c r="P18" s="12">
        <v>10608.42</v>
      </c>
      <c r="Q18" s="12">
        <v>3805.74</v>
      </c>
      <c r="R18" s="12">
        <v>3652.74</v>
      </c>
      <c r="S18" s="12"/>
      <c r="T18" s="12">
        <v>118625.54</v>
      </c>
      <c r="U18" s="12">
        <v>124590.45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>
      <c r="A19" s="12" t="s">
        <v>243</v>
      </c>
      <c r="B19" s="12">
        <v>177668.37</v>
      </c>
      <c r="C19" s="12">
        <v>73057.78</v>
      </c>
      <c r="D19" s="12">
        <v>558448.65</v>
      </c>
      <c r="E19" s="12">
        <v>6282.63</v>
      </c>
      <c r="F19" s="12">
        <v>1853.34</v>
      </c>
      <c r="G19" s="12">
        <v>170190.58</v>
      </c>
      <c r="H19" s="12">
        <v>352837.67</v>
      </c>
      <c r="I19" s="12">
        <v>60314.16</v>
      </c>
      <c r="J19" s="12">
        <v>101732.19</v>
      </c>
      <c r="K19" s="12">
        <v>126994.5</v>
      </c>
      <c r="L19" s="12">
        <v>44731.09</v>
      </c>
      <c r="M19" s="12">
        <v>32469.01</v>
      </c>
      <c r="N19" s="12">
        <v>14196.94</v>
      </c>
      <c r="O19" s="12">
        <v>35054.16</v>
      </c>
      <c r="P19" s="12">
        <v>48831.68</v>
      </c>
      <c r="Q19" s="12">
        <v>13653.77</v>
      </c>
      <c r="R19" s="12">
        <v>26492.18</v>
      </c>
      <c r="S19" s="12"/>
      <c r="T19" s="12">
        <v>1844808.68</v>
      </c>
      <c r="U19" s="12">
        <v>1935810.15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>
      <c r="A20" s="12" t="s">
        <v>165</v>
      </c>
      <c r="B20" s="12">
        <v>26531.29</v>
      </c>
      <c r="C20" s="12">
        <v>1844.63</v>
      </c>
      <c r="D20" s="12">
        <v>169934.38</v>
      </c>
      <c r="E20" s="12">
        <v>4571.07</v>
      </c>
      <c r="F20" s="12">
        <v>540.24</v>
      </c>
      <c r="G20" s="12">
        <v>52701.4</v>
      </c>
      <c r="H20" s="12">
        <v>66574.78</v>
      </c>
      <c r="I20" s="12">
        <v>31433.2</v>
      </c>
      <c r="J20" s="12">
        <v>13284.07</v>
      </c>
      <c r="K20" s="12">
        <v>35734.64</v>
      </c>
      <c r="L20" s="12">
        <v>14809.91</v>
      </c>
      <c r="M20" s="12">
        <v>46072.19</v>
      </c>
      <c r="N20" s="12">
        <v>5079.95</v>
      </c>
      <c r="O20" s="12">
        <v>8284.55</v>
      </c>
      <c r="P20" s="12">
        <v>14800.59</v>
      </c>
      <c r="Q20" s="12">
        <v>7355.42</v>
      </c>
      <c r="R20" s="12">
        <v>7873.42</v>
      </c>
      <c r="S20" s="12"/>
      <c r="T20" s="12">
        <v>507425.74</v>
      </c>
      <c r="U20" s="12">
        <v>531735.25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>
      <c r="A21" s="12" t="s">
        <v>174</v>
      </c>
      <c r="B21" s="12">
        <v>21058.7</v>
      </c>
      <c r="C21" s="12">
        <v>1447.48</v>
      </c>
      <c r="D21" s="12">
        <v>10478.81</v>
      </c>
      <c r="E21" s="12">
        <v>354.56</v>
      </c>
      <c r="F21" s="12">
        <v>333.47</v>
      </c>
      <c r="G21" s="12">
        <v>16583.54</v>
      </c>
      <c r="H21" s="12">
        <v>15589.86</v>
      </c>
      <c r="I21" s="12">
        <v>10111.71</v>
      </c>
      <c r="J21" s="12">
        <v>28389.73</v>
      </c>
      <c r="K21" s="12">
        <v>12858.5</v>
      </c>
      <c r="L21" s="12">
        <v>7651.31</v>
      </c>
      <c r="M21" s="12">
        <v>7756.11</v>
      </c>
      <c r="N21" s="12">
        <v>1946.7</v>
      </c>
      <c r="O21" s="12">
        <v>8547.93</v>
      </c>
      <c r="P21" s="12">
        <v>8976.16</v>
      </c>
      <c r="Q21" s="12">
        <v>4413.77</v>
      </c>
      <c r="R21" s="12">
        <v>2965.96</v>
      </c>
      <c r="S21" s="12"/>
      <c r="T21" s="12">
        <v>159464.29</v>
      </c>
      <c r="U21" s="12">
        <v>168198.68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>
      <c r="A22" s="12" t="s">
        <v>274</v>
      </c>
      <c r="B22" s="12">
        <v>22642.74</v>
      </c>
      <c r="C22" s="12">
        <v>18218.41</v>
      </c>
      <c r="D22" s="12">
        <v>4644.52</v>
      </c>
      <c r="E22" s="12">
        <v>118.67</v>
      </c>
      <c r="F22" s="12">
        <v>80.41</v>
      </c>
      <c r="G22" s="12">
        <v>10575.41</v>
      </c>
      <c r="H22" s="12">
        <v>14737.7</v>
      </c>
      <c r="I22" s="12">
        <v>5844.35</v>
      </c>
      <c r="J22" s="12">
        <v>1556.05</v>
      </c>
      <c r="K22" s="12">
        <v>3014.95</v>
      </c>
      <c r="L22" s="12">
        <v>3818.83</v>
      </c>
      <c r="M22" s="12">
        <v>3267.52</v>
      </c>
      <c r="N22" s="12">
        <v>195.86</v>
      </c>
      <c r="O22" s="12">
        <v>5233.33</v>
      </c>
      <c r="P22" s="12">
        <v>5080.24</v>
      </c>
      <c r="Q22" s="12">
        <v>2392.52</v>
      </c>
      <c r="R22" s="12">
        <v>2484.71</v>
      </c>
      <c r="S22" s="12"/>
      <c r="T22" s="12">
        <v>103906.22</v>
      </c>
      <c r="U22" s="12">
        <v>109415.25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>
      <c r="A23" s="12" t="s">
        <v>286</v>
      </c>
      <c r="B23" s="12">
        <v>20842.3</v>
      </c>
      <c r="C23" s="12">
        <v>877.39</v>
      </c>
      <c r="D23" s="12">
        <v>944.42</v>
      </c>
      <c r="E23" s="12">
        <v>73.14</v>
      </c>
      <c r="F23" s="12">
        <v>55.84</v>
      </c>
      <c r="G23" s="12">
        <v>7834.71</v>
      </c>
      <c r="H23" s="12">
        <v>9292.59</v>
      </c>
      <c r="I23" s="12">
        <v>3559.84</v>
      </c>
      <c r="J23" s="12">
        <v>524.19</v>
      </c>
      <c r="K23" s="12">
        <v>7582.17</v>
      </c>
      <c r="L23" s="12">
        <v>3069.46</v>
      </c>
      <c r="M23" s="12">
        <v>1771.21</v>
      </c>
      <c r="N23" s="12">
        <v>100.74</v>
      </c>
      <c r="O23" s="12">
        <v>9539.65</v>
      </c>
      <c r="P23" s="12">
        <v>6015.49</v>
      </c>
      <c r="Q23" s="12">
        <v>1870.77</v>
      </c>
      <c r="R23" s="12">
        <v>1292.74</v>
      </c>
      <c r="S23" s="12"/>
      <c r="T23" s="12">
        <v>75246.65</v>
      </c>
      <c r="U23" s="12">
        <v>78161.59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>
      <c r="A24" s="12" t="s">
        <v>298</v>
      </c>
      <c r="B24" s="12">
        <v>35108.57</v>
      </c>
      <c r="C24" s="12">
        <v>7022.02</v>
      </c>
      <c r="D24" s="12">
        <v>24255.61</v>
      </c>
      <c r="E24" s="12">
        <v>196.45</v>
      </c>
      <c r="F24" s="12">
        <v>249.7</v>
      </c>
      <c r="G24" s="12">
        <v>15910.61</v>
      </c>
      <c r="H24" s="12">
        <v>23335.02</v>
      </c>
      <c r="I24" s="12">
        <v>5821.7</v>
      </c>
      <c r="J24" s="12">
        <v>3418.44</v>
      </c>
      <c r="K24" s="12">
        <v>9731.42</v>
      </c>
      <c r="L24" s="12">
        <v>5599.46</v>
      </c>
      <c r="M24" s="12">
        <v>4487.68</v>
      </c>
      <c r="N24" s="12">
        <v>763.07</v>
      </c>
      <c r="O24" s="12">
        <v>7085.23</v>
      </c>
      <c r="P24" s="12">
        <v>5888.79</v>
      </c>
      <c r="Q24" s="12">
        <v>4397.64</v>
      </c>
      <c r="R24" s="12">
        <v>1709.4</v>
      </c>
      <c r="S24" s="12"/>
      <c r="T24" s="12">
        <v>154980.81</v>
      </c>
      <c r="U24" s="12">
        <v>162574.47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>
      <c r="A25" s="12" t="s">
        <v>310</v>
      </c>
      <c r="B25" s="12">
        <v>23830.78</v>
      </c>
      <c r="C25" s="12">
        <v>15790.75</v>
      </c>
      <c r="D25" s="12">
        <v>17882.64</v>
      </c>
      <c r="E25" s="12">
        <v>122.11</v>
      </c>
      <c r="F25" s="12">
        <v>96.16</v>
      </c>
      <c r="G25" s="12">
        <v>9523.68</v>
      </c>
      <c r="H25" s="12">
        <v>13929.79</v>
      </c>
      <c r="I25" s="12">
        <v>7505.38</v>
      </c>
      <c r="J25" s="12">
        <v>1997.55</v>
      </c>
      <c r="K25" s="12">
        <v>1657.07</v>
      </c>
      <c r="L25" s="12">
        <v>3974.44</v>
      </c>
      <c r="M25" s="12">
        <v>2172.78</v>
      </c>
      <c r="N25" s="12">
        <v>40.51</v>
      </c>
      <c r="O25" s="12">
        <v>6483.42</v>
      </c>
      <c r="P25" s="12">
        <v>5119.95</v>
      </c>
      <c r="Q25" s="12">
        <v>2451.13</v>
      </c>
      <c r="R25" s="12">
        <v>1033.39</v>
      </c>
      <c r="S25" s="12"/>
      <c r="T25" s="12">
        <v>113611.53</v>
      </c>
      <c r="U25" s="12">
        <v>118682.32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>
      <c r="A26" s="12" t="s">
        <v>321</v>
      </c>
      <c r="B26" s="12">
        <v>19537.27</v>
      </c>
      <c r="C26" s="12">
        <v>36176.09</v>
      </c>
      <c r="D26" s="12">
        <v>18395.03</v>
      </c>
      <c r="E26" s="12">
        <v>199.86</v>
      </c>
      <c r="F26" s="12">
        <v>660.54</v>
      </c>
      <c r="G26" s="12">
        <v>11469.97</v>
      </c>
      <c r="H26" s="12">
        <v>14017.15</v>
      </c>
      <c r="I26" s="12">
        <v>10299.23</v>
      </c>
      <c r="J26" s="12">
        <v>3241.51</v>
      </c>
      <c r="K26" s="12">
        <v>6734.37</v>
      </c>
      <c r="L26" s="12">
        <v>4762.9</v>
      </c>
      <c r="M26" s="12">
        <v>3735.36</v>
      </c>
      <c r="N26" s="12">
        <v>966.41</v>
      </c>
      <c r="O26" s="12">
        <v>7391.99</v>
      </c>
      <c r="P26" s="12">
        <v>6656.62</v>
      </c>
      <c r="Q26" s="12">
        <v>3220.53</v>
      </c>
      <c r="R26" s="12">
        <v>1761.26</v>
      </c>
      <c r="S26" s="12"/>
      <c r="T26" s="12">
        <v>149226.1</v>
      </c>
      <c r="U26" s="12">
        <v>156769.94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>
      <c r="A27" s="12" t="s">
        <v>327</v>
      </c>
      <c r="B27" s="12">
        <v>34551.17</v>
      </c>
      <c r="C27" s="12">
        <v>248179.92</v>
      </c>
      <c r="D27" s="12">
        <v>104363.85</v>
      </c>
      <c r="E27" s="12">
        <v>391.37</v>
      </c>
      <c r="F27" s="12">
        <v>299.26</v>
      </c>
      <c r="G27" s="12">
        <v>46190.19</v>
      </c>
      <c r="H27" s="12">
        <v>32195.96</v>
      </c>
      <c r="I27" s="12">
        <v>16742.4</v>
      </c>
      <c r="J27" s="12">
        <v>4924.09</v>
      </c>
      <c r="K27" s="12">
        <v>10348.22</v>
      </c>
      <c r="L27" s="12">
        <v>8951.76</v>
      </c>
      <c r="M27" s="12">
        <v>4590.82</v>
      </c>
      <c r="N27" s="12">
        <v>1024.14</v>
      </c>
      <c r="O27" s="12">
        <v>9425.89</v>
      </c>
      <c r="P27" s="12">
        <v>8051.04</v>
      </c>
      <c r="Q27" s="12">
        <v>4321.49</v>
      </c>
      <c r="R27" s="12">
        <v>3078.44</v>
      </c>
      <c r="S27" s="12"/>
      <c r="T27" s="12">
        <v>537630.01</v>
      </c>
      <c r="U27" s="12">
        <v>570824.01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>
      <c r="A28" s="12" t="s">
        <v>328</v>
      </c>
      <c r="B28" s="12">
        <v>12229.93</v>
      </c>
      <c r="C28" s="12">
        <v>18561.42</v>
      </c>
      <c r="D28" s="12">
        <v>5879.47</v>
      </c>
      <c r="E28" s="12">
        <v>59.44</v>
      </c>
      <c r="F28" s="12">
        <v>48.7</v>
      </c>
      <c r="G28" s="12">
        <v>8351.57</v>
      </c>
      <c r="H28" s="12">
        <v>8453.7</v>
      </c>
      <c r="I28" s="12">
        <v>4457.13</v>
      </c>
      <c r="J28" s="12">
        <v>1059.04</v>
      </c>
      <c r="K28" s="12">
        <v>2414.32</v>
      </c>
      <c r="L28" s="12">
        <v>915.36</v>
      </c>
      <c r="M28" s="12">
        <v>637.72</v>
      </c>
      <c r="N28" s="12">
        <v>164.13</v>
      </c>
      <c r="O28" s="12">
        <v>3370.89</v>
      </c>
      <c r="P28" s="12">
        <v>1875.54</v>
      </c>
      <c r="Q28" s="12">
        <v>848.77</v>
      </c>
      <c r="R28" s="12">
        <v>504.39</v>
      </c>
      <c r="S28" s="12"/>
      <c r="T28" s="12">
        <v>69831.49</v>
      </c>
      <c r="U28" s="12">
        <v>73134.41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>
      <c r="A29" s="12" t="s">
        <v>330</v>
      </c>
      <c r="B29" s="12">
        <v>20036.33</v>
      </c>
      <c r="C29" s="12">
        <v>4908.46</v>
      </c>
      <c r="D29" s="12">
        <v>10948.5</v>
      </c>
      <c r="E29" s="12">
        <v>148.44</v>
      </c>
      <c r="F29" s="12">
        <v>116.97</v>
      </c>
      <c r="G29" s="12">
        <v>13413.85</v>
      </c>
      <c r="H29" s="12">
        <v>13567.49</v>
      </c>
      <c r="I29" s="12">
        <v>8648.77</v>
      </c>
      <c r="J29" s="12">
        <v>2069.51</v>
      </c>
      <c r="K29" s="12">
        <v>5473.64</v>
      </c>
      <c r="L29" s="12">
        <v>3555.51</v>
      </c>
      <c r="M29" s="12">
        <v>3527.71</v>
      </c>
      <c r="N29" s="12">
        <v>83.06</v>
      </c>
      <c r="O29" s="12">
        <v>6249.74</v>
      </c>
      <c r="P29" s="12">
        <v>2782.74</v>
      </c>
      <c r="Q29" s="12">
        <v>4729.76</v>
      </c>
      <c r="R29" s="12">
        <v>1810.0</v>
      </c>
      <c r="S29" s="12"/>
      <c r="T29" s="12">
        <v>102070.48</v>
      </c>
      <c r="U29" s="12">
        <v>107575.01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>
      <c r="A30" s="12" t="s">
        <v>332</v>
      </c>
      <c r="B30" s="12">
        <v>32224.74</v>
      </c>
      <c r="C30" s="12">
        <v>33238.02</v>
      </c>
      <c r="D30" s="12">
        <v>71086.17</v>
      </c>
      <c r="E30" s="12">
        <v>64.12</v>
      </c>
      <c r="F30" s="12">
        <v>150.56</v>
      </c>
      <c r="G30" s="12">
        <v>15308.46</v>
      </c>
      <c r="H30" s="12">
        <v>11397.68</v>
      </c>
      <c r="I30" s="12">
        <v>3930.51</v>
      </c>
      <c r="J30" s="12">
        <v>643.7</v>
      </c>
      <c r="K30" s="12">
        <v>5880.72</v>
      </c>
      <c r="L30" s="12">
        <v>2715.44</v>
      </c>
      <c r="M30" s="12">
        <v>2280.74</v>
      </c>
      <c r="N30" s="12">
        <v>296.54</v>
      </c>
      <c r="O30" s="12">
        <v>6977.39</v>
      </c>
      <c r="P30" s="12">
        <v>4164.84</v>
      </c>
      <c r="Q30" s="12">
        <v>1861.28</v>
      </c>
      <c r="R30" s="12">
        <v>960.46</v>
      </c>
      <c r="S30" s="12"/>
      <c r="T30" s="12">
        <v>193181.36</v>
      </c>
      <c r="U30" s="12">
        <v>212281.54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>
      <c r="A31" s="12" t="s">
        <v>338</v>
      </c>
      <c r="B31" s="12">
        <v>72226.3</v>
      </c>
      <c r="C31" s="12">
        <v>19639.35</v>
      </c>
      <c r="D31" s="12">
        <v>50444.82</v>
      </c>
      <c r="E31" s="12">
        <v>440.17</v>
      </c>
      <c r="F31" s="12">
        <v>449.62</v>
      </c>
      <c r="G31" s="12">
        <v>46608.53</v>
      </c>
      <c r="H31" s="12">
        <v>59195.99</v>
      </c>
      <c r="I31" s="12">
        <v>13024.23</v>
      </c>
      <c r="J31" s="12">
        <v>5499.48</v>
      </c>
      <c r="K31" s="12">
        <v>30953.15</v>
      </c>
      <c r="L31" s="12">
        <v>12061.83</v>
      </c>
      <c r="M31" s="12">
        <v>13094.38</v>
      </c>
      <c r="N31" s="12">
        <v>1796.82</v>
      </c>
      <c r="O31" s="12">
        <v>15641.08</v>
      </c>
      <c r="P31" s="12">
        <v>21329.67</v>
      </c>
      <c r="Q31" s="12">
        <v>9277.7</v>
      </c>
      <c r="R31" s="12">
        <v>5524.67</v>
      </c>
      <c r="S31" s="12"/>
      <c r="T31" s="12">
        <v>377207.78</v>
      </c>
      <c r="U31" s="12">
        <v>396141.74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>
      <c r="A32" s="12" t="s">
        <v>339</v>
      </c>
      <c r="B32" s="12">
        <v>24779.74</v>
      </c>
      <c r="C32" s="12">
        <v>20347.04</v>
      </c>
      <c r="D32" s="12">
        <v>9404.49</v>
      </c>
      <c r="E32" s="12">
        <v>57.94</v>
      </c>
      <c r="F32" s="12">
        <v>186.78</v>
      </c>
      <c r="G32" s="12">
        <v>13204.12</v>
      </c>
      <c r="H32" s="12">
        <v>14262.0</v>
      </c>
      <c r="I32" s="12">
        <v>4835.43</v>
      </c>
      <c r="J32" s="12">
        <v>616.9</v>
      </c>
      <c r="K32" s="12">
        <v>3030.33</v>
      </c>
      <c r="L32" s="12">
        <v>2515.53</v>
      </c>
      <c r="M32" s="12">
        <v>1470.77</v>
      </c>
      <c r="N32" s="12">
        <v>229.22</v>
      </c>
      <c r="O32" s="12">
        <v>5301.0</v>
      </c>
      <c r="P32" s="12">
        <v>5295.71</v>
      </c>
      <c r="Q32" s="12">
        <v>1097.38</v>
      </c>
      <c r="R32" s="12">
        <v>1518.6</v>
      </c>
      <c r="S32" s="12"/>
      <c r="T32" s="12">
        <v>108152.98</v>
      </c>
      <c r="U32" s="12">
        <v>113989.49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>
      <c r="A33" s="12" t="s">
        <v>276</v>
      </c>
      <c r="B33" s="12">
        <v>11365.5</v>
      </c>
      <c r="C33" s="12">
        <v>375.69</v>
      </c>
      <c r="D33" s="12">
        <v>1338.4</v>
      </c>
      <c r="E33" s="12">
        <v>28.95</v>
      </c>
      <c r="F33" s="12">
        <v>19.18</v>
      </c>
      <c r="G33" s="12">
        <v>3464.07</v>
      </c>
      <c r="H33" s="12">
        <v>4128.18</v>
      </c>
      <c r="I33" s="12">
        <v>1798.58</v>
      </c>
      <c r="J33" s="12">
        <v>761.86</v>
      </c>
      <c r="K33" s="12">
        <v>1140.6</v>
      </c>
      <c r="L33" s="12">
        <v>1206.46</v>
      </c>
      <c r="M33" s="12">
        <v>557.15</v>
      </c>
      <c r="N33" s="12">
        <v>26.51</v>
      </c>
      <c r="O33" s="12">
        <v>2244.67</v>
      </c>
      <c r="P33" s="12">
        <v>1474.89</v>
      </c>
      <c r="Q33" s="12">
        <v>1238.43</v>
      </c>
      <c r="R33" s="12">
        <v>474.67</v>
      </c>
      <c r="S33" s="12"/>
      <c r="T33" s="12">
        <v>31643.79</v>
      </c>
      <c r="U33" s="12">
        <v>32951.94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>
      <c r="A34" s="12" t="s">
        <v>340</v>
      </c>
      <c r="B34" s="12">
        <v>13878.49</v>
      </c>
      <c r="C34" s="12">
        <v>818.93</v>
      </c>
      <c r="D34" s="12">
        <v>4102.27</v>
      </c>
      <c r="E34" s="12">
        <v>30.85</v>
      </c>
      <c r="F34" s="12">
        <v>63.37</v>
      </c>
      <c r="G34" s="12">
        <v>2626.17</v>
      </c>
      <c r="H34" s="12">
        <v>3465.1</v>
      </c>
      <c r="I34" s="12">
        <v>591.33</v>
      </c>
      <c r="J34" s="12">
        <v>97.87</v>
      </c>
      <c r="K34" s="12">
        <v>1981.89</v>
      </c>
      <c r="L34" s="12">
        <v>735.56</v>
      </c>
      <c r="M34" s="12">
        <v>1013.75</v>
      </c>
      <c r="N34" s="12">
        <v>30.31</v>
      </c>
      <c r="O34" s="12">
        <v>2724.62</v>
      </c>
      <c r="P34" s="12">
        <v>1760.62</v>
      </c>
      <c r="Q34" s="12">
        <v>754.47</v>
      </c>
      <c r="R34" s="12">
        <v>726.89</v>
      </c>
      <c r="S34" s="12"/>
      <c r="T34" s="12">
        <v>35402.49</v>
      </c>
      <c r="U34" s="12">
        <v>37087.42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>
      <c r="A35" s="12" t="s">
        <v>293</v>
      </c>
      <c r="B35" s="12">
        <v>8276.74</v>
      </c>
      <c r="C35" s="12">
        <v>727.28</v>
      </c>
      <c r="D35" s="12">
        <v>2350.16</v>
      </c>
      <c r="E35" s="12">
        <v>38.85</v>
      </c>
      <c r="F35" s="12">
        <v>160.5</v>
      </c>
      <c r="G35" s="12">
        <v>2470.45</v>
      </c>
      <c r="H35" s="12">
        <v>5302.03</v>
      </c>
      <c r="I35" s="12">
        <v>1657.46</v>
      </c>
      <c r="J35" s="12">
        <v>532.56</v>
      </c>
      <c r="K35" s="12">
        <v>1492.65</v>
      </c>
      <c r="L35" s="12">
        <v>1374.06</v>
      </c>
      <c r="M35" s="12">
        <v>107.39</v>
      </c>
      <c r="N35" s="12">
        <v>350.91</v>
      </c>
      <c r="O35" s="12">
        <v>7019.32</v>
      </c>
      <c r="P35" s="12">
        <v>2018.48</v>
      </c>
      <c r="Q35" s="12">
        <v>856.22</v>
      </c>
      <c r="R35" s="12">
        <v>587.84</v>
      </c>
      <c r="S35" s="12"/>
      <c r="T35" s="12">
        <v>35322.9</v>
      </c>
      <c r="U35" s="12">
        <v>37210.06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>
      <c r="A36" s="12" t="s">
        <v>341</v>
      </c>
      <c r="B36" s="12">
        <v>6162.71</v>
      </c>
      <c r="C36" s="12">
        <v>9892.97</v>
      </c>
      <c r="D36" s="12">
        <v>14877.8</v>
      </c>
      <c r="E36" s="12">
        <v>38.16</v>
      </c>
      <c r="F36" s="12">
        <v>27.07</v>
      </c>
      <c r="G36" s="12">
        <v>2118.02</v>
      </c>
      <c r="H36" s="12">
        <v>5325.63</v>
      </c>
      <c r="I36" s="12">
        <v>1562.58</v>
      </c>
      <c r="J36" s="12">
        <v>130.91</v>
      </c>
      <c r="K36" s="12">
        <v>1479.92</v>
      </c>
      <c r="L36" s="12">
        <v>982.59</v>
      </c>
      <c r="M36" s="12">
        <v>34.17</v>
      </c>
      <c r="N36" s="12">
        <v>97.15</v>
      </c>
      <c r="O36" s="12">
        <v>4352.04</v>
      </c>
      <c r="P36" s="12">
        <v>937.04</v>
      </c>
      <c r="Q36" s="12">
        <v>662.34</v>
      </c>
      <c r="R36" s="12">
        <v>248.33</v>
      </c>
      <c r="S36" s="12"/>
      <c r="T36" s="12">
        <v>48929.43</v>
      </c>
      <c r="U36" s="12">
        <v>55740.95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>
      <c r="A37" s="12" t="s">
        <v>342</v>
      </c>
      <c r="B37" s="12">
        <v>6127.58</v>
      </c>
      <c r="C37" s="12">
        <v>12537.61</v>
      </c>
      <c r="D37" s="12">
        <v>21067.57</v>
      </c>
      <c r="E37" s="12">
        <v>31.25</v>
      </c>
      <c r="F37" s="12">
        <v>80.92</v>
      </c>
      <c r="G37" s="12">
        <v>6466.96</v>
      </c>
      <c r="H37" s="12">
        <v>4944.22</v>
      </c>
      <c r="I37" s="12">
        <v>1503.3</v>
      </c>
      <c r="J37" s="12">
        <v>428.29</v>
      </c>
      <c r="K37" s="12">
        <v>1483.27</v>
      </c>
      <c r="L37" s="12">
        <v>1081.44</v>
      </c>
      <c r="M37" s="12">
        <v>867.76</v>
      </c>
      <c r="N37" s="12">
        <v>74.22</v>
      </c>
      <c r="O37" s="12">
        <v>5835.96</v>
      </c>
      <c r="P37" s="12">
        <v>1635.58</v>
      </c>
      <c r="Q37" s="12">
        <v>601.1</v>
      </c>
      <c r="R37" s="12">
        <v>196.99</v>
      </c>
      <c r="S37" s="12"/>
      <c r="T37" s="12">
        <v>64964.02</v>
      </c>
      <c r="U37" s="12">
        <v>49486.23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>
      <c r="A38" s="12" t="s">
        <v>317</v>
      </c>
      <c r="B38" s="12">
        <v>17526.16</v>
      </c>
      <c r="C38" s="12">
        <v>79214.34</v>
      </c>
      <c r="D38" s="12">
        <v>2889.9</v>
      </c>
      <c r="E38" s="12">
        <v>64.46</v>
      </c>
      <c r="F38" s="12">
        <v>86.61</v>
      </c>
      <c r="G38" s="12">
        <v>20843.59</v>
      </c>
      <c r="H38" s="12">
        <v>15448.63</v>
      </c>
      <c r="I38" s="12">
        <v>6526.58</v>
      </c>
      <c r="J38" s="12">
        <v>1007.46</v>
      </c>
      <c r="K38" s="12">
        <v>6828.25</v>
      </c>
      <c r="L38" s="12">
        <v>2707.23</v>
      </c>
      <c r="M38" s="12">
        <v>4660.09</v>
      </c>
      <c r="N38" s="12">
        <v>1971.23</v>
      </c>
      <c r="O38" s="12">
        <v>14144.47</v>
      </c>
      <c r="P38" s="12">
        <v>3408.5</v>
      </c>
      <c r="Q38" s="12">
        <v>2721.74</v>
      </c>
      <c r="R38" s="12">
        <v>1877.0</v>
      </c>
      <c r="S38" s="12"/>
      <c r="T38" s="12">
        <v>181926.25</v>
      </c>
      <c r="U38" s="12">
        <v>51587.16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40">
      <c r="B40" s="12" t="s">
        <v>25</v>
      </c>
      <c r="C40" s="12" t="s">
        <v>97</v>
      </c>
      <c r="D40" s="12" t="s">
        <v>108</v>
      </c>
      <c r="E40" s="12" t="s">
        <v>61</v>
      </c>
      <c r="F40" s="12" t="s">
        <v>72</v>
      </c>
      <c r="G40" s="12" t="s">
        <v>140</v>
      </c>
      <c r="H40" s="12" t="s">
        <v>89</v>
      </c>
      <c r="I40" s="12" t="s">
        <v>98</v>
      </c>
      <c r="J40" s="12" t="s">
        <v>167</v>
      </c>
      <c r="K40" s="12" t="s">
        <v>180</v>
      </c>
      <c r="L40" s="12" t="s">
        <v>193</v>
      </c>
      <c r="M40" s="12" t="s">
        <v>206</v>
      </c>
      <c r="N40" s="12" t="s">
        <v>217</v>
      </c>
      <c r="O40" s="12" t="s">
        <v>231</v>
      </c>
      <c r="P40" s="12" t="s">
        <v>243</v>
      </c>
      <c r="Q40" s="12" t="s">
        <v>165</v>
      </c>
      <c r="R40" s="12" t="s">
        <v>174</v>
      </c>
      <c r="S40" s="12" t="s">
        <v>274</v>
      </c>
      <c r="T40" s="12" t="s">
        <v>286</v>
      </c>
      <c r="U40" s="12" t="s">
        <v>298</v>
      </c>
      <c r="V40" s="12" t="s">
        <v>310</v>
      </c>
      <c r="W40" s="12" t="s">
        <v>321</v>
      </c>
      <c r="X40" s="12" t="s">
        <v>327</v>
      </c>
      <c r="Y40" s="12" t="s">
        <v>328</v>
      </c>
      <c r="Z40" s="12" t="s">
        <v>330</v>
      </c>
      <c r="AA40" s="12" t="s">
        <v>332</v>
      </c>
      <c r="AB40" s="12" t="s">
        <v>338</v>
      </c>
      <c r="AC40" s="12" t="s">
        <v>339</v>
      </c>
      <c r="AD40" s="12" t="s">
        <v>276</v>
      </c>
      <c r="AE40" s="12" t="s">
        <v>340</v>
      </c>
      <c r="AF40" s="12" t="s">
        <v>293</v>
      </c>
      <c r="AG40" s="12" t="s">
        <v>341</v>
      </c>
      <c r="AH40" s="12" t="s">
        <v>342</v>
      </c>
      <c r="AI40" s="12" t="s">
        <v>317</v>
      </c>
    </row>
    <row r="41">
      <c r="A41" s="12" t="s">
        <v>3</v>
      </c>
      <c r="B41" s="12">
        <v>41626.32</v>
      </c>
      <c r="C41" s="12">
        <v>153246.71</v>
      </c>
      <c r="D41" s="12">
        <v>41612.83</v>
      </c>
      <c r="E41" s="12">
        <v>149361.11</v>
      </c>
      <c r="F41" s="12">
        <v>45698.37</v>
      </c>
      <c r="G41" s="12">
        <v>58154.46</v>
      </c>
      <c r="H41" s="12">
        <v>13981.68</v>
      </c>
      <c r="I41" s="12">
        <v>69697.99</v>
      </c>
      <c r="J41" s="12">
        <v>11281.88</v>
      </c>
      <c r="K41" s="12">
        <v>5687.63</v>
      </c>
      <c r="L41" s="12">
        <v>1443.05</v>
      </c>
      <c r="M41" s="12">
        <v>113308.41</v>
      </c>
      <c r="N41" s="12">
        <v>131330.54</v>
      </c>
      <c r="O41" s="12">
        <v>9194.04</v>
      </c>
      <c r="P41" s="12">
        <v>177668.37</v>
      </c>
      <c r="Q41" s="12">
        <v>26531.29</v>
      </c>
      <c r="R41" s="12">
        <v>21058.7</v>
      </c>
      <c r="S41" s="12">
        <v>22642.74</v>
      </c>
      <c r="T41" s="12">
        <v>20842.3</v>
      </c>
      <c r="U41" s="12">
        <v>35108.57</v>
      </c>
      <c r="V41" s="12">
        <v>23830.78</v>
      </c>
      <c r="W41" s="12">
        <v>19537.27</v>
      </c>
      <c r="X41" s="12">
        <v>34551.17</v>
      </c>
      <c r="Y41" s="12">
        <v>12229.93</v>
      </c>
      <c r="Z41" s="12">
        <v>20036.33</v>
      </c>
      <c r="AA41" s="12">
        <v>32224.74</v>
      </c>
      <c r="AB41" s="12">
        <v>72226.3</v>
      </c>
      <c r="AC41" s="12">
        <v>24779.74</v>
      </c>
      <c r="AD41" s="12">
        <v>11365.5</v>
      </c>
      <c r="AE41" s="12">
        <v>13878.49</v>
      </c>
      <c r="AF41" s="12">
        <v>8276.74</v>
      </c>
      <c r="AG41" s="12">
        <v>6162.71</v>
      </c>
      <c r="AH41" s="12">
        <v>6127.58</v>
      </c>
      <c r="AI41" s="12">
        <v>17526.16</v>
      </c>
    </row>
    <row r="42">
      <c r="A42" s="12" t="s">
        <v>5</v>
      </c>
      <c r="B42" s="12">
        <v>10330.73</v>
      </c>
      <c r="C42" s="12">
        <v>7510.21</v>
      </c>
      <c r="D42" s="12">
        <v>7365.81</v>
      </c>
      <c r="E42" s="12">
        <v>80730.22</v>
      </c>
      <c r="F42" s="12">
        <v>38517.96</v>
      </c>
      <c r="G42" s="12">
        <v>82688.48</v>
      </c>
      <c r="H42" s="12">
        <v>1723.28</v>
      </c>
      <c r="I42" s="12">
        <v>12684.06</v>
      </c>
      <c r="J42" s="12">
        <v>6406.13</v>
      </c>
      <c r="K42" s="12">
        <v>22406.26</v>
      </c>
      <c r="L42" s="12">
        <v>2094.15</v>
      </c>
      <c r="M42" s="12">
        <v>23842.08</v>
      </c>
      <c r="N42" s="12">
        <v>21232.09</v>
      </c>
      <c r="O42" s="12">
        <v>517.33</v>
      </c>
      <c r="P42" s="12">
        <v>73057.78</v>
      </c>
      <c r="Q42" s="12">
        <v>1844.63</v>
      </c>
      <c r="R42" s="12">
        <v>1447.48</v>
      </c>
      <c r="S42" s="12">
        <v>18218.41</v>
      </c>
      <c r="T42" s="12">
        <v>877.39</v>
      </c>
      <c r="U42" s="12">
        <v>7022.02</v>
      </c>
      <c r="V42" s="12">
        <v>15790.75</v>
      </c>
      <c r="W42" s="12">
        <v>36176.09</v>
      </c>
      <c r="X42" s="12">
        <v>248179.92</v>
      </c>
      <c r="Y42" s="12">
        <v>18561.42</v>
      </c>
      <c r="Z42" s="12">
        <v>4908.46</v>
      </c>
      <c r="AA42" s="12">
        <v>33238.02</v>
      </c>
      <c r="AB42" s="12">
        <v>19639.35</v>
      </c>
      <c r="AC42" s="12">
        <v>20347.04</v>
      </c>
      <c r="AD42" s="12">
        <v>375.69</v>
      </c>
      <c r="AE42" s="12">
        <v>818.93</v>
      </c>
      <c r="AF42" s="12">
        <v>727.28</v>
      </c>
      <c r="AG42" s="12">
        <v>9892.97</v>
      </c>
      <c r="AH42" s="12">
        <v>12537.61</v>
      </c>
      <c r="AI42" s="12">
        <v>79214.34</v>
      </c>
    </row>
    <row r="43">
      <c r="A43" s="12" t="s">
        <v>7</v>
      </c>
      <c r="B43" s="12">
        <v>6371.28</v>
      </c>
      <c r="C43" s="12">
        <v>103315.91</v>
      </c>
      <c r="D43" s="12">
        <v>17440.38</v>
      </c>
      <c r="E43" s="12">
        <v>176290.05</v>
      </c>
      <c r="F43" s="12">
        <v>16892.88</v>
      </c>
      <c r="G43" s="12">
        <v>65761.47</v>
      </c>
      <c r="H43" s="12">
        <v>2915.71</v>
      </c>
      <c r="I43" s="12">
        <v>47257.57</v>
      </c>
      <c r="J43" s="12">
        <v>12724.01</v>
      </c>
      <c r="K43" s="12">
        <v>81302.96</v>
      </c>
      <c r="L43" s="12">
        <v>232990.97</v>
      </c>
      <c r="M43" s="12">
        <v>715811.26</v>
      </c>
      <c r="N43" s="12">
        <v>361111.03</v>
      </c>
      <c r="O43" s="12">
        <v>13441.25</v>
      </c>
      <c r="P43" s="12">
        <v>558448.65</v>
      </c>
      <c r="Q43" s="12">
        <v>169934.38</v>
      </c>
      <c r="R43" s="12">
        <v>10478.81</v>
      </c>
      <c r="S43" s="12">
        <v>4644.52</v>
      </c>
      <c r="T43" s="12">
        <v>944.42</v>
      </c>
      <c r="U43" s="12">
        <v>24255.61</v>
      </c>
      <c r="V43" s="12">
        <v>17882.64</v>
      </c>
      <c r="W43" s="12">
        <v>18395.03</v>
      </c>
      <c r="X43" s="12">
        <v>104363.85</v>
      </c>
      <c r="Y43" s="12">
        <v>5879.47</v>
      </c>
      <c r="Z43" s="12">
        <v>10948.5</v>
      </c>
      <c r="AA43" s="12">
        <v>71086.17</v>
      </c>
      <c r="AB43" s="12">
        <v>50444.82</v>
      </c>
      <c r="AC43" s="12">
        <v>9404.49</v>
      </c>
      <c r="AD43" s="12">
        <v>1338.4</v>
      </c>
      <c r="AE43" s="12">
        <v>4102.27</v>
      </c>
      <c r="AF43" s="12">
        <v>2350.16</v>
      </c>
      <c r="AG43" s="12">
        <v>14877.8</v>
      </c>
      <c r="AH43" s="12">
        <v>21067.57</v>
      </c>
      <c r="AI43" s="12">
        <v>2889.9</v>
      </c>
    </row>
    <row r="44">
      <c r="A44" s="12" t="s">
        <v>8</v>
      </c>
      <c r="B44" s="12">
        <v>238.47</v>
      </c>
      <c r="C44" s="12">
        <v>844.76</v>
      </c>
      <c r="D44" s="12">
        <v>188.53</v>
      </c>
      <c r="E44" s="12">
        <v>447.2</v>
      </c>
      <c r="F44" s="12">
        <v>108.81</v>
      </c>
      <c r="G44" s="12">
        <v>442.18</v>
      </c>
      <c r="H44" s="12">
        <v>59.67</v>
      </c>
      <c r="I44" s="12">
        <v>434.62</v>
      </c>
      <c r="J44" s="12">
        <v>60.37</v>
      </c>
      <c r="K44" s="12">
        <v>2073.12</v>
      </c>
      <c r="L44" s="12">
        <v>3961.69</v>
      </c>
      <c r="M44" s="12">
        <v>5854.08</v>
      </c>
      <c r="N44" s="12">
        <v>1297.42</v>
      </c>
      <c r="O44" s="12">
        <v>191.26</v>
      </c>
      <c r="P44" s="12">
        <v>6282.63</v>
      </c>
      <c r="Q44" s="12">
        <v>4571.07</v>
      </c>
      <c r="R44" s="12">
        <v>354.56</v>
      </c>
      <c r="S44" s="12">
        <v>118.67</v>
      </c>
      <c r="T44" s="12">
        <v>73.14</v>
      </c>
      <c r="U44" s="12">
        <v>196.45</v>
      </c>
      <c r="V44" s="12">
        <v>122.11</v>
      </c>
      <c r="W44" s="12">
        <v>199.86</v>
      </c>
      <c r="X44" s="12">
        <v>391.37</v>
      </c>
      <c r="Y44" s="12">
        <v>59.44</v>
      </c>
      <c r="Z44" s="12">
        <v>148.44</v>
      </c>
      <c r="AA44" s="12">
        <v>64.12</v>
      </c>
      <c r="AB44" s="12">
        <v>440.17</v>
      </c>
      <c r="AC44" s="12">
        <v>57.94</v>
      </c>
      <c r="AD44" s="12">
        <v>28.95</v>
      </c>
      <c r="AE44" s="12">
        <v>30.85</v>
      </c>
      <c r="AF44" s="12">
        <v>38.85</v>
      </c>
      <c r="AG44" s="12">
        <v>38.16</v>
      </c>
      <c r="AH44" s="12">
        <v>31.25</v>
      </c>
      <c r="AI44" s="12">
        <v>64.46</v>
      </c>
    </row>
    <row r="45">
      <c r="A45" s="12" t="s">
        <v>9</v>
      </c>
      <c r="B45" s="12">
        <v>58.43</v>
      </c>
      <c r="C45" s="12">
        <v>583.59</v>
      </c>
      <c r="D45" s="12">
        <v>188.35</v>
      </c>
      <c r="E45" s="12">
        <v>77.47</v>
      </c>
      <c r="F45" s="12">
        <v>220.25</v>
      </c>
      <c r="G45" s="12">
        <v>366.02</v>
      </c>
      <c r="H45" s="12">
        <v>112.18</v>
      </c>
      <c r="I45" s="12">
        <v>284.47</v>
      </c>
      <c r="J45" s="12">
        <v>10.64</v>
      </c>
      <c r="K45" s="12">
        <v>248.56</v>
      </c>
      <c r="L45" s="12">
        <v>826.6</v>
      </c>
      <c r="M45" s="12">
        <v>1495.07</v>
      </c>
      <c r="N45" s="12">
        <v>783.02</v>
      </c>
      <c r="O45" s="12">
        <v>118.57</v>
      </c>
      <c r="P45" s="12">
        <v>1853.34</v>
      </c>
      <c r="Q45" s="12">
        <v>540.24</v>
      </c>
      <c r="R45" s="12">
        <v>333.47</v>
      </c>
      <c r="S45" s="12">
        <v>80.41</v>
      </c>
      <c r="T45" s="12">
        <v>55.84</v>
      </c>
      <c r="U45" s="12">
        <v>249.7</v>
      </c>
      <c r="V45" s="12">
        <v>96.16</v>
      </c>
      <c r="W45" s="12">
        <v>660.54</v>
      </c>
      <c r="X45" s="12">
        <v>299.26</v>
      </c>
      <c r="Y45" s="12">
        <v>48.7</v>
      </c>
      <c r="Z45" s="12">
        <v>116.97</v>
      </c>
      <c r="AA45" s="12">
        <v>150.56</v>
      </c>
      <c r="AB45" s="12">
        <v>449.62</v>
      </c>
      <c r="AC45" s="12">
        <v>186.78</v>
      </c>
      <c r="AD45" s="12">
        <v>19.18</v>
      </c>
      <c r="AE45" s="12">
        <v>63.37</v>
      </c>
      <c r="AF45" s="12">
        <v>160.5</v>
      </c>
      <c r="AG45" s="12">
        <v>27.07</v>
      </c>
      <c r="AH45" s="12">
        <v>80.92</v>
      </c>
      <c r="AI45" s="12">
        <v>86.61</v>
      </c>
    </row>
    <row r="46">
      <c r="A46" s="12" t="s">
        <v>10</v>
      </c>
      <c r="B46" s="12">
        <v>14020.44</v>
      </c>
      <c r="C46" s="12">
        <v>74870.64</v>
      </c>
      <c r="D46" s="12">
        <v>17580.38</v>
      </c>
      <c r="E46" s="12">
        <v>48756.79</v>
      </c>
      <c r="F46" s="12">
        <v>12870.48</v>
      </c>
      <c r="G46" s="12">
        <v>38455.69</v>
      </c>
      <c r="H46" s="12">
        <v>2368.4</v>
      </c>
      <c r="I46" s="12">
        <v>28140.92</v>
      </c>
      <c r="J46" s="12">
        <v>5278.87</v>
      </c>
      <c r="K46" s="12">
        <v>38580.25</v>
      </c>
      <c r="L46" s="12">
        <v>216505.24</v>
      </c>
      <c r="M46" s="12">
        <v>133549.61</v>
      </c>
      <c r="N46" s="12">
        <v>115250.87</v>
      </c>
      <c r="O46" s="12">
        <v>11732.07</v>
      </c>
      <c r="P46" s="12">
        <v>170190.58</v>
      </c>
      <c r="Q46" s="12">
        <v>52701.4</v>
      </c>
      <c r="R46" s="12">
        <v>16583.54</v>
      </c>
      <c r="S46" s="12">
        <v>10575.41</v>
      </c>
      <c r="T46" s="12">
        <v>7834.71</v>
      </c>
      <c r="U46" s="12">
        <v>15910.61</v>
      </c>
      <c r="V46" s="12">
        <v>9523.68</v>
      </c>
      <c r="W46" s="12">
        <v>11469.97</v>
      </c>
      <c r="X46" s="12">
        <v>46190.19</v>
      </c>
      <c r="Y46" s="12">
        <v>8351.57</v>
      </c>
      <c r="Z46" s="12">
        <v>13413.85</v>
      </c>
      <c r="AA46" s="12">
        <v>15308.46</v>
      </c>
      <c r="AB46" s="12">
        <v>46608.53</v>
      </c>
      <c r="AC46" s="12">
        <v>13204.12</v>
      </c>
      <c r="AD46" s="12">
        <v>3464.07</v>
      </c>
      <c r="AE46" s="12">
        <v>2626.17</v>
      </c>
      <c r="AF46" s="12">
        <v>2470.45</v>
      </c>
      <c r="AG46" s="12">
        <v>2118.02</v>
      </c>
      <c r="AH46" s="12">
        <v>6466.96</v>
      </c>
      <c r="AI46" s="12">
        <v>20843.59</v>
      </c>
    </row>
    <row r="47">
      <c r="A47" s="12" t="s">
        <v>11</v>
      </c>
      <c r="B47" s="12">
        <v>23258.34</v>
      </c>
      <c r="C47" s="12">
        <v>111126.94</v>
      </c>
      <c r="D47" s="12">
        <v>31987.5</v>
      </c>
      <c r="E47" s="12">
        <v>55636.27</v>
      </c>
      <c r="F47" s="12">
        <v>17253.08</v>
      </c>
      <c r="G47" s="12">
        <v>41413.67</v>
      </c>
      <c r="H47" s="12">
        <v>8119.54</v>
      </c>
      <c r="I47" s="12">
        <v>38744.23</v>
      </c>
      <c r="J47" s="12">
        <v>8689.3</v>
      </c>
      <c r="K47" s="12">
        <v>16385.52</v>
      </c>
      <c r="L47" s="12">
        <v>321661.05</v>
      </c>
      <c r="M47" s="12">
        <v>240583.83</v>
      </c>
      <c r="N47" s="12">
        <v>161240.41</v>
      </c>
      <c r="O47" s="12">
        <v>9159.47</v>
      </c>
      <c r="P47" s="12">
        <v>352837.67</v>
      </c>
      <c r="Q47" s="12">
        <v>66574.78</v>
      </c>
      <c r="R47" s="12">
        <v>15589.86</v>
      </c>
      <c r="S47" s="12">
        <v>14737.7</v>
      </c>
      <c r="T47" s="12">
        <v>9292.59</v>
      </c>
      <c r="U47" s="12">
        <v>23335.02</v>
      </c>
      <c r="V47" s="12">
        <v>13929.79</v>
      </c>
      <c r="W47" s="12">
        <v>14017.15</v>
      </c>
      <c r="X47" s="12">
        <v>32195.96</v>
      </c>
      <c r="Y47" s="12">
        <v>8453.7</v>
      </c>
      <c r="Z47" s="12">
        <v>13567.49</v>
      </c>
      <c r="AA47" s="12">
        <v>11397.68</v>
      </c>
      <c r="AB47" s="12">
        <v>59195.99</v>
      </c>
      <c r="AC47" s="12">
        <v>14262.0</v>
      </c>
      <c r="AD47" s="12">
        <v>4128.18</v>
      </c>
      <c r="AE47" s="12">
        <v>3465.1</v>
      </c>
      <c r="AF47" s="12">
        <v>5302.03</v>
      </c>
      <c r="AG47" s="12">
        <v>5325.63</v>
      </c>
      <c r="AH47" s="12">
        <v>4944.22</v>
      </c>
      <c r="AI47" s="12">
        <v>15448.63</v>
      </c>
    </row>
    <row r="48">
      <c r="A48" s="12" t="s">
        <v>13</v>
      </c>
      <c r="B48" s="12">
        <v>9720.94</v>
      </c>
      <c r="C48" s="12">
        <v>27673.81</v>
      </c>
      <c r="D48" s="12">
        <v>20128.4</v>
      </c>
      <c r="E48" s="12">
        <v>4300.02</v>
      </c>
      <c r="F48" s="12">
        <v>5620.46</v>
      </c>
      <c r="G48" s="12">
        <v>7166.94</v>
      </c>
      <c r="H48" s="12">
        <v>4548.19</v>
      </c>
      <c r="I48" s="12">
        <v>17482.25</v>
      </c>
      <c r="J48" s="12">
        <v>2489.44</v>
      </c>
      <c r="K48" s="12">
        <v>3999.01</v>
      </c>
      <c r="L48" s="12">
        <v>84642.25</v>
      </c>
      <c r="M48" s="12">
        <v>83777.2</v>
      </c>
      <c r="N48" s="12">
        <v>45523.39</v>
      </c>
      <c r="O48" s="12">
        <v>5822.82</v>
      </c>
      <c r="P48" s="12">
        <v>60314.16</v>
      </c>
      <c r="Q48" s="12">
        <v>31433.2</v>
      </c>
      <c r="R48" s="12">
        <v>10111.71</v>
      </c>
      <c r="S48" s="12">
        <v>5844.35</v>
      </c>
      <c r="T48" s="12">
        <v>3559.84</v>
      </c>
      <c r="U48" s="12">
        <v>5821.7</v>
      </c>
      <c r="V48" s="12">
        <v>7505.38</v>
      </c>
      <c r="W48" s="12">
        <v>10299.23</v>
      </c>
      <c r="X48" s="12">
        <v>16742.4</v>
      </c>
      <c r="Y48" s="12">
        <v>4457.13</v>
      </c>
      <c r="Z48" s="12">
        <v>8648.77</v>
      </c>
      <c r="AA48" s="12">
        <v>3930.51</v>
      </c>
      <c r="AB48" s="12">
        <v>13024.23</v>
      </c>
      <c r="AC48" s="12">
        <v>4835.43</v>
      </c>
      <c r="AD48" s="12">
        <v>1798.58</v>
      </c>
      <c r="AE48" s="12">
        <v>591.33</v>
      </c>
      <c r="AF48" s="12">
        <v>1657.46</v>
      </c>
      <c r="AG48" s="12">
        <v>1562.58</v>
      </c>
      <c r="AH48" s="12">
        <v>1503.3</v>
      </c>
      <c r="AI48" s="12">
        <v>6526.58</v>
      </c>
    </row>
    <row r="49">
      <c r="A49" s="12" t="s">
        <v>15</v>
      </c>
      <c r="B49" s="12">
        <v>2219.94</v>
      </c>
      <c r="C49" s="12">
        <v>14054.57</v>
      </c>
      <c r="D49" s="12">
        <v>2194.62</v>
      </c>
      <c r="E49" s="12">
        <v>2498.89</v>
      </c>
      <c r="F49" s="12">
        <v>2007.34</v>
      </c>
      <c r="G49" s="12">
        <v>5912.06</v>
      </c>
      <c r="H49" s="12">
        <v>972.15</v>
      </c>
      <c r="I49" s="12">
        <v>4374.49</v>
      </c>
      <c r="J49" s="12">
        <v>1716.94</v>
      </c>
      <c r="K49" s="12">
        <v>4494.33</v>
      </c>
      <c r="L49" s="12">
        <v>99983.06</v>
      </c>
      <c r="M49" s="12">
        <v>46721.9</v>
      </c>
      <c r="N49" s="12">
        <v>42417.2</v>
      </c>
      <c r="O49" s="12">
        <v>11173.46</v>
      </c>
      <c r="P49" s="12">
        <v>101732.19</v>
      </c>
      <c r="Q49" s="12">
        <v>13284.07</v>
      </c>
      <c r="R49" s="12">
        <v>28389.73</v>
      </c>
      <c r="S49" s="12">
        <v>1556.05</v>
      </c>
      <c r="T49" s="12">
        <v>524.19</v>
      </c>
      <c r="U49" s="12">
        <v>3418.44</v>
      </c>
      <c r="V49" s="12">
        <v>1997.55</v>
      </c>
      <c r="W49" s="12">
        <v>3241.51</v>
      </c>
      <c r="X49" s="12">
        <v>4924.09</v>
      </c>
      <c r="Y49" s="12">
        <v>1059.04</v>
      </c>
      <c r="Z49" s="12">
        <v>2069.51</v>
      </c>
      <c r="AA49" s="12">
        <v>643.7</v>
      </c>
      <c r="AB49" s="12">
        <v>5499.48</v>
      </c>
      <c r="AC49" s="12">
        <v>616.9</v>
      </c>
      <c r="AD49" s="12">
        <v>761.86</v>
      </c>
      <c r="AE49" s="12">
        <v>97.87</v>
      </c>
      <c r="AF49" s="12">
        <v>532.56</v>
      </c>
      <c r="AG49" s="12">
        <v>130.91</v>
      </c>
      <c r="AH49" s="12">
        <v>428.29</v>
      </c>
      <c r="AI49" s="12">
        <v>1007.46</v>
      </c>
    </row>
    <row r="50">
      <c r="A50" s="12" t="s">
        <v>17</v>
      </c>
      <c r="B50" s="12">
        <v>6509.1</v>
      </c>
      <c r="C50" s="12">
        <v>20166.73</v>
      </c>
      <c r="D50" s="12">
        <v>17117.63</v>
      </c>
      <c r="E50" s="12">
        <v>6561.68</v>
      </c>
      <c r="F50" s="12">
        <v>7303.95</v>
      </c>
      <c r="G50" s="12">
        <v>14892.48</v>
      </c>
      <c r="H50" s="12">
        <v>2839.84</v>
      </c>
      <c r="I50" s="12">
        <v>14924.33</v>
      </c>
      <c r="J50" s="12">
        <v>1965.18</v>
      </c>
      <c r="K50" s="12">
        <v>7702.88</v>
      </c>
      <c r="L50" s="12">
        <v>281781.27</v>
      </c>
      <c r="M50" s="12">
        <v>105146.0</v>
      </c>
      <c r="N50" s="12">
        <v>70658.78</v>
      </c>
      <c r="O50" s="12">
        <v>17631.3</v>
      </c>
      <c r="P50" s="12">
        <v>126994.5</v>
      </c>
      <c r="Q50" s="12">
        <v>35734.64</v>
      </c>
      <c r="R50" s="12">
        <v>12858.5</v>
      </c>
      <c r="S50" s="12">
        <v>3014.95</v>
      </c>
      <c r="T50" s="12">
        <v>7582.17</v>
      </c>
      <c r="U50" s="12">
        <v>9731.42</v>
      </c>
      <c r="V50" s="12">
        <v>1657.07</v>
      </c>
      <c r="W50" s="12">
        <v>6734.37</v>
      </c>
      <c r="X50" s="12">
        <v>10348.22</v>
      </c>
      <c r="Y50" s="12">
        <v>2414.32</v>
      </c>
      <c r="Z50" s="12">
        <v>5473.64</v>
      </c>
      <c r="AA50" s="12">
        <v>5880.72</v>
      </c>
      <c r="AB50" s="12">
        <v>30953.15</v>
      </c>
      <c r="AC50" s="12">
        <v>3030.33</v>
      </c>
      <c r="AD50" s="12">
        <v>1140.6</v>
      </c>
      <c r="AE50" s="12">
        <v>1981.89</v>
      </c>
      <c r="AF50" s="12">
        <v>1492.65</v>
      </c>
      <c r="AG50" s="12">
        <v>1479.92</v>
      </c>
      <c r="AH50" s="12">
        <v>1483.27</v>
      </c>
      <c r="AI50" s="12">
        <v>6828.25</v>
      </c>
    </row>
    <row r="51">
      <c r="A51" s="12" t="s">
        <v>19</v>
      </c>
      <c r="B51" s="12">
        <v>1874.07</v>
      </c>
      <c r="C51" s="12">
        <v>17543.31</v>
      </c>
      <c r="D51" s="12">
        <v>5635.5</v>
      </c>
      <c r="E51" s="12">
        <v>5491.87</v>
      </c>
      <c r="F51" s="12">
        <v>3692.37</v>
      </c>
      <c r="G51" s="12">
        <v>8100.35</v>
      </c>
      <c r="H51" s="12">
        <v>1561.32</v>
      </c>
      <c r="I51" s="12">
        <v>5181.36</v>
      </c>
      <c r="J51" s="12">
        <v>1169.89</v>
      </c>
      <c r="K51" s="12">
        <v>5470.38</v>
      </c>
      <c r="L51" s="12">
        <v>221859.15</v>
      </c>
      <c r="M51" s="12">
        <v>40184.13</v>
      </c>
      <c r="N51" s="12">
        <v>28289.1</v>
      </c>
      <c r="O51" s="12">
        <v>4432.25</v>
      </c>
      <c r="P51" s="12">
        <v>44731.09</v>
      </c>
      <c r="Q51" s="12">
        <v>14809.91</v>
      </c>
      <c r="R51" s="12">
        <v>7651.31</v>
      </c>
      <c r="S51" s="12">
        <v>3818.83</v>
      </c>
      <c r="T51" s="12">
        <v>3069.46</v>
      </c>
      <c r="U51" s="12">
        <v>5599.46</v>
      </c>
      <c r="V51" s="12">
        <v>3974.44</v>
      </c>
      <c r="W51" s="12">
        <v>4762.9</v>
      </c>
      <c r="X51" s="12">
        <v>8951.76</v>
      </c>
      <c r="Y51" s="12">
        <v>915.36</v>
      </c>
      <c r="Z51" s="12">
        <v>3555.51</v>
      </c>
      <c r="AA51" s="12">
        <v>2715.44</v>
      </c>
      <c r="AB51" s="12">
        <v>12061.83</v>
      </c>
      <c r="AC51" s="12">
        <v>2515.53</v>
      </c>
      <c r="AD51" s="12">
        <v>1206.46</v>
      </c>
      <c r="AE51" s="12">
        <v>735.56</v>
      </c>
      <c r="AF51" s="12">
        <v>1374.06</v>
      </c>
      <c r="AG51" s="12">
        <v>982.59</v>
      </c>
      <c r="AH51" s="12">
        <v>1081.44</v>
      </c>
      <c r="AI51" s="12">
        <v>2707.23</v>
      </c>
    </row>
    <row r="52">
      <c r="A52" s="12" t="s">
        <v>36</v>
      </c>
      <c r="B52" s="12">
        <v>6107.45</v>
      </c>
      <c r="C52" s="12">
        <v>25593.95</v>
      </c>
      <c r="D52" s="12">
        <v>3903.01</v>
      </c>
      <c r="E52" s="12">
        <v>5307.41</v>
      </c>
      <c r="F52" s="12">
        <v>2456.56</v>
      </c>
      <c r="G52" s="12">
        <v>11860.29</v>
      </c>
      <c r="H52" s="12">
        <v>2261.17</v>
      </c>
      <c r="I52" s="12">
        <v>7745.86</v>
      </c>
      <c r="J52" s="12">
        <v>2111.16</v>
      </c>
      <c r="K52" s="12">
        <v>2475.66</v>
      </c>
      <c r="L52" s="12">
        <v>123874.01</v>
      </c>
      <c r="M52" s="12">
        <v>24426.12</v>
      </c>
      <c r="N52" s="12">
        <v>21494.52</v>
      </c>
      <c r="O52" s="12">
        <v>8155.53</v>
      </c>
      <c r="P52" s="12">
        <v>32469.01</v>
      </c>
      <c r="Q52" s="12">
        <v>46072.19</v>
      </c>
      <c r="R52" s="12">
        <v>7756.11</v>
      </c>
      <c r="S52" s="12">
        <v>3267.52</v>
      </c>
      <c r="T52" s="12">
        <v>1771.21</v>
      </c>
      <c r="U52" s="12">
        <v>4487.68</v>
      </c>
      <c r="V52" s="12">
        <v>2172.78</v>
      </c>
      <c r="W52" s="12">
        <v>3735.36</v>
      </c>
      <c r="X52" s="12">
        <v>4590.82</v>
      </c>
      <c r="Y52" s="12">
        <v>637.72</v>
      </c>
      <c r="Z52" s="12">
        <v>3527.71</v>
      </c>
      <c r="AA52" s="12">
        <v>2280.74</v>
      </c>
      <c r="AB52" s="12">
        <v>13094.38</v>
      </c>
      <c r="AC52" s="12">
        <v>1470.77</v>
      </c>
      <c r="AD52" s="12">
        <v>557.15</v>
      </c>
      <c r="AE52" s="12">
        <v>1013.75</v>
      </c>
      <c r="AF52" s="12">
        <v>107.39</v>
      </c>
      <c r="AG52" s="12">
        <v>34.17</v>
      </c>
      <c r="AH52" s="12">
        <v>867.76</v>
      </c>
      <c r="AI52" s="12">
        <v>4660.09</v>
      </c>
    </row>
    <row r="53">
      <c r="A53" s="12" t="s">
        <v>37</v>
      </c>
      <c r="B53" s="12">
        <v>930.64</v>
      </c>
      <c r="C53" s="12">
        <v>5466.88</v>
      </c>
      <c r="D53" s="12">
        <v>854.69</v>
      </c>
      <c r="E53" s="12">
        <v>27.58</v>
      </c>
      <c r="F53" s="12">
        <v>2071.95</v>
      </c>
      <c r="G53" s="12">
        <v>378.28</v>
      </c>
      <c r="H53" s="12">
        <v>1219.3</v>
      </c>
      <c r="I53" s="12">
        <v>414.2</v>
      </c>
      <c r="J53" s="12">
        <v>151.64</v>
      </c>
      <c r="K53" s="12">
        <v>7.82</v>
      </c>
      <c r="L53" s="12">
        <v>171012.97</v>
      </c>
      <c r="M53" s="12">
        <v>7350.91</v>
      </c>
      <c r="N53" s="12">
        <v>4344.41</v>
      </c>
      <c r="O53" s="12">
        <v>1304.87</v>
      </c>
      <c r="P53" s="12">
        <v>14196.94</v>
      </c>
      <c r="Q53" s="12">
        <v>5079.95</v>
      </c>
      <c r="R53" s="12">
        <v>1946.7</v>
      </c>
      <c r="S53" s="12">
        <v>195.86</v>
      </c>
      <c r="T53" s="12">
        <v>100.74</v>
      </c>
      <c r="U53" s="12">
        <v>763.07</v>
      </c>
      <c r="V53" s="12">
        <v>40.51</v>
      </c>
      <c r="W53" s="12">
        <v>966.41</v>
      </c>
      <c r="X53" s="12">
        <v>1024.14</v>
      </c>
      <c r="Y53" s="12">
        <v>164.13</v>
      </c>
      <c r="Z53" s="12">
        <v>83.06</v>
      </c>
      <c r="AA53" s="12">
        <v>296.54</v>
      </c>
      <c r="AB53" s="12">
        <v>1796.82</v>
      </c>
      <c r="AC53" s="12">
        <v>229.22</v>
      </c>
      <c r="AD53" s="12">
        <v>26.51</v>
      </c>
      <c r="AE53" s="12">
        <v>30.31</v>
      </c>
      <c r="AF53" s="12">
        <v>350.91</v>
      </c>
      <c r="AG53" s="12">
        <v>97.15</v>
      </c>
      <c r="AH53" s="12">
        <v>74.22</v>
      </c>
      <c r="AI53" s="12">
        <v>1971.23</v>
      </c>
    </row>
    <row r="54">
      <c r="A54" s="12" t="s">
        <v>42</v>
      </c>
      <c r="B54" s="12">
        <v>12407.0</v>
      </c>
      <c r="C54" s="12">
        <v>18387.96</v>
      </c>
      <c r="D54" s="12">
        <v>10162.41</v>
      </c>
      <c r="E54" s="12">
        <v>9354.72</v>
      </c>
      <c r="F54" s="12">
        <v>5045.81</v>
      </c>
      <c r="G54" s="12">
        <v>11036.99</v>
      </c>
      <c r="H54" s="12">
        <v>4561.64</v>
      </c>
      <c r="I54" s="12">
        <v>8034.21</v>
      </c>
      <c r="J54" s="12">
        <v>3299.53</v>
      </c>
      <c r="K54" s="12">
        <v>4376.99</v>
      </c>
      <c r="L54" s="12">
        <v>65927.42</v>
      </c>
      <c r="M54" s="12">
        <v>26337.53</v>
      </c>
      <c r="N54" s="12">
        <v>25944.09</v>
      </c>
      <c r="O54" s="12">
        <v>7684.43</v>
      </c>
      <c r="P54" s="12">
        <v>35054.16</v>
      </c>
      <c r="Q54" s="12">
        <v>8284.55</v>
      </c>
      <c r="R54" s="12">
        <v>8547.93</v>
      </c>
      <c r="S54" s="12">
        <v>5233.33</v>
      </c>
      <c r="T54" s="12">
        <v>9539.65</v>
      </c>
      <c r="U54" s="12">
        <v>7085.23</v>
      </c>
      <c r="V54" s="12">
        <v>6483.42</v>
      </c>
      <c r="W54" s="12">
        <v>7391.99</v>
      </c>
      <c r="X54" s="12">
        <v>9425.89</v>
      </c>
      <c r="Y54" s="12">
        <v>3370.89</v>
      </c>
      <c r="Z54" s="12">
        <v>6249.74</v>
      </c>
      <c r="AA54" s="12">
        <v>6977.39</v>
      </c>
      <c r="AB54" s="12">
        <v>15641.08</v>
      </c>
      <c r="AC54" s="12">
        <v>5301.0</v>
      </c>
      <c r="AD54" s="12">
        <v>2244.67</v>
      </c>
      <c r="AE54" s="12">
        <v>2724.62</v>
      </c>
      <c r="AF54" s="12">
        <v>7019.32</v>
      </c>
      <c r="AG54" s="12">
        <v>4352.04</v>
      </c>
      <c r="AH54" s="12">
        <v>5835.96</v>
      </c>
      <c r="AI54" s="12">
        <v>14144.47</v>
      </c>
    </row>
    <row r="55">
      <c r="A55" s="12" t="s">
        <v>45</v>
      </c>
      <c r="B55" s="12">
        <v>3907.8</v>
      </c>
      <c r="C55" s="12">
        <v>12903.31</v>
      </c>
      <c r="D55" s="12">
        <v>7888.88</v>
      </c>
      <c r="E55" s="12">
        <v>2881.48</v>
      </c>
      <c r="F55" s="12">
        <v>5457.12</v>
      </c>
      <c r="G55" s="12">
        <v>9003.08</v>
      </c>
      <c r="H55" s="12">
        <v>3288.02</v>
      </c>
      <c r="I55" s="12">
        <v>7849.02</v>
      </c>
      <c r="J55" s="12">
        <v>1600.08</v>
      </c>
      <c r="K55" s="12">
        <v>2342.98</v>
      </c>
      <c r="L55" s="12">
        <v>88808.74</v>
      </c>
      <c r="M55" s="12">
        <v>48575.41</v>
      </c>
      <c r="N55" s="12">
        <v>41951.57</v>
      </c>
      <c r="O55" s="12">
        <v>10608.42</v>
      </c>
      <c r="P55" s="12">
        <v>48831.68</v>
      </c>
      <c r="Q55" s="12">
        <v>14800.59</v>
      </c>
      <c r="R55" s="12">
        <v>8976.16</v>
      </c>
      <c r="S55" s="12">
        <v>5080.24</v>
      </c>
      <c r="T55" s="12">
        <v>6015.49</v>
      </c>
      <c r="U55" s="12">
        <v>5888.79</v>
      </c>
      <c r="V55" s="12">
        <v>5119.95</v>
      </c>
      <c r="W55" s="12">
        <v>6656.62</v>
      </c>
      <c r="X55" s="12">
        <v>8051.04</v>
      </c>
      <c r="Y55" s="12">
        <v>1875.54</v>
      </c>
      <c r="Z55" s="12">
        <v>2782.74</v>
      </c>
      <c r="AA55" s="12">
        <v>4164.84</v>
      </c>
      <c r="AB55" s="12">
        <v>21329.67</v>
      </c>
      <c r="AC55" s="12">
        <v>5295.71</v>
      </c>
      <c r="AD55" s="12">
        <v>1474.89</v>
      </c>
      <c r="AE55" s="12">
        <v>1760.62</v>
      </c>
      <c r="AF55" s="12">
        <v>2018.48</v>
      </c>
      <c r="AG55" s="12">
        <v>937.04</v>
      </c>
      <c r="AH55" s="12">
        <v>1635.58</v>
      </c>
      <c r="AI55" s="12">
        <v>3408.5</v>
      </c>
    </row>
    <row r="56">
      <c r="A56" s="12" t="s">
        <v>49</v>
      </c>
      <c r="B56" s="12">
        <v>5002.72</v>
      </c>
      <c r="C56" s="12">
        <v>5680.82</v>
      </c>
      <c r="D56" s="12">
        <v>3212.56</v>
      </c>
      <c r="E56" s="12">
        <v>1445.97</v>
      </c>
      <c r="F56" s="12">
        <v>2261.37</v>
      </c>
      <c r="G56" s="12">
        <v>2499.19</v>
      </c>
      <c r="H56" s="12">
        <v>1054.15</v>
      </c>
      <c r="I56" s="12">
        <v>2872.53</v>
      </c>
      <c r="J56" s="12">
        <v>894.45</v>
      </c>
      <c r="K56" s="12">
        <v>1794.92</v>
      </c>
      <c r="L56" s="12">
        <v>45901.07</v>
      </c>
      <c r="M56" s="12">
        <v>14189.42</v>
      </c>
      <c r="N56" s="12">
        <v>10274.55</v>
      </c>
      <c r="O56" s="12">
        <v>3805.74</v>
      </c>
      <c r="P56" s="12">
        <v>13653.77</v>
      </c>
      <c r="Q56" s="12">
        <v>7355.42</v>
      </c>
      <c r="R56" s="12">
        <v>4413.77</v>
      </c>
      <c r="S56" s="12">
        <v>2392.52</v>
      </c>
      <c r="T56" s="12">
        <v>1870.77</v>
      </c>
      <c r="U56" s="12">
        <v>4397.64</v>
      </c>
      <c r="V56" s="12">
        <v>2451.13</v>
      </c>
      <c r="W56" s="12">
        <v>3220.53</v>
      </c>
      <c r="X56" s="12">
        <v>4321.49</v>
      </c>
      <c r="Y56" s="12">
        <v>848.77</v>
      </c>
      <c r="Z56" s="12">
        <v>4729.76</v>
      </c>
      <c r="AA56" s="12">
        <v>1861.28</v>
      </c>
      <c r="AB56" s="12">
        <v>9277.7</v>
      </c>
      <c r="AC56" s="12">
        <v>1097.38</v>
      </c>
      <c r="AD56" s="12">
        <v>1238.43</v>
      </c>
      <c r="AE56" s="12">
        <v>754.47</v>
      </c>
      <c r="AF56" s="12">
        <v>856.22</v>
      </c>
      <c r="AG56" s="12">
        <v>662.34</v>
      </c>
      <c r="AH56" s="12">
        <v>601.1</v>
      </c>
      <c r="AI56" s="12">
        <v>2721.74</v>
      </c>
    </row>
    <row r="57">
      <c r="A57" s="12" t="s">
        <v>51</v>
      </c>
      <c r="B57" s="12">
        <v>2348.83</v>
      </c>
      <c r="C57" s="12">
        <v>3265.84</v>
      </c>
      <c r="D57" s="12">
        <v>3607.85</v>
      </c>
      <c r="E57" s="12">
        <v>2659.74</v>
      </c>
      <c r="F57" s="12">
        <v>1780.29</v>
      </c>
      <c r="G57" s="12">
        <v>2835.79</v>
      </c>
      <c r="H57" s="12">
        <v>465.35</v>
      </c>
      <c r="I57" s="12">
        <v>3118.44</v>
      </c>
      <c r="J57" s="12">
        <v>486.81</v>
      </c>
      <c r="K57" s="12">
        <v>563.56</v>
      </c>
      <c r="L57" s="12">
        <v>87201.78</v>
      </c>
      <c r="M57" s="12">
        <v>38253.41</v>
      </c>
      <c r="N57" s="12">
        <v>19294.49</v>
      </c>
      <c r="O57" s="12">
        <v>3652.74</v>
      </c>
      <c r="P57" s="12">
        <v>26492.18</v>
      </c>
      <c r="Q57" s="12">
        <v>7873.42</v>
      </c>
      <c r="R57" s="12">
        <v>2965.96</v>
      </c>
      <c r="S57" s="12">
        <v>2484.71</v>
      </c>
      <c r="T57" s="12">
        <v>1292.74</v>
      </c>
      <c r="U57" s="12">
        <v>1709.4</v>
      </c>
      <c r="V57" s="12">
        <v>1033.39</v>
      </c>
      <c r="W57" s="12">
        <v>1761.26</v>
      </c>
      <c r="X57" s="12">
        <v>3078.44</v>
      </c>
      <c r="Y57" s="12">
        <v>504.39</v>
      </c>
      <c r="Z57" s="12">
        <v>1810.0</v>
      </c>
      <c r="AA57" s="12">
        <v>960.46</v>
      </c>
      <c r="AB57" s="12">
        <v>5524.67</v>
      </c>
      <c r="AC57" s="12">
        <v>1518.6</v>
      </c>
      <c r="AD57" s="12">
        <v>474.67</v>
      </c>
      <c r="AE57" s="12">
        <v>726.89</v>
      </c>
      <c r="AF57" s="12">
        <v>587.84</v>
      </c>
      <c r="AG57" s="12">
        <v>248.33</v>
      </c>
      <c r="AH57" s="12">
        <v>196.99</v>
      </c>
      <c r="AI57" s="12">
        <v>1877.0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4.25" customHeight="1">
      <c r="A1" s="26" t="s">
        <v>0</v>
      </c>
      <c r="B1" s="26" t="s">
        <v>380</v>
      </c>
    </row>
    <row r="2" ht="14.25" customHeight="1">
      <c r="B2" s="4" t="s">
        <v>3</v>
      </c>
      <c r="C2" s="4" t="s">
        <v>5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13</v>
      </c>
      <c r="J2" s="4" t="s">
        <v>15</v>
      </c>
      <c r="K2" s="4" t="s">
        <v>17</v>
      </c>
      <c r="L2" s="4" t="s">
        <v>19</v>
      </c>
      <c r="M2" s="4" t="s">
        <v>36</v>
      </c>
      <c r="N2" s="4" t="s">
        <v>37</v>
      </c>
      <c r="O2" s="4" t="s">
        <v>42</v>
      </c>
      <c r="P2" s="4" t="s">
        <v>45</v>
      </c>
      <c r="Q2" s="4" t="s">
        <v>49</v>
      </c>
      <c r="R2" s="4" t="s">
        <v>51</v>
      </c>
      <c r="S2" s="4" t="s">
        <v>102</v>
      </c>
    </row>
    <row r="3" ht="14.25" customHeight="1">
      <c r="B3" s="4">
        <v>2025.0</v>
      </c>
      <c r="C3" s="4">
        <v>2025.0</v>
      </c>
      <c r="D3" s="4">
        <v>2025.0</v>
      </c>
      <c r="E3" s="4">
        <v>2025.0</v>
      </c>
      <c r="F3" s="4">
        <v>2025.0</v>
      </c>
      <c r="G3" s="4">
        <v>2025.0</v>
      </c>
      <c r="H3" s="4">
        <v>2025.0</v>
      </c>
      <c r="I3" s="4">
        <v>2025.0</v>
      </c>
      <c r="J3" s="4">
        <v>2025.0</v>
      </c>
      <c r="K3" s="4">
        <v>2025.0</v>
      </c>
      <c r="L3" s="4">
        <v>2025.0</v>
      </c>
      <c r="M3" s="4">
        <v>2025.0</v>
      </c>
      <c r="N3" s="4">
        <v>2025.0</v>
      </c>
      <c r="O3" s="4">
        <v>2025.0</v>
      </c>
      <c r="P3" s="4">
        <v>2025.0</v>
      </c>
      <c r="Q3" s="4">
        <v>2025.0</v>
      </c>
      <c r="R3" s="4">
        <v>2025.0</v>
      </c>
      <c r="S3" s="4">
        <v>2025.0</v>
      </c>
    </row>
    <row r="4" ht="14.25" customHeight="1">
      <c r="B4" s="4" t="s">
        <v>73</v>
      </c>
      <c r="C4" s="4" t="s">
        <v>73</v>
      </c>
      <c r="D4" s="4" t="s">
        <v>73</v>
      </c>
      <c r="E4" s="4" t="s">
        <v>73</v>
      </c>
      <c r="F4" s="4" t="s">
        <v>73</v>
      </c>
      <c r="G4" s="4" t="s">
        <v>73</v>
      </c>
      <c r="H4" s="4" t="s">
        <v>73</v>
      </c>
      <c r="I4" s="4" t="s">
        <v>73</v>
      </c>
      <c r="J4" s="4" t="s">
        <v>73</v>
      </c>
      <c r="K4" s="4" t="s">
        <v>73</v>
      </c>
      <c r="L4" s="4" t="s">
        <v>73</v>
      </c>
      <c r="M4" s="4" t="s">
        <v>73</v>
      </c>
      <c r="N4" s="4" t="s">
        <v>73</v>
      </c>
      <c r="O4" s="4" t="s">
        <v>73</v>
      </c>
      <c r="P4" s="4" t="s">
        <v>73</v>
      </c>
      <c r="Q4" s="4" t="s">
        <v>73</v>
      </c>
      <c r="R4" s="4" t="s">
        <v>73</v>
      </c>
      <c r="S4" s="4" t="s">
        <v>73</v>
      </c>
    </row>
    <row r="5" ht="14.25" customHeight="1">
      <c r="A5" s="4" t="s">
        <v>25</v>
      </c>
      <c r="B5" s="4">
        <v>84294.17</v>
      </c>
      <c r="C5" s="4">
        <v>15451.55</v>
      </c>
      <c r="D5" s="4">
        <v>12261.59</v>
      </c>
      <c r="E5" s="4">
        <v>270.12</v>
      </c>
      <c r="F5" s="4">
        <v>119.79</v>
      </c>
      <c r="G5" s="4">
        <v>21158.95</v>
      </c>
      <c r="H5" s="4">
        <v>38871.32</v>
      </c>
      <c r="I5" s="4">
        <v>17930.63</v>
      </c>
      <c r="J5" s="4">
        <v>4469.33</v>
      </c>
      <c r="K5" s="4">
        <v>6782.26</v>
      </c>
      <c r="L5" s="4">
        <v>4305.05</v>
      </c>
      <c r="M5" s="4">
        <v>9265.87</v>
      </c>
      <c r="N5" s="4">
        <v>1455.25</v>
      </c>
      <c r="O5" s="4">
        <v>23037.37</v>
      </c>
      <c r="P5" s="4">
        <v>6727.65</v>
      </c>
      <c r="Q5" s="4">
        <v>7615.42</v>
      </c>
      <c r="R5" s="4">
        <v>3486.12</v>
      </c>
      <c r="S5" s="4">
        <v>257502.43</v>
      </c>
    </row>
    <row r="6" ht="14.25" customHeight="1">
      <c r="A6" s="4" t="s">
        <v>97</v>
      </c>
      <c r="B6" s="4">
        <v>313000.7</v>
      </c>
      <c r="C6" s="4">
        <v>14582.05</v>
      </c>
      <c r="D6" s="4">
        <v>227374.41</v>
      </c>
      <c r="E6" s="4">
        <v>1169.7</v>
      </c>
      <c r="F6" s="4">
        <v>1091.71</v>
      </c>
      <c r="G6" s="4">
        <v>149718.65</v>
      </c>
      <c r="H6" s="4">
        <v>234500.12</v>
      </c>
      <c r="I6" s="4">
        <v>64018.36</v>
      </c>
      <c r="J6" s="4">
        <v>27043.07</v>
      </c>
      <c r="K6" s="4">
        <v>28018.56</v>
      </c>
      <c r="L6" s="4">
        <v>33061.89</v>
      </c>
      <c r="M6" s="4">
        <v>54994.54</v>
      </c>
      <c r="N6" s="4">
        <v>13529.23</v>
      </c>
      <c r="O6" s="4">
        <v>34468.27</v>
      </c>
      <c r="P6" s="4">
        <v>20973.65</v>
      </c>
      <c r="Q6" s="4">
        <v>11909.46</v>
      </c>
      <c r="R6" s="4">
        <v>6739.2</v>
      </c>
      <c r="S6" s="4">
        <v>1236193.57</v>
      </c>
    </row>
    <row r="7" ht="14.25" customHeight="1">
      <c r="A7" s="4" t="s">
        <v>108</v>
      </c>
      <c r="B7" s="4">
        <v>77911.4</v>
      </c>
      <c r="C7" s="4">
        <v>13281.54</v>
      </c>
      <c r="D7" s="4">
        <v>30114.67</v>
      </c>
      <c r="E7" s="4">
        <v>303.68</v>
      </c>
      <c r="F7" s="4">
        <v>306.34</v>
      </c>
      <c r="G7" s="4">
        <v>33340.48</v>
      </c>
      <c r="H7" s="4">
        <v>58632.18</v>
      </c>
      <c r="I7" s="4">
        <v>37600.46</v>
      </c>
      <c r="J7" s="4">
        <v>4815.71</v>
      </c>
      <c r="K7" s="4">
        <v>23287.01</v>
      </c>
      <c r="L7" s="4">
        <v>11143.01</v>
      </c>
      <c r="M7" s="4">
        <v>7473.57</v>
      </c>
      <c r="N7" s="4">
        <v>1501.91</v>
      </c>
      <c r="O7" s="4">
        <v>22485.61</v>
      </c>
      <c r="P7" s="4">
        <v>15848.54</v>
      </c>
      <c r="Q7" s="4">
        <v>6284.11</v>
      </c>
      <c r="R7" s="4">
        <v>7859.16</v>
      </c>
      <c r="S7" s="4">
        <v>352189.4</v>
      </c>
    </row>
    <row r="8" ht="14.25" customHeight="1">
      <c r="A8" s="4" t="s">
        <v>61</v>
      </c>
      <c r="B8" s="4">
        <v>338699.89</v>
      </c>
      <c r="C8" s="4">
        <v>193370.54</v>
      </c>
      <c r="D8" s="4">
        <v>358361.54</v>
      </c>
      <c r="E8" s="4">
        <v>935.91</v>
      </c>
      <c r="F8" s="4">
        <v>119.53</v>
      </c>
      <c r="G8" s="4">
        <v>113233.81</v>
      </c>
      <c r="H8" s="4">
        <v>121825.11</v>
      </c>
      <c r="I8" s="4">
        <v>9918.53</v>
      </c>
      <c r="J8" s="4">
        <v>5818.81</v>
      </c>
      <c r="K8" s="4">
        <v>9350.87</v>
      </c>
      <c r="L8" s="4">
        <v>10610.06</v>
      </c>
      <c r="M8" s="4">
        <v>9490.8</v>
      </c>
      <c r="N8" s="4">
        <v>57.84</v>
      </c>
      <c r="O8" s="4">
        <v>15189.49</v>
      </c>
      <c r="P8" s="4">
        <v>5967.73</v>
      </c>
      <c r="Q8" s="4">
        <v>3006.15</v>
      </c>
      <c r="R8" s="4">
        <v>5427.15</v>
      </c>
      <c r="S8" s="4">
        <v>1201383.76</v>
      </c>
    </row>
    <row r="9" ht="14.25" customHeight="1">
      <c r="A9" s="4" t="s">
        <v>72</v>
      </c>
      <c r="B9" s="4">
        <v>120595.81</v>
      </c>
      <c r="C9" s="4">
        <v>48201.09</v>
      </c>
      <c r="D9" s="4">
        <v>34168.84</v>
      </c>
      <c r="E9" s="4">
        <v>257.91</v>
      </c>
      <c r="F9" s="4">
        <v>426.26</v>
      </c>
      <c r="G9" s="4">
        <v>23175.35</v>
      </c>
      <c r="H9" s="4">
        <v>47457.14</v>
      </c>
      <c r="I9" s="4">
        <v>11536.02</v>
      </c>
      <c r="J9" s="4">
        <v>3784.36</v>
      </c>
      <c r="K9" s="4">
        <v>12533.91</v>
      </c>
      <c r="L9" s="4">
        <v>7735.98</v>
      </c>
      <c r="M9" s="4">
        <v>4786.02</v>
      </c>
      <c r="N9" s="4">
        <v>5400.4</v>
      </c>
      <c r="O9" s="4">
        <v>11953.81</v>
      </c>
      <c r="P9" s="4">
        <v>10273.42</v>
      </c>
      <c r="Q9" s="4">
        <v>4078.61</v>
      </c>
      <c r="R9" s="4">
        <v>3297.66</v>
      </c>
      <c r="S9" s="4">
        <v>349662.6</v>
      </c>
    </row>
    <row r="10" ht="14.25" customHeight="1">
      <c r="A10" s="4" t="s">
        <v>140</v>
      </c>
      <c r="B10" s="4">
        <v>100297.86</v>
      </c>
      <c r="C10" s="4">
        <v>172792.41</v>
      </c>
      <c r="D10" s="4">
        <v>131323.64</v>
      </c>
      <c r="E10" s="4">
        <v>943.4</v>
      </c>
      <c r="F10" s="4">
        <v>662.19</v>
      </c>
      <c r="G10" s="4">
        <v>77338.23</v>
      </c>
      <c r="H10" s="4">
        <v>103021.33</v>
      </c>
      <c r="I10" s="4">
        <v>17781.02</v>
      </c>
      <c r="J10" s="4">
        <v>14973.47</v>
      </c>
      <c r="K10" s="4">
        <v>21122.79</v>
      </c>
      <c r="L10" s="4">
        <v>15134.57</v>
      </c>
      <c r="M10" s="4">
        <v>21772.65</v>
      </c>
      <c r="N10" s="4">
        <v>809.3</v>
      </c>
      <c r="O10" s="4">
        <v>17580.93</v>
      </c>
      <c r="P10" s="4">
        <v>15232.67</v>
      </c>
      <c r="Q10" s="4">
        <v>4479.41</v>
      </c>
      <c r="R10" s="4">
        <v>4939.35</v>
      </c>
      <c r="S10" s="4">
        <v>720205.22</v>
      </c>
    </row>
    <row r="11" ht="14.25" customHeight="1">
      <c r="A11" s="4" t="s">
        <v>89</v>
      </c>
      <c r="B11" s="4">
        <v>34388.66</v>
      </c>
      <c r="C11" s="4">
        <v>4001.86</v>
      </c>
      <c r="D11" s="4">
        <v>6086.13</v>
      </c>
      <c r="E11" s="4">
        <v>106.42</v>
      </c>
      <c r="F11" s="4">
        <v>194.45</v>
      </c>
      <c r="G11" s="4">
        <v>5295.03</v>
      </c>
      <c r="H11" s="4">
        <v>15048.49</v>
      </c>
      <c r="I11" s="4">
        <v>10391.04</v>
      </c>
      <c r="J11" s="4">
        <v>2155.04</v>
      </c>
      <c r="K11" s="4">
        <v>4511.69</v>
      </c>
      <c r="L11" s="4">
        <v>3328.24</v>
      </c>
      <c r="M11" s="4">
        <v>3604.47</v>
      </c>
      <c r="N11" s="4">
        <v>2670.03</v>
      </c>
      <c r="O11" s="4">
        <v>9563.37</v>
      </c>
      <c r="P11" s="4">
        <v>7023.79</v>
      </c>
      <c r="Q11" s="4">
        <v>2356.6</v>
      </c>
      <c r="R11" s="4">
        <v>1104.12</v>
      </c>
      <c r="S11" s="4">
        <v>111829.42</v>
      </c>
    </row>
    <row r="12" ht="14.25" customHeight="1">
      <c r="A12" s="4" t="s">
        <v>98</v>
      </c>
      <c r="B12" s="4">
        <v>140917.93</v>
      </c>
      <c r="C12" s="4">
        <v>24395.28</v>
      </c>
      <c r="D12" s="4">
        <v>100116.18</v>
      </c>
      <c r="E12" s="4">
        <v>490.73</v>
      </c>
      <c r="F12" s="4">
        <v>492.49</v>
      </c>
      <c r="G12" s="4">
        <v>48696.53</v>
      </c>
      <c r="H12" s="4">
        <v>75225.11</v>
      </c>
      <c r="I12" s="4">
        <v>39129.3</v>
      </c>
      <c r="J12" s="4">
        <v>8608.46</v>
      </c>
      <c r="K12" s="4">
        <v>19645.97</v>
      </c>
      <c r="L12" s="4">
        <v>10439.42</v>
      </c>
      <c r="M12" s="4">
        <v>13633.74</v>
      </c>
      <c r="N12" s="4">
        <v>857.01</v>
      </c>
      <c r="O12" s="4">
        <v>15782.49</v>
      </c>
      <c r="P12" s="4">
        <v>14188.04</v>
      </c>
      <c r="Q12" s="4">
        <v>5051.93</v>
      </c>
      <c r="R12" s="4">
        <v>6175.94</v>
      </c>
      <c r="S12" s="4">
        <v>523846.54</v>
      </c>
    </row>
    <row r="13" ht="14.25" customHeight="1">
      <c r="A13" s="4" t="s">
        <v>167</v>
      </c>
      <c r="B13" s="4">
        <v>24057.72</v>
      </c>
      <c r="C13" s="4">
        <v>9214.66</v>
      </c>
      <c r="D13" s="4">
        <v>24692.47</v>
      </c>
      <c r="E13" s="4">
        <v>125.73</v>
      </c>
      <c r="F13" s="4">
        <v>22.8</v>
      </c>
      <c r="G13" s="4">
        <v>9766.76</v>
      </c>
      <c r="H13" s="4">
        <v>18286.46</v>
      </c>
      <c r="I13" s="4">
        <v>5529.28</v>
      </c>
      <c r="J13" s="4">
        <v>3875.9</v>
      </c>
      <c r="K13" s="4">
        <v>2736.35</v>
      </c>
      <c r="L13" s="4">
        <v>2168.4</v>
      </c>
      <c r="M13" s="4">
        <v>3833.09</v>
      </c>
      <c r="N13" s="4">
        <v>353.53</v>
      </c>
      <c r="O13" s="4">
        <v>5875.42</v>
      </c>
      <c r="P13" s="4">
        <v>3619.8</v>
      </c>
      <c r="Q13" s="4">
        <v>1556.56</v>
      </c>
      <c r="R13" s="4">
        <v>1096.82</v>
      </c>
      <c r="S13" s="4">
        <v>116811.75</v>
      </c>
    </row>
    <row r="14" ht="14.25" customHeight="1">
      <c r="A14" s="4" t="s">
        <v>180</v>
      </c>
      <c r="B14" s="4">
        <v>11388.08</v>
      </c>
      <c r="C14" s="4">
        <v>38396.66</v>
      </c>
      <c r="D14" s="4">
        <v>158685.94</v>
      </c>
      <c r="E14" s="4">
        <v>4356.55</v>
      </c>
      <c r="F14" s="4">
        <v>388.91</v>
      </c>
      <c r="G14" s="4">
        <v>75858.34</v>
      </c>
      <c r="H14" s="4">
        <v>35965.76</v>
      </c>
      <c r="I14" s="4">
        <v>7722.55</v>
      </c>
      <c r="J14" s="4">
        <v>6979.95</v>
      </c>
      <c r="K14" s="4">
        <v>9113.73</v>
      </c>
      <c r="L14" s="4">
        <v>10228.53</v>
      </c>
      <c r="M14" s="4">
        <v>4159.73</v>
      </c>
      <c r="N14" s="4">
        <v>14.23</v>
      </c>
      <c r="O14" s="4">
        <v>8873.93</v>
      </c>
      <c r="P14" s="4">
        <v>5092.38</v>
      </c>
      <c r="Q14" s="4">
        <v>3273.05</v>
      </c>
      <c r="R14" s="4">
        <v>1231.55</v>
      </c>
      <c r="S14" s="4">
        <v>381729.88</v>
      </c>
    </row>
    <row r="15" ht="14.25" customHeight="1">
      <c r="A15" s="4" t="s">
        <v>193</v>
      </c>
      <c r="B15" s="4">
        <v>3028.75</v>
      </c>
      <c r="C15" s="4">
        <v>4876.62</v>
      </c>
      <c r="D15" s="4">
        <v>436889.54</v>
      </c>
      <c r="E15" s="4">
        <v>4935.16</v>
      </c>
      <c r="F15" s="4">
        <v>1124.37</v>
      </c>
      <c r="G15" s="4">
        <v>417302.79</v>
      </c>
      <c r="H15" s="4">
        <v>711435.33</v>
      </c>
      <c r="I15" s="4">
        <v>184887.19</v>
      </c>
      <c r="J15" s="4">
        <v>198290.57</v>
      </c>
      <c r="K15" s="4">
        <v>368511.97</v>
      </c>
      <c r="L15" s="4">
        <v>430317.09</v>
      </c>
      <c r="M15" s="4">
        <v>204230.75</v>
      </c>
      <c r="N15" s="4">
        <v>351500.9</v>
      </c>
      <c r="O15" s="4">
        <v>167793.23</v>
      </c>
      <c r="P15" s="4">
        <v>177738.84</v>
      </c>
      <c r="Q15" s="4">
        <v>88111.93</v>
      </c>
      <c r="R15" s="4">
        <v>175178.24</v>
      </c>
      <c r="S15" s="4">
        <v>3926153.3</v>
      </c>
    </row>
    <row r="16" ht="14.25" customHeight="1">
      <c r="A16" s="4" t="s">
        <v>206</v>
      </c>
      <c r="B16" s="4">
        <v>267710.27</v>
      </c>
      <c r="C16" s="4">
        <v>27600.49</v>
      </c>
      <c r="D16" s="4">
        <v>1227808.84</v>
      </c>
      <c r="E16" s="4">
        <v>12551.2</v>
      </c>
      <c r="F16" s="4">
        <v>3044.19</v>
      </c>
      <c r="G16" s="4">
        <v>253691.24</v>
      </c>
      <c r="H16" s="4">
        <v>438021.59</v>
      </c>
      <c r="I16" s="4">
        <v>200138.88</v>
      </c>
      <c r="J16" s="4">
        <v>97413.82</v>
      </c>
      <c r="K16" s="4">
        <v>117665.01</v>
      </c>
      <c r="L16" s="4">
        <v>83737.81</v>
      </c>
      <c r="M16" s="4">
        <v>35902.46</v>
      </c>
      <c r="N16" s="4">
        <v>15660.5</v>
      </c>
      <c r="O16" s="4">
        <v>52827.96</v>
      </c>
      <c r="P16" s="4">
        <v>99553.07</v>
      </c>
      <c r="Q16" s="4">
        <v>25573.7</v>
      </c>
      <c r="R16" s="4">
        <v>79766.91</v>
      </c>
      <c r="S16" s="4">
        <v>3038667.95</v>
      </c>
    </row>
    <row r="17" ht="14.25" customHeight="1">
      <c r="A17" s="4" t="s">
        <v>217</v>
      </c>
      <c r="B17" s="4">
        <v>253907.09</v>
      </c>
      <c r="C17" s="4">
        <v>40556.56</v>
      </c>
      <c r="D17" s="4">
        <v>648749.29</v>
      </c>
      <c r="E17" s="4">
        <v>1752.77</v>
      </c>
      <c r="F17" s="4">
        <v>1123.96</v>
      </c>
      <c r="G17" s="4">
        <v>222900.55</v>
      </c>
      <c r="H17" s="4">
        <v>262081.27</v>
      </c>
      <c r="I17" s="4">
        <v>80201.66</v>
      </c>
      <c r="J17" s="4">
        <v>72617.6</v>
      </c>
      <c r="K17" s="4">
        <v>83408.76</v>
      </c>
      <c r="L17" s="4">
        <v>54552.68</v>
      </c>
      <c r="M17" s="4">
        <v>31091.49</v>
      </c>
      <c r="N17" s="4">
        <v>8561.14</v>
      </c>
      <c r="O17" s="4">
        <v>45763.61</v>
      </c>
      <c r="P17" s="4">
        <v>84860.79</v>
      </c>
      <c r="Q17" s="4">
        <v>18109.07</v>
      </c>
      <c r="R17" s="4">
        <v>32949.35</v>
      </c>
      <c r="S17" s="4">
        <v>1943187.66</v>
      </c>
    </row>
    <row r="18" ht="14.25" customHeight="1">
      <c r="A18" s="4" t="s">
        <v>231</v>
      </c>
      <c r="B18" s="4">
        <v>21082.58</v>
      </c>
      <c r="C18" s="4">
        <v>791.27</v>
      </c>
      <c r="D18" s="4">
        <v>24552.34</v>
      </c>
      <c r="E18" s="4">
        <v>292.22</v>
      </c>
      <c r="F18" s="4">
        <v>174.28</v>
      </c>
      <c r="G18" s="4">
        <v>20420.61</v>
      </c>
      <c r="H18" s="4">
        <v>16761.57</v>
      </c>
      <c r="I18" s="4">
        <v>11933.75</v>
      </c>
      <c r="J18" s="4">
        <v>22713.47</v>
      </c>
      <c r="K18" s="4">
        <v>20056.23</v>
      </c>
      <c r="L18" s="4">
        <v>8561.35</v>
      </c>
      <c r="M18" s="4">
        <v>13482.51</v>
      </c>
      <c r="N18" s="4">
        <v>1993.81</v>
      </c>
      <c r="O18" s="4">
        <v>15291.5</v>
      </c>
      <c r="P18" s="4">
        <v>17051.0</v>
      </c>
      <c r="Q18" s="4">
        <v>6789.31</v>
      </c>
      <c r="R18" s="4">
        <v>6186.01</v>
      </c>
      <c r="S18" s="4">
        <v>208133.8</v>
      </c>
    </row>
    <row r="19" ht="14.25" customHeight="1">
      <c r="A19" s="4" t="s">
        <v>243</v>
      </c>
      <c r="B19" s="4">
        <v>365375.14</v>
      </c>
      <c r="C19" s="4">
        <v>113099.01</v>
      </c>
      <c r="D19" s="4">
        <v>1065685.79</v>
      </c>
      <c r="E19" s="4">
        <v>11981.83</v>
      </c>
      <c r="F19" s="4">
        <v>2763.35</v>
      </c>
      <c r="G19" s="4">
        <v>299579.06</v>
      </c>
      <c r="H19" s="4">
        <v>631235.53</v>
      </c>
      <c r="I19" s="4">
        <v>142333.91</v>
      </c>
      <c r="J19" s="4">
        <v>208494.46</v>
      </c>
      <c r="K19" s="4">
        <v>168566.56</v>
      </c>
      <c r="L19" s="4">
        <v>84295.03</v>
      </c>
      <c r="M19" s="4">
        <v>51192.48</v>
      </c>
      <c r="N19" s="4">
        <v>29409.51</v>
      </c>
      <c r="O19" s="4">
        <v>71165.83</v>
      </c>
      <c r="P19" s="4">
        <v>83169.6</v>
      </c>
      <c r="Q19" s="4">
        <v>23719.81</v>
      </c>
      <c r="R19" s="4">
        <v>51099.95</v>
      </c>
      <c r="S19" s="4">
        <v>3403166.85</v>
      </c>
    </row>
    <row r="20" ht="14.25" customHeight="1">
      <c r="A20" s="4" t="s">
        <v>165</v>
      </c>
      <c r="B20" s="4">
        <v>55984.25</v>
      </c>
      <c r="C20" s="4">
        <v>3441.02</v>
      </c>
      <c r="D20" s="4">
        <v>285314.72</v>
      </c>
      <c r="E20" s="4">
        <v>11372.92</v>
      </c>
      <c r="F20" s="4">
        <v>769.82</v>
      </c>
      <c r="G20" s="4">
        <v>110523.6</v>
      </c>
      <c r="H20" s="4">
        <v>115667.09</v>
      </c>
      <c r="I20" s="4">
        <v>103587.51</v>
      </c>
      <c r="J20" s="4">
        <v>22828.46</v>
      </c>
      <c r="K20" s="4">
        <v>34663.22</v>
      </c>
      <c r="L20" s="4">
        <v>25992.58</v>
      </c>
      <c r="M20" s="4">
        <v>73458.86</v>
      </c>
      <c r="N20" s="4">
        <v>10435.32</v>
      </c>
      <c r="O20" s="4">
        <v>20352.61</v>
      </c>
      <c r="P20" s="4">
        <v>31944.14</v>
      </c>
      <c r="Q20" s="4">
        <v>13840.12</v>
      </c>
      <c r="R20" s="4">
        <v>16027.73</v>
      </c>
      <c r="S20" s="4">
        <v>936203.98</v>
      </c>
    </row>
    <row r="21" ht="14.25" customHeight="1">
      <c r="A21" s="4" t="s">
        <v>174</v>
      </c>
      <c r="B21" s="4">
        <v>42528.78</v>
      </c>
      <c r="C21" s="4">
        <v>2652.26</v>
      </c>
      <c r="D21" s="4">
        <v>20185.05</v>
      </c>
      <c r="E21" s="4">
        <v>760.53</v>
      </c>
      <c r="F21" s="4">
        <v>483.37</v>
      </c>
      <c r="G21" s="4">
        <v>29253.4</v>
      </c>
      <c r="H21" s="4">
        <v>28450.85</v>
      </c>
      <c r="I21" s="4">
        <v>33055.66</v>
      </c>
      <c r="J21" s="4">
        <v>72199.8</v>
      </c>
      <c r="K21" s="4">
        <v>16908.04</v>
      </c>
      <c r="L21" s="4">
        <v>16104.96</v>
      </c>
      <c r="M21" s="4">
        <v>12112.52</v>
      </c>
      <c r="N21" s="4">
        <v>3819.55</v>
      </c>
      <c r="O21" s="4">
        <v>16666.18</v>
      </c>
      <c r="P21" s="4">
        <v>15509.08</v>
      </c>
      <c r="Q21" s="4">
        <v>7682.95</v>
      </c>
      <c r="R21" s="4">
        <v>5775.99</v>
      </c>
      <c r="S21" s="4">
        <v>324148.94</v>
      </c>
    </row>
    <row r="22" ht="14.25" customHeight="1">
      <c r="A22" s="4" t="s">
        <v>274</v>
      </c>
      <c r="B22" s="4">
        <v>42239.52</v>
      </c>
      <c r="C22" s="4">
        <v>31853.69</v>
      </c>
      <c r="D22" s="4">
        <v>12915.14</v>
      </c>
      <c r="E22" s="4">
        <v>173.7</v>
      </c>
      <c r="F22" s="4">
        <v>138.9</v>
      </c>
      <c r="G22" s="4">
        <v>17382.74</v>
      </c>
      <c r="H22" s="4">
        <v>28033.36</v>
      </c>
      <c r="I22" s="4">
        <v>11243.6</v>
      </c>
      <c r="J22" s="4">
        <v>3501.57</v>
      </c>
      <c r="K22" s="4">
        <v>3757.76</v>
      </c>
      <c r="L22" s="4">
        <v>7789.26</v>
      </c>
      <c r="M22" s="4">
        <v>5523.48</v>
      </c>
      <c r="N22" s="4">
        <v>343.86</v>
      </c>
      <c r="O22" s="4">
        <v>11136.65</v>
      </c>
      <c r="P22" s="4">
        <v>9075.28</v>
      </c>
      <c r="Q22" s="4">
        <v>3681.25</v>
      </c>
      <c r="R22" s="4">
        <v>4161.78</v>
      </c>
      <c r="S22" s="4">
        <v>192951.54</v>
      </c>
    </row>
    <row r="23" ht="14.25" customHeight="1">
      <c r="A23" s="4" t="s">
        <v>286</v>
      </c>
      <c r="B23" s="4">
        <v>42405.23</v>
      </c>
      <c r="C23" s="4">
        <v>1422.84</v>
      </c>
      <c r="D23" s="4">
        <v>2197.59</v>
      </c>
      <c r="E23" s="4">
        <v>136.14</v>
      </c>
      <c r="F23" s="4">
        <v>80.25</v>
      </c>
      <c r="G23" s="4">
        <v>14206.21</v>
      </c>
      <c r="H23" s="4">
        <v>20109.49</v>
      </c>
      <c r="I23" s="4">
        <v>7436.56</v>
      </c>
      <c r="J23" s="4">
        <v>1081.37</v>
      </c>
      <c r="K23" s="4">
        <v>9815.09</v>
      </c>
      <c r="L23" s="4">
        <v>6291.57</v>
      </c>
      <c r="M23" s="4">
        <v>3811.91</v>
      </c>
      <c r="N23" s="4">
        <v>221.18</v>
      </c>
      <c r="O23" s="4">
        <v>19208.54</v>
      </c>
      <c r="P23" s="4">
        <v>13447.05</v>
      </c>
      <c r="Q23" s="4">
        <v>4103.51</v>
      </c>
      <c r="R23" s="4">
        <v>2398.86</v>
      </c>
      <c r="S23" s="4">
        <v>148373.38</v>
      </c>
    </row>
    <row r="24" ht="14.25" customHeight="1">
      <c r="A24" s="4" t="s">
        <v>298</v>
      </c>
      <c r="B24" s="4">
        <v>71181.89</v>
      </c>
      <c r="C24" s="4">
        <v>21340.74</v>
      </c>
      <c r="D24" s="4">
        <v>51602.76</v>
      </c>
      <c r="E24" s="4">
        <v>415.94</v>
      </c>
      <c r="F24" s="4">
        <v>351.35</v>
      </c>
      <c r="G24" s="4">
        <v>40500.42</v>
      </c>
      <c r="H24" s="4">
        <v>46045.12</v>
      </c>
      <c r="I24" s="4">
        <v>14563.51</v>
      </c>
      <c r="J24" s="4">
        <v>6790.02</v>
      </c>
      <c r="K24" s="4">
        <v>12986.86</v>
      </c>
      <c r="L24" s="4">
        <v>10182.03</v>
      </c>
      <c r="M24" s="4">
        <v>8483.15</v>
      </c>
      <c r="N24" s="4">
        <v>1358.19</v>
      </c>
      <c r="O24" s="4">
        <v>20681.07</v>
      </c>
      <c r="P24" s="4">
        <v>11002.43</v>
      </c>
      <c r="Q24" s="4">
        <v>8425.51</v>
      </c>
      <c r="R24" s="4">
        <v>2658.51</v>
      </c>
      <c r="S24" s="4">
        <v>328569.51</v>
      </c>
    </row>
    <row r="25" ht="14.25" customHeight="1">
      <c r="A25" s="4" t="s">
        <v>310</v>
      </c>
      <c r="B25" s="4">
        <v>55264.68</v>
      </c>
      <c r="C25" s="4">
        <v>23815.12</v>
      </c>
      <c r="D25" s="4">
        <v>40017.93</v>
      </c>
      <c r="E25" s="4">
        <v>215.46</v>
      </c>
      <c r="F25" s="4">
        <v>231.78</v>
      </c>
      <c r="G25" s="4">
        <v>20270.61</v>
      </c>
      <c r="H25" s="4">
        <v>30472.4</v>
      </c>
      <c r="I25" s="4">
        <v>18239.69</v>
      </c>
      <c r="J25" s="4">
        <v>4453.55</v>
      </c>
      <c r="K25" s="4">
        <v>2434.74</v>
      </c>
      <c r="L25" s="4">
        <v>8044.57</v>
      </c>
      <c r="M25" s="4">
        <v>4784.09</v>
      </c>
      <c r="N25" s="4">
        <v>90.15</v>
      </c>
      <c r="O25" s="4">
        <v>13377.4</v>
      </c>
      <c r="P25" s="4">
        <v>11190.08</v>
      </c>
      <c r="Q25" s="4">
        <v>5864.63</v>
      </c>
      <c r="R25" s="4">
        <v>2288.83</v>
      </c>
      <c r="S25" s="4">
        <v>241055.7</v>
      </c>
    </row>
    <row r="26" ht="14.25" customHeight="1">
      <c r="A26" s="4" t="s">
        <v>321</v>
      </c>
      <c r="B26" s="4">
        <v>36459.87</v>
      </c>
      <c r="C26" s="4">
        <v>83989.48</v>
      </c>
      <c r="D26" s="4">
        <v>35441.11</v>
      </c>
      <c r="E26" s="4">
        <v>413.32</v>
      </c>
      <c r="F26" s="4">
        <v>1149.44</v>
      </c>
      <c r="G26" s="4">
        <v>21672.73</v>
      </c>
      <c r="H26" s="4">
        <v>31205.93</v>
      </c>
      <c r="I26" s="4">
        <v>22259.63</v>
      </c>
      <c r="J26" s="4">
        <v>6244.56</v>
      </c>
      <c r="K26" s="4">
        <v>10522.13</v>
      </c>
      <c r="L26" s="4">
        <v>9514.88</v>
      </c>
      <c r="M26" s="4">
        <v>6602.23</v>
      </c>
      <c r="N26" s="4">
        <v>2138.76</v>
      </c>
      <c r="O26" s="4">
        <v>14932.4</v>
      </c>
      <c r="P26" s="4">
        <v>12578.79</v>
      </c>
      <c r="Q26" s="4">
        <v>6243.95</v>
      </c>
      <c r="R26" s="4">
        <v>3757.71</v>
      </c>
      <c r="S26" s="4">
        <v>305126.93</v>
      </c>
    </row>
    <row r="27" ht="14.25" customHeight="1">
      <c r="A27" s="4" t="s">
        <v>327</v>
      </c>
      <c r="B27" s="4">
        <v>85163.03</v>
      </c>
      <c r="C27" s="4">
        <v>303915.48</v>
      </c>
      <c r="D27" s="4">
        <v>178912.37</v>
      </c>
      <c r="E27" s="4">
        <v>628.08</v>
      </c>
      <c r="F27" s="4">
        <v>522.68</v>
      </c>
      <c r="G27" s="4">
        <v>102951.62</v>
      </c>
      <c r="H27" s="4">
        <v>67750.68</v>
      </c>
      <c r="I27" s="4">
        <v>42037.53</v>
      </c>
      <c r="J27" s="4">
        <v>11137.32</v>
      </c>
      <c r="K27" s="4">
        <v>14319.84</v>
      </c>
      <c r="L27" s="4">
        <v>16672.5</v>
      </c>
      <c r="M27" s="4">
        <v>7699.72</v>
      </c>
      <c r="N27" s="4">
        <v>2147.86</v>
      </c>
      <c r="O27" s="4">
        <v>21356.03</v>
      </c>
      <c r="P27" s="4">
        <v>17245.5</v>
      </c>
      <c r="Q27" s="4">
        <v>8942.54</v>
      </c>
      <c r="R27" s="4">
        <v>7669.76</v>
      </c>
      <c r="S27" s="4">
        <v>889072.55</v>
      </c>
    </row>
    <row r="28" ht="14.25" customHeight="1">
      <c r="A28" s="4" t="s">
        <v>328</v>
      </c>
      <c r="B28" s="4">
        <v>23207.75</v>
      </c>
      <c r="C28" s="4">
        <v>41873.08</v>
      </c>
      <c r="D28" s="4">
        <v>13657.26</v>
      </c>
      <c r="E28" s="4">
        <v>90.94</v>
      </c>
      <c r="F28" s="4">
        <v>89.61</v>
      </c>
      <c r="G28" s="4">
        <v>21378.38</v>
      </c>
      <c r="H28" s="4">
        <v>21419.34</v>
      </c>
      <c r="I28" s="4">
        <v>11619.12</v>
      </c>
      <c r="J28" s="4">
        <v>2769.15</v>
      </c>
      <c r="K28" s="4">
        <v>4097.32</v>
      </c>
      <c r="L28" s="4">
        <v>1820.11</v>
      </c>
      <c r="M28" s="4">
        <v>1031.38</v>
      </c>
      <c r="N28" s="4">
        <v>310.97</v>
      </c>
      <c r="O28" s="4">
        <v>6202.26</v>
      </c>
      <c r="P28" s="4">
        <v>3755.86</v>
      </c>
      <c r="Q28" s="4">
        <v>1534.52</v>
      </c>
      <c r="R28" s="4">
        <v>1168.69</v>
      </c>
      <c r="S28" s="4">
        <v>156025.74</v>
      </c>
    </row>
    <row r="29" ht="14.25" customHeight="1">
      <c r="A29" s="4" t="s">
        <v>330</v>
      </c>
      <c r="B29" s="4">
        <v>42541.95</v>
      </c>
      <c r="C29" s="4">
        <v>10031.97</v>
      </c>
      <c r="D29" s="4">
        <v>22785.52</v>
      </c>
      <c r="E29" s="4">
        <v>199.48</v>
      </c>
      <c r="F29" s="4">
        <v>199.5</v>
      </c>
      <c r="G29" s="4">
        <v>20799.98</v>
      </c>
      <c r="H29" s="4">
        <v>27742.37</v>
      </c>
      <c r="I29" s="4">
        <v>24157.74</v>
      </c>
      <c r="J29" s="4">
        <v>3486.93</v>
      </c>
      <c r="K29" s="4">
        <v>8121.12</v>
      </c>
      <c r="L29" s="4">
        <v>6802.05</v>
      </c>
      <c r="M29" s="4">
        <v>6174.37</v>
      </c>
      <c r="N29" s="4">
        <v>186.74</v>
      </c>
      <c r="O29" s="4">
        <v>13217.72</v>
      </c>
      <c r="P29" s="4">
        <v>6217.49</v>
      </c>
      <c r="Q29" s="4">
        <v>8358.13</v>
      </c>
      <c r="R29" s="4">
        <v>3724.07</v>
      </c>
      <c r="S29" s="4">
        <v>204747.14</v>
      </c>
    </row>
    <row r="30" ht="14.25" customHeight="1">
      <c r="A30" s="4" t="s">
        <v>332</v>
      </c>
      <c r="B30" s="4">
        <v>67963.83</v>
      </c>
      <c r="C30" s="4">
        <v>63252.97</v>
      </c>
      <c r="D30" s="4">
        <v>171326.02</v>
      </c>
      <c r="E30" s="4">
        <v>79.19</v>
      </c>
      <c r="F30" s="4">
        <v>269.94</v>
      </c>
      <c r="G30" s="4">
        <v>32537.98</v>
      </c>
      <c r="H30" s="4">
        <v>23468.97</v>
      </c>
      <c r="I30" s="4">
        <v>8358.28</v>
      </c>
      <c r="J30" s="4">
        <v>1296.64</v>
      </c>
      <c r="K30" s="4">
        <v>8231.35</v>
      </c>
      <c r="L30" s="4">
        <v>5889.57</v>
      </c>
      <c r="M30" s="4">
        <v>4553.52</v>
      </c>
      <c r="N30" s="4">
        <v>594.38</v>
      </c>
      <c r="O30" s="4">
        <v>13992.52</v>
      </c>
      <c r="P30" s="4">
        <v>7977.49</v>
      </c>
      <c r="Q30" s="4">
        <v>3776.48</v>
      </c>
      <c r="R30" s="4">
        <v>1908.08</v>
      </c>
      <c r="S30" s="4">
        <v>415477.22</v>
      </c>
    </row>
    <row r="31" ht="14.25" customHeight="1">
      <c r="A31" s="4" t="s">
        <v>338</v>
      </c>
      <c r="B31" s="4">
        <v>173302.83</v>
      </c>
      <c r="C31" s="4">
        <v>32336.28</v>
      </c>
      <c r="D31" s="4">
        <v>97194.25</v>
      </c>
      <c r="E31" s="4">
        <v>522.63</v>
      </c>
      <c r="F31" s="4">
        <v>666.19</v>
      </c>
      <c r="G31" s="4">
        <v>98573.67</v>
      </c>
      <c r="H31" s="4">
        <v>110037.29</v>
      </c>
      <c r="I31" s="4">
        <v>33454.22</v>
      </c>
      <c r="J31" s="4">
        <v>10389.99</v>
      </c>
      <c r="K31" s="4">
        <v>41100.86</v>
      </c>
      <c r="L31" s="4">
        <v>27799.25</v>
      </c>
      <c r="M31" s="4">
        <v>26265.99</v>
      </c>
      <c r="N31" s="4">
        <v>3778.14</v>
      </c>
      <c r="O31" s="4">
        <v>29037.25</v>
      </c>
      <c r="P31" s="4">
        <v>37004.15</v>
      </c>
      <c r="Q31" s="4">
        <v>19600.92</v>
      </c>
      <c r="R31" s="4">
        <v>12013.23</v>
      </c>
      <c r="S31" s="4">
        <v>753077.16</v>
      </c>
    </row>
    <row r="32" ht="14.25" customHeight="1">
      <c r="A32" s="4" t="s">
        <v>339</v>
      </c>
      <c r="B32" s="4">
        <v>48601.12</v>
      </c>
      <c r="C32" s="4">
        <v>41887.66</v>
      </c>
      <c r="D32" s="4">
        <v>21106.65</v>
      </c>
      <c r="E32" s="4">
        <v>75.08</v>
      </c>
      <c r="F32" s="4">
        <v>274.12</v>
      </c>
      <c r="G32" s="4">
        <v>23911.82</v>
      </c>
      <c r="H32" s="4">
        <v>26149.19</v>
      </c>
      <c r="I32" s="4">
        <v>8980.18</v>
      </c>
      <c r="J32" s="4">
        <v>1104.01</v>
      </c>
      <c r="K32" s="4">
        <v>3246.7</v>
      </c>
      <c r="L32" s="4">
        <v>4572.41</v>
      </c>
      <c r="M32" s="4">
        <v>2196.08</v>
      </c>
      <c r="N32" s="4">
        <v>397.02</v>
      </c>
      <c r="O32" s="4">
        <v>8878.66</v>
      </c>
      <c r="P32" s="4">
        <v>9002.32</v>
      </c>
      <c r="Q32" s="4">
        <v>1680.2</v>
      </c>
      <c r="R32" s="4">
        <v>2270.34</v>
      </c>
      <c r="S32" s="4">
        <v>204333.57</v>
      </c>
    </row>
    <row r="33" ht="14.25" customHeight="1">
      <c r="A33" s="4" t="s">
        <v>276</v>
      </c>
      <c r="B33" s="4">
        <v>21713.34</v>
      </c>
      <c r="C33" s="4">
        <v>723.65</v>
      </c>
      <c r="D33" s="4">
        <v>2883.4</v>
      </c>
      <c r="E33" s="4">
        <v>27.75</v>
      </c>
      <c r="F33" s="4">
        <v>32.71</v>
      </c>
      <c r="G33" s="4">
        <v>6613.55</v>
      </c>
      <c r="H33" s="4">
        <v>8655.71</v>
      </c>
      <c r="I33" s="4">
        <v>3650.07</v>
      </c>
      <c r="J33" s="4">
        <v>1350.79</v>
      </c>
      <c r="K33" s="4">
        <v>1543.43</v>
      </c>
      <c r="L33" s="4">
        <v>2330.64</v>
      </c>
      <c r="M33" s="4">
        <v>948.69</v>
      </c>
      <c r="N33" s="4">
        <v>45.76</v>
      </c>
      <c r="O33" s="4">
        <v>3192.63</v>
      </c>
      <c r="P33" s="4">
        <v>2368.47</v>
      </c>
      <c r="Q33" s="4">
        <v>2171.76</v>
      </c>
      <c r="R33" s="4">
        <v>725.16</v>
      </c>
      <c r="S33" s="4">
        <v>58977.51</v>
      </c>
    </row>
    <row r="34" ht="14.25" customHeight="1">
      <c r="A34" s="4" t="s">
        <v>340</v>
      </c>
      <c r="B34" s="4">
        <v>33963.37</v>
      </c>
      <c r="C34" s="4">
        <v>1495.67</v>
      </c>
      <c r="D34" s="4">
        <v>8217.67</v>
      </c>
      <c r="E34" s="4">
        <v>27.43</v>
      </c>
      <c r="F34" s="4">
        <v>80.3</v>
      </c>
      <c r="G34" s="4">
        <v>4357.76</v>
      </c>
      <c r="H34" s="4">
        <v>6707.47</v>
      </c>
      <c r="I34" s="4">
        <v>1022.4</v>
      </c>
      <c r="J34" s="4">
        <v>175.29</v>
      </c>
      <c r="K34" s="4">
        <v>2576.1</v>
      </c>
      <c r="L34" s="4">
        <v>1448.86</v>
      </c>
      <c r="M34" s="4">
        <v>1688.16</v>
      </c>
      <c r="N34" s="4">
        <v>44.01</v>
      </c>
      <c r="O34" s="4">
        <v>4111.8</v>
      </c>
      <c r="P34" s="4">
        <v>2921.99</v>
      </c>
      <c r="Q34" s="4">
        <v>1217.68</v>
      </c>
      <c r="R34" s="4">
        <v>1106.47</v>
      </c>
      <c r="S34" s="4">
        <v>71162.44</v>
      </c>
    </row>
    <row r="35" ht="14.25" customHeight="1">
      <c r="A35" s="4" t="s">
        <v>293</v>
      </c>
      <c r="B35" s="4">
        <v>15887.0</v>
      </c>
      <c r="C35" s="4">
        <v>960.46</v>
      </c>
      <c r="D35" s="4">
        <v>4318.23</v>
      </c>
      <c r="E35" s="4">
        <v>63.15</v>
      </c>
      <c r="F35" s="4">
        <v>242.86</v>
      </c>
      <c r="G35" s="4">
        <v>5160.5</v>
      </c>
      <c r="H35" s="4">
        <v>9611.89</v>
      </c>
      <c r="I35" s="4">
        <v>3583.51</v>
      </c>
      <c r="J35" s="4">
        <v>963.96</v>
      </c>
      <c r="K35" s="4">
        <v>2034.18</v>
      </c>
      <c r="L35" s="4">
        <v>2724.67</v>
      </c>
      <c r="M35" s="4">
        <v>171.34</v>
      </c>
      <c r="N35" s="4">
        <v>627.84</v>
      </c>
      <c r="O35" s="4">
        <v>13762.01</v>
      </c>
      <c r="P35" s="4">
        <v>3433.49</v>
      </c>
      <c r="Q35" s="4">
        <v>1662.85</v>
      </c>
      <c r="R35" s="4">
        <v>1105.19</v>
      </c>
      <c r="S35" s="4">
        <v>66313.12</v>
      </c>
    </row>
    <row r="36" ht="14.25" customHeight="1">
      <c r="A36" s="4" t="s">
        <v>341</v>
      </c>
      <c r="B36" s="4">
        <v>12753.85</v>
      </c>
      <c r="C36" s="4">
        <v>27841.88</v>
      </c>
      <c r="D36" s="4">
        <v>56135.82</v>
      </c>
      <c r="E36" s="4">
        <v>98.15</v>
      </c>
      <c r="F36" s="4">
        <v>45.11</v>
      </c>
      <c r="G36" s="4">
        <v>4651.59</v>
      </c>
      <c r="H36" s="4">
        <v>11275.73</v>
      </c>
      <c r="I36" s="4">
        <v>3860.38</v>
      </c>
      <c r="J36" s="4">
        <v>234.03</v>
      </c>
      <c r="K36" s="4">
        <v>2075.16</v>
      </c>
      <c r="L36" s="4">
        <v>2285.15</v>
      </c>
      <c r="M36" s="4">
        <v>61.98</v>
      </c>
      <c r="N36" s="4">
        <v>186.86</v>
      </c>
      <c r="O36" s="4">
        <v>8573.04</v>
      </c>
      <c r="P36" s="4">
        <v>1869.24</v>
      </c>
      <c r="Q36" s="4">
        <v>1240.86</v>
      </c>
      <c r="R36" s="4">
        <v>431.51</v>
      </c>
      <c r="S36" s="4">
        <v>133620.32</v>
      </c>
    </row>
    <row r="37" ht="14.25" customHeight="1">
      <c r="A37" s="4" t="s">
        <v>342</v>
      </c>
      <c r="B37" s="4">
        <v>5267.35</v>
      </c>
      <c r="C37" s="4">
        <v>20948.01</v>
      </c>
      <c r="D37" s="4">
        <v>32577.35</v>
      </c>
      <c r="E37" s="4">
        <v>33.0</v>
      </c>
      <c r="F37" s="4">
        <v>55.77</v>
      </c>
      <c r="G37" s="4">
        <v>6321.67</v>
      </c>
      <c r="H37" s="4">
        <v>3766.52</v>
      </c>
      <c r="I37" s="4">
        <v>1316.61</v>
      </c>
      <c r="J37" s="4">
        <v>390.39</v>
      </c>
      <c r="K37" s="4">
        <v>840.3</v>
      </c>
      <c r="L37" s="4">
        <v>930.74</v>
      </c>
      <c r="M37" s="4">
        <v>748.85</v>
      </c>
      <c r="N37" s="4">
        <v>47.59</v>
      </c>
      <c r="O37" s="4">
        <v>7009.94</v>
      </c>
      <c r="P37" s="4">
        <v>974.57</v>
      </c>
      <c r="Q37" s="4">
        <v>423.72</v>
      </c>
      <c r="R37" s="4">
        <v>155.17</v>
      </c>
      <c r="S37" s="4">
        <v>81807.57</v>
      </c>
    </row>
    <row r="38" ht="14.25" customHeight="1">
      <c r="A38" s="4" t="s">
        <v>343</v>
      </c>
      <c r="B38" s="4">
        <v>4754.54</v>
      </c>
      <c r="C38" s="4">
        <v>3946.17</v>
      </c>
      <c r="D38" s="4">
        <v>7081.74</v>
      </c>
      <c r="E38" s="4">
        <v>31.21</v>
      </c>
      <c r="F38" s="4">
        <v>64.01</v>
      </c>
      <c r="G38" s="4">
        <v>5671.89</v>
      </c>
      <c r="H38" s="4">
        <v>5563.76</v>
      </c>
      <c r="I38" s="4">
        <v>1737.58</v>
      </c>
      <c r="J38" s="4">
        <v>503.78</v>
      </c>
      <c r="K38" s="4">
        <v>1254.28</v>
      </c>
      <c r="L38" s="4">
        <v>1028.8</v>
      </c>
      <c r="M38" s="4">
        <v>759.67</v>
      </c>
      <c r="N38" s="4">
        <v>70.82</v>
      </c>
      <c r="O38" s="4">
        <v>4703.69</v>
      </c>
      <c r="P38" s="4">
        <v>1320.23</v>
      </c>
      <c r="Q38" s="4">
        <v>523.12</v>
      </c>
      <c r="R38" s="4">
        <v>204.32</v>
      </c>
      <c r="S38" s="4">
        <v>39219.64</v>
      </c>
    </row>
    <row r="39" ht="14.25" customHeight="1">
      <c r="A39" s="4" t="s">
        <v>317</v>
      </c>
      <c r="B39" s="4">
        <v>13042.27</v>
      </c>
      <c r="C39" s="4">
        <v>770.36</v>
      </c>
      <c r="D39" s="4">
        <v>2742.16</v>
      </c>
      <c r="E39" s="4">
        <v>62.16</v>
      </c>
      <c r="F39" s="4">
        <v>95.39</v>
      </c>
      <c r="G39" s="4">
        <v>17334.47</v>
      </c>
      <c r="H39" s="4">
        <v>14712.16</v>
      </c>
      <c r="I39" s="4">
        <v>7372.5</v>
      </c>
      <c r="J39" s="4">
        <v>1168.89</v>
      </c>
      <c r="K39" s="4">
        <v>5443.09</v>
      </c>
      <c r="L39" s="4">
        <v>3162.67</v>
      </c>
      <c r="M39" s="4">
        <v>4326.25</v>
      </c>
      <c r="N39" s="4">
        <v>2187.62</v>
      </c>
      <c r="O39" s="4">
        <v>11199.54</v>
      </c>
      <c r="P39" s="4">
        <v>2527.03</v>
      </c>
      <c r="Q39" s="4">
        <v>2682.82</v>
      </c>
      <c r="R39" s="4">
        <v>1683.81</v>
      </c>
      <c r="S39" s="4">
        <v>90513.18</v>
      </c>
    </row>
    <row r="40" ht="14.25" customHeight="1">
      <c r="A40" s="4" t="s">
        <v>344</v>
      </c>
      <c r="B40" s="4">
        <v>7745.58</v>
      </c>
      <c r="C40" s="4">
        <v>423.33</v>
      </c>
      <c r="D40" s="4">
        <v>2000.13</v>
      </c>
      <c r="E40" s="4">
        <v>13.7</v>
      </c>
      <c r="F40" s="4">
        <v>20.7</v>
      </c>
      <c r="G40" s="4">
        <v>8387.57</v>
      </c>
      <c r="H40" s="4">
        <v>4505.75</v>
      </c>
      <c r="I40" s="4">
        <v>2630.41</v>
      </c>
      <c r="J40" s="4">
        <v>306.0</v>
      </c>
      <c r="K40" s="4">
        <v>1714.34</v>
      </c>
      <c r="L40" s="4">
        <v>564.61</v>
      </c>
      <c r="M40" s="4">
        <v>738.0</v>
      </c>
      <c r="N40" s="4">
        <v>317.33</v>
      </c>
      <c r="O40" s="4">
        <v>4293.97</v>
      </c>
      <c r="P40" s="4">
        <v>831.65</v>
      </c>
      <c r="Q40" s="4">
        <v>814.91</v>
      </c>
      <c r="R40" s="4">
        <v>379.88</v>
      </c>
      <c r="S40" s="4">
        <v>35687.86</v>
      </c>
    </row>
    <row r="41" ht="14.25" customHeight="1">
      <c r="A41" s="4" t="s">
        <v>345</v>
      </c>
      <c r="B41" s="4">
        <v>6767.09</v>
      </c>
      <c r="C41" s="4">
        <v>118340.93</v>
      </c>
      <c r="D41" s="4">
        <v>443.52</v>
      </c>
      <c r="E41" s="4">
        <v>32.66</v>
      </c>
      <c r="F41" s="4">
        <v>12.54</v>
      </c>
      <c r="G41" s="4">
        <v>10541.18</v>
      </c>
      <c r="H41" s="4">
        <v>7144.0</v>
      </c>
      <c r="I41" s="4">
        <v>2961.92</v>
      </c>
      <c r="J41" s="4">
        <v>387.61</v>
      </c>
      <c r="K41" s="4">
        <v>2596.93</v>
      </c>
      <c r="L41" s="4">
        <v>914.16</v>
      </c>
      <c r="M41" s="4">
        <v>1665.8</v>
      </c>
      <c r="N41" s="4">
        <v>636.71</v>
      </c>
      <c r="O41" s="4">
        <v>5861.46</v>
      </c>
      <c r="P41" s="4">
        <v>717.76</v>
      </c>
      <c r="Q41" s="4">
        <v>810.56</v>
      </c>
      <c r="R41" s="4">
        <v>684.33</v>
      </c>
      <c r="S41" s="4">
        <v>160519.15</v>
      </c>
    </row>
    <row r="42" ht="14.25" customHeight="1">
      <c r="A42" s="4" t="s">
        <v>346</v>
      </c>
      <c r="B42" s="4">
        <v>4574.66</v>
      </c>
      <c r="C42" s="4">
        <v>323.85</v>
      </c>
      <c r="D42" s="4">
        <v>220.5</v>
      </c>
      <c r="E42" s="4">
        <v>8.35</v>
      </c>
      <c r="F42" s="4">
        <v>2.8</v>
      </c>
      <c r="G42" s="4">
        <v>5537.79</v>
      </c>
      <c r="H42" s="4">
        <v>4361.36</v>
      </c>
      <c r="I42" s="4">
        <v>2740.11</v>
      </c>
      <c r="J42" s="4">
        <v>104.44</v>
      </c>
      <c r="K42" s="4">
        <v>777.01</v>
      </c>
      <c r="L42" s="4">
        <v>210.81</v>
      </c>
      <c r="M42" s="4">
        <v>1280.66</v>
      </c>
      <c r="N42" s="4">
        <v>173.18</v>
      </c>
      <c r="O42" s="4">
        <v>5883.44</v>
      </c>
      <c r="P42" s="4">
        <v>1004.94</v>
      </c>
      <c r="Q42" s="4">
        <v>789.05</v>
      </c>
      <c r="R42" s="4">
        <v>384.84</v>
      </c>
      <c r="S42" s="4">
        <v>28377.77</v>
      </c>
    </row>
    <row r="43" ht="14.25" customHeight="1"/>
    <row r="44" ht="14.25" customHeight="1">
      <c r="A44" s="4" t="s">
        <v>382</v>
      </c>
      <c r="B44" s="4" t="s">
        <v>383</v>
      </c>
      <c r="C44" s="4" t="s">
        <v>384</v>
      </c>
      <c r="D44" s="4" t="s">
        <v>385</v>
      </c>
      <c r="E44" s="4" t="s">
        <v>386</v>
      </c>
      <c r="F44" s="4" t="s">
        <v>387</v>
      </c>
      <c r="G44" s="4" t="s">
        <v>388</v>
      </c>
      <c r="H44" s="4" t="s">
        <v>389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4"/>
    <mergeCell ref="B1:S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