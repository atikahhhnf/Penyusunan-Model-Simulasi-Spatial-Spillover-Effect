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binary" PartName="/xl/metadata"/>
  <Override ContentType="application/binary" PartName="/xl/commentsmeta0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etunjuk" sheetId="1" r:id="rId4"/>
    <sheet state="visible" name="Daftar_Provinsi" sheetId="2" r:id="rId5"/>
    <sheet state="visible" name="Input_Konektivitas" sheetId="3" r:id="rId6"/>
    <sheet state="visible" name="Matrix_Waktu" sheetId="4" r:id="rId7"/>
    <sheet state="visible" name="Matrix_Transit" sheetId="5" r:id="rId8"/>
    <sheet state="visible" name="Matrix_Bobot" sheetId="6" r:id="rId9"/>
    <sheet state="visible" name="W_Final" sheetId="7" r:id="rId10"/>
    <sheet state="visible" name="Ringkasan" sheetId="8" r:id="rId11"/>
  </sheets>
  <definedNames/>
  <calcPr/>
  <extLst>
    <ext uri="GoogleSheetsCustomDataVersion2">
      <go:sheetsCustomData xmlns:go="http://customooxmlschemas.google.com/" r:id="rId12" roundtripDataChecksum="VCwNqT+vpUgVAtiPic9/v47ul1Zck8nnyRkCc1diM3E="/>
    </ext>
  </extLst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D2">
      <text>
        <t xml:space="preserve">======
ID#AAACHeeH1OE
Unknown Author    (2026-09-23 08:19:34)
Total waktu perjalanan dalam jam desimal, termasuk waktu tunggu bila transit. 2 jam 15 menit = 2,25.</t>
      </text>
    </comment>
  </commentList>
  <extLst>
    <ext uri="GoogleSheetsCustomDataVersion2">
      <go:sheetsCustomData xmlns:go="http://customooxmlschemas.google.com/" r:id="rId1" roundtripDataSignature="AMtx7mgHGxtZ4qUfK6K9Tw1VLwFyDDyyrw=="/>
    </ext>
  </extLst>
</comments>
</file>

<file path=xl/sharedStrings.xml><?xml version="1.0" encoding="utf-8"?>
<sst xmlns="http://schemas.openxmlformats.org/spreadsheetml/2006/main" count="2115" uniqueCount="141">
  <si>
    <t>Matriks Pembobot Spasial Udara 34x34 — berbasis waktu tempuh dan jumlah transit</t>
  </si>
  <si>
    <t>No</t>
  </si>
  <si>
    <t>Jumlah_Transit dan Waktu_Tempuh_jam. Pasangan kosong = tidak terhubung.</t>
  </si>
  <si>
    <t>Provinsi</t>
  </si>
  <si>
    <t>Bandara acuan</t>
  </si>
  <si>
    <t>Aceh</t>
  </si>
  <si>
    <t>BTJ</t>
  </si>
  <si>
    <t>Provinsi_A</t>
  </si>
  <si>
    <t>Sumatera Utara</t>
  </si>
  <si>
    <t>KNO</t>
  </si>
  <si>
    <t>Sumatera Barat</t>
  </si>
  <si>
    <t>PDG</t>
  </si>
  <si>
    <t>Riau</t>
  </si>
  <si>
    <t>PKU</t>
  </si>
  <si>
    <t>Provinsi_B</t>
  </si>
  <si>
    <t>Jambi</t>
  </si>
  <si>
    <t>DJB</t>
  </si>
  <si>
    <t>Sumatera Selatan</t>
  </si>
  <si>
    <t>PLM</t>
  </si>
  <si>
    <t>Jumlah_Transit</t>
  </si>
  <si>
    <t>Bengkulu</t>
  </si>
  <si>
    <t>BKS</t>
  </si>
  <si>
    <t>Lampung</t>
  </si>
  <si>
    <t>TKG</t>
  </si>
  <si>
    <t>Waktu_Tempuh_jam</t>
  </si>
  <si>
    <t>Kep. Bangka Belitung</t>
  </si>
  <si>
    <t>PGK</t>
  </si>
  <si>
    <t>CARA PAKAI (3 langkah)</t>
  </si>
  <si>
    <t>Kepulauan Riau</t>
  </si>
  <si>
    <t>BTH</t>
  </si>
  <si>
    <t>Sumber</t>
  </si>
  <si>
    <t>DKI Jakarta</t>
  </si>
  <si>
    <t>CGK/HLP</t>
  </si>
  <si>
    <t>Jawa Barat</t>
  </si>
  <si>
    <t>KJT/BDO</t>
  </si>
  <si>
    <t>1. Buka sheet Input_Konektivitas. Seluruh 561 pasangan provinsi sudah tercetak; kamu tinggal mengisi dua kolom kuning:</t>
  </si>
  <si>
    <t>Catatan</t>
  </si>
  <si>
    <t>Jawa Tengah</t>
  </si>
  <si>
    <t>SRG</t>
  </si>
  <si>
    <t xml:space="preserve">      Jumlah_Transit : 0 bila ADA penerbangan langsung, 1 bila sekali transit, 2 bila dua kali transit, dst.</t>
  </si>
  <si>
    <t>DI Yogyakarta</t>
  </si>
  <si>
    <t>YIA</t>
  </si>
  <si>
    <t xml:space="preserve">      Waktu_Tempuh_jam : total waktu perjalanan dalam jam desimal (2 jam 15 menit = 2,25). Untuk rute langsung isi waktu terbangnya; untuk rute transit isi waktu total termasuk menunggu.</t>
  </si>
  <si>
    <t>Jawa Timur</t>
  </si>
  <si>
    <t>SUB</t>
  </si>
  <si>
    <t xml:space="preserve">      Pasangan yang dibiarkan kosong dianggap tidak terhubung (bobot 0).</t>
  </si>
  <si>
    <t>Banten</t>
  </si>
  <si>
    <t>CGK (adm. Banten)</t>
  </si>
  <si>
    <t>2. Atur dua eksponen di sheet Matrix_Bobot (sel B1 dan B2) bila perlu. Default: alpha = 1, beta = 0.</t>
  </si>
  <si>
    <t>Bali</t>
  </si>
  <si>
    <t>DPS</t>
  </si>
  <si>
    <t>3. Matriks final ada di sheet W_Final (baku baris). Ini yang dipakai di analisis; tidak ada langkah lain.</t>
  </si>
  <si>
    <t>Nusa Tenggara Barat</t>
  </si>
  <si>
    <t>LOP</t>
  </si>
  <si>
    <t>RUMUS BOBOT</t>
  </si>
  <si>
    <t>Nusa Tenggara Timur</t>
  </si>
  <si>
    <t>KOE</t>
  </si>
  <si>
    <t xml:space="preserve">      w_ij = 1 / ( T_ij ^ alpha  x  (1 + transit_ij) ^ beta )      lalu      W*_ij = w_ij / jumlah baris ke-i</t>
  </si>
  <si>
    <t>Kalimantan Barat</t>
  </si>
  <si>
    <t>PNK</t>
  </si>
  <si>
    <t xml:space="preserve">      alpha = 1, beta = 0  -&gt; bobot murni 1/waktu tempuh (transit sudah ikut terhitung lewat waktu tunggu). DEFAULT.</t>
  </si>
  <si>
    <t>Kalimantan Tengah</t>
  </si>
  <si>
    <t>PKY</t>
  </si>
  <si>
    <t xml:space="preserve">      beta = 1             -&gt; transit dihukum tambahan: langsung x1, 1x transit x1/2, 2x transit x1/3.</t>
  </si>
  <si>
    <t>Kalimantan Selatan</t>
  </si>
  <si>
    <t xml:space="preserve">      Rute langsung otomatis menang karena waktunya paling kecil; tidak perlu dihitung terpisah.</t>
  </si>
  <si>
    <t>BDJ</t>
  </si>
  <si>
    <t>Waktu Tempuh Udara T_ij (jam)</t>
  </si>
  <si>
    <t>Kalimantan Timur</t>
  </si>
  <si>
    <t>BPN</t>
  </si>
  <si>
    <t>ISI SHEET</t>
  </si>
  <si>
    <t>Kalimantan Utara</t>
  </si>
  <si>
    <t xml:space="preserve">      Daftar_Provinsi     : 34 provinsi urutan baku IRIO + bandara acuan.</t>
  </si>
  <si>
    <t>TRK</t>
  </si>
  <si>
    <t xml:space="preserve">      Input_Konektivitas  : satu-satunya tempat mengisi data (561 baris pasangan).</t>
  </si>
  <si>
    <t>Sulawesi Utara</t>
  </si>
  <si>
    <t>MDC</t>
  </si>
  <si>
    <t xml:space="preserve">      Matrix_Waktu        : T_ij (jam), hasil baca otomatis dari input.</t>
  </si>
  <si>
    <t>Sulawesi Tengah</t>
  </si>
  <si>
    <t>PLW</t>
  </si>
  <si>
    <t xml:space="preserve">      Matrix_Transit      : jumlah transit per pasangan.</t>
  </si>
  <si>
    <t>Sulawesi Selatan</t>
  </si>
  <si>
    <t>UPG</t>
  </si>
  <si>
    <t xml:space="preserve">      Matrix_Bobot        : w_ij mentah. Dipakai bila analisis memakai subset provinsi (standardisasi ulang di Python).</t>
  </si>
  <si>
    <t>Sulawesi Tenggara</t>
  </si>
  <si>
    <t>KDI</t>
  </si>
  <si>
    <t xml:space="preserve">      W_Final             : matriks pembobot baku baris, jumlah tiap baris = 1.</t>
  </si>
  <si>
    <t>Traveloka</t>
  </si>
  <si>
    <t xml:space="preserve">      Ringkasan           : pengecekan kelengkapan data.</t>
  </si>
  <si>
    <t>Gorontalo</t>
  </si>
  <si>
    <t>GTO</t>
  </si>
  <si>
    <t>Otomatis dari Input_Konektivitas (simetris). Sel kosong = pasangan belum terisi / tidak terhubung.</t>
  </si>
  <si>
    <t>Sulawesi Barat</t>
  </si>
  <si>
    <t>MJU</t>
  </si>
  <si>
    <t>Maluku</t>
  </si>
  <si>
    <t>AMQ</t>
  </si>
  <si>
    <t>Maluku Utara</t>
  </si>
  <si>
    <t>TTE</t>
  </si>
  <si>
    <t>Papua Barat</t>
  </si>
  <si>
    <t>SOQ</t>
  </si>
  <si>
    <t>Asal \ Tujuan</t>
  </si>
  <si>
    <t>Papua</t>
  </si>
  <si>
    <t>DJJ</t>
  </si>
  <si>
    <t>Jumlah Transit (0 = penerbangan langsung)</t>
  </si>
  <si>
    <t>Otomatis dari Input_Konektivitas. Sel kosong = pasangan belum terisi / tidak terhubung.</t>
  </si>
  <si>
    <t>alpha (eksponen waktu)</t>
  </si>
  <si>
    <t>Bobot turun sebanding 1/waktu. Uji kepekaan: 2.</t>
  </si>
  <si>
    <t>Bobot Mentah w_ij = 1 / ( T_ij ^ alpha x (1 + transit) ^ beta )</t>
  </si>
  <si>
    <t>beta (eksponen transit)</t>
  </si>
  <si>
    <t>0 = transit hanya lewat waktu tunggu. 1 = hukuman tambahan (langsung 1, 1x transit 1/2, 2x transit 1/3).</t>
  </si>
  <si>
    <t>Dipakai bila analisis hanya memakai sebagian provinsi: ambil sheet ini lalu standardisasi ulang.</t>
  </si>
  <si>
    <t>Jumlah Baris</t>
  </si>
  <si>
    <t>Citilink</t>
  </si>
  <si>
    <t>Super Air Jet</t>
  </si>
  <si>
    <t xml:space="preserve">Pesawat Super Air Jet, Transnusa, Batik Air, </t>
  </si>
  <si>
    <t xml:space="preserve">Pesawat Super Air Jet, Lion Air, Batik Air, </t>
  </si>
  <si>
    <t>Pesawat Sriwijaya Air, Transnusa, Air Asia Indonesia, NAM Air, Pelita Air</t>
  </si>
  <si>
    <t>Super Jet Air, Lion Air, Citilink, Batik Air</t>
  </si>
  <si>
    <t>Air Asia Indonesia</t>
  </si>
  <si>
    <t>Sriwijaya Air</t>
  </si>
  <si>
    <t>Super Jet Air</t>
  </si>
  <si>
    <t>Batik Air</t>
  </si>
  <si>
    <t>Pelita Air</t>
  </si>
  <si>
    <t>Garuda Indonesia</t>
  </si>
  <si>
    <t>Wings Air</t>
  </si>
  <si>
    <t>Lion Air</t>
  </si>
  <si>
    <t>MATRIKS FINAL — Pembobot Spasial Udara Baku Baris (jumlah tiap baris = 1)</t>
  </si>
  <si>
    <t>Inilah matriks W komponen udara. Kolom paling kanan harus bernilai 1 untuk setiap baris.</t>
  </si>
  <si>
    <t>Cek Jumlah Baris</t>
  </si>
  <si>
    <t>Ringkasan / Pengecekan</t>
  </si>
  <si>
    <t>Total pasangan provinsi</t>
  </si>
  <si>
    <t>Pasangan sudah terisi waktu tempuh</t>
  </si>
  <si>
    <t>Pasangan belum terisi (dianggap tidak terhubung)</t>
  </si>
  <si>
    <t>Pasangan dengan penerbangan langsung (transit = 0)</t>
  </si>
  <si>
    <t>Pasangan 1x transit</t>
  </si>
  <si>
    <t>Pasangan 2x transit atau lebih</t>
  </si>
  <si>
    <t>Baris terisi tetapi jumlah transit kosong (harus 0)</t>
  </si>
  <si>
    <t>Baris terisi tetapi Sumber kosong (harus 0 sebelum dipakai di skripsi)</t>
  </si>
  <si>
    <t>Provinsi tanpa satu pun koneksi (harus 0)</t>
  </si>
  <si>
    <t>Baris W_Final yang tidak berjumlah 1 (harus 0)</t>
  </si>
  <si>
    <t>Rata-rata waktu tempuh pasangan terisi (jam)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</si>
</sst>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0.0000"/>
  </numFmts>
  <fonts count="18">
    <font>
      <sz val="11.0"/>
      <color theme="1"/>
      <name val="Calibri"/>
      <scheme val="minor"/>
    </font>
    <font>
      <b/>
      <sz val="14.0"/>
      <color rgb="FF1F3864"/>
      <name val="Arial"/>
    </font>
    <font>
      <b/>
      <sz val="10.0"/>
      <color rgb="FFFFFFFF"/>
      <name val="Arial"/>
    </font>
    <font>
      <i/>
      <sz val="10.0"/>
      <color rgb="FF595959"/>
      <name val="Arial"/>
    </font>
    <font>
      <color theme="1"/>
      <name val="Calibri"/>
    </font>
    <font>
      <sz val="10.0"/>
      <color theme="1"/>
      <name val="Arial"/>
    </font>
    <font>
      <sz val="10.0"/>
      <color rgb="FF000000"/>
      <name val="Arial"/>
    </font>
    <font>
      <b/>
      <sz val="11.0"/>
      <color rgb="FF1F3864"/>
      <name val="Arial"/>
    </font>
    <font>
      <sz val="10.0"/>
      <color rgb="FF0000FF"/>
      <name val="Arial"/>
    </font>
    <font>
      <b/>
      <sz val="12.0"/>
      <color rgb="FF1F3864"/>
      <name val="Arial"/>
    </font>
    <font>
      <sz val="10.0"/>
      <color rgb="FF595959"/>
      <name val="Arial"/>
    </font>
    <font>
      <i/>
      <sz val="9.0"/>
      <color rgb="FF595959"/>
      <name val="Arial"/>
    </font>
    <font>
      <b/>
      <sz val="9.0"/>
      <color rgb="FFFFFFFF"/>
      <name val="Arial"/>
    </font>
    <font>
      <b/>
      <sz val="8.0"/>
      <color rgb="FFFFFFFF"/>
      <name val="Arial"/>
    </font>
    <font>
      <sz val="9.0"/>
      <color theme="1"/>
      <name val="Arial"/>
    </font>
    <font>
      <b/>
      <sz val="10.0"/>
      <color theme="1"/>
      <name val="Arial"/>
    </font>
    <font>
      <color rgb="FF0000FF"/>
      <name val="Arial"/>
    </font>
    <font>
      <b/>
      <sz val="9.0"/>
      <color theme="1"/>
      <name val="Arial"/>
    </font>
  </fonts>
  <fills count="7">
    <fill>
      <patternFill patternType="none"/>
    </fill>
    <fill>
      <patternFill patternType="lightGray"/>
    </fill>
    <fill>
      <patternFill patternType="solid">
        <fgColor rgb="FF2E5395"/>
        <bgColor rgb="FF2E5395"/>
      </patternFill>
    </fill>
    <fill>
      <patternFill patternType="solid">
        <fgColor rgb="FFD9D9D9"/>
        <bgColor rgb="FFD9D9D9"/>
      </patternFill>
    </fill>
    <fill>
      <patternFill patternType="solid">
        <fgColor rgb="FF1F3864"/>
        <bgColor rgb="FF1F3864"/>
      </patternFill>
    </fill>
    <fill>
      <patternFill patternType="solid">
        <fgColor rgb="FFF2F2F2"/>
        <bgColor rgb="FFF2F2F2"/>
      </patternFill>
    </fill>
    <fill>
      <patternFill patternType="solid">
        <fgColor rgb="FFFFFF00"/>
        <bgColor rgb="FFFFFF00"/>
      </patternFill>
    </fill>
  </fills>
  <borders count="4">
    <border/>
    <border>
      <left/>
      <right/>
      <top/>
      <bottom/>
    </border>
    <border>
      <left/>
      <top/>
      <bottom/>
    </border>
    <border>
      <right/>
      <top/>
      <bottom/>
    </border>
  </borders>
  <cellStyleXfs count="1">
    <xf borderId="0" fillId="0" fontId="0" numFmtId="0" applyAlignment="1" applyFont="1"/>
  </cellStyleXfs>
  <cellXfs count="3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vertical="top" wrapText="1"/>
    </xf>
    <xf borderId="1" fillId="2" fontId="2" numFmtId="0" xfId="0" applyBorder="1" applyFill="1" applyFont="1"/>
    <xf borderId="0" fillId="0" fontId="3" numFmtId="0" xfId="0" applyFont="1"/>
    <xf borderId="0" fillId="0" fontId="4" numFmtId="2" xfId="0" applyFont="1" applyNumberFormat="1"/>
    <xf borderId="0" fillId="0" fontId="5" numFmtId="0" xfId="0" applyFont="1"/>
    <xf borderId="1" fillId="2" fontId="2" numFmtId="0" xfId="0" applyAlignment="1" applyBorder="1" applyFill="1" applyFont="1">
      <alignment horizontal="center"/>
    </xf>
    <xf borderId="2" fillId="2" fontId="2" numFmtId="0" xfId="0" applyAlignment="1" applyBorder="1" applyFill="1" applyFont="1">
      <alignment horizontal="center"/>
    </xf>
    <xf borderId="0" fillId="0" fontId="6" numFmtId="0" xfId="0" applyAlignment="1" applyFont="1">
      <alignment shrinkToFit="0" vertical="top" wrapText="1"/>
    </xf>
    <xf borderId="0" fillId="2" fontId="2" numFmtId="0" xfId="0" applyAlignment="1" applyFill="1" applyFont="1">
      <alignment horizontal="center"/>
    </xf>
    <xf borderId="0" fillId="2" fontId="2" numFmtId="2" xfId="0" applyAlignment="1" applyFill="1" applyFont="1" applyNumberFormat="1">
      <alignment horizontal="center"/>
    </xf>
    <xf borderId="0" fillId="0" fontId="7" numFmtId="0" xfId="0" applyAlignment="1" applyFont="1">
      <alignment shrinkToFit="0" vertical="top" wrapText="1"/>
    </xf>
    <xf borderId="3" fillId="2" fontId="2" numFmtId="0" xfId="0" applyAlignment="1" applyBorder="1" applyFill="1" applyFont="1">
      <alignment horizontal="center"/>
    </xf>
    <xf borderId="1" fillId="3" fontId="5" numFmtId="0" xfId="0" applyBorder="1" applyFill="1" applyFont="1"/>
    <xf borderId="2" fillId="3" fontId="5" numFmtId="0" xfId="0" applyBorder="1" applyFill="1" applyFont="1"/>
    <xf borderId="0" fillId="0" fontId="8" numFmtId="1" xfId="0" applyAlignment="1" applyFont="1" applyNumberFormat="1">
      <alignment horizontal="center"/>
    </xf>
    <xf borderId="0" fillId="0" fontId="9" numFmtId="0" xfId="0" applyFont="1"/>
    <xf borderId="0" fillId="0" fontId="8" numFmtId="2" xfId="0" applyAlignment="1" applyFont="1" applyNumberFormat="1">
      <alignment horizontal="center"/>
    </xf>
    <xf borderId="0" fillId="0" fontId="10" numFmtId="0" xfId="0" applyFont="1"/>
    <xf borderId="0" fillId="0" fontId="11" numFmtId="0" xfId="0" applyFont="1"/>
    <xf borderId="1" fillId="4" fontId="12" numFmtId="0" xfId="0" applyBorder="1" applyFill="1" applyFont="1"/>
    <xf borderId="1" fillId="4" fontId="13" numFmtId="0" xfId="0" applyAlignment="1" applyBorder="1" applyFill="1" applyFont="1">
      <alignment horizontal="center" textRotation="90"/>
    </xf>
    <xf borderId="1" fillId="5" fontId="5" numFmtId="0" xfId="0" applyBorder="1" applyFill="1" applyFont="1"/>
    <xf borderId="1" fillId="3" fontId="14" numFmtId="2" xfId="0" applyAlignment="1" applyBorder="1" applyFill="1" applyFont="1" applyNumberFormat="1">
      <alignment horizontal="center"/>
    </xf>
    <xf borderId="0" fillId="0" fontId="15" numFmtId="0" xfId="0" applyFont="1"/>
    <xf borderId="1" fillId="6" fontId="8" numFmtId="0" xfId="0" applyAlignment="1" applyBorder="1" applyFill="1" applyFont="1">
      <alignment horizontal="center"/>
    </xf>
    <xf borderId="1" fillId="3" fontId="14" numFmtId="1" xfId="0" applyAlignment="1" applyBorder="1" applyFill="1" applyFont="1" applyNumberFormat="1">
      <alignment horizontal="center"/>
    </xf>
    <xf borderId="0" fillId="0" fontId="14" numFmtId="2" xfId="0" applyAlignment="1" applyFont="1" applyNumberFormat="1">
      <alignment horizontal="center"/>
    </xf>
    <xf borderId="1" fillId="3" fontId="14" numFmtId="164" xfId="0" applyAlignment="1" applyBorder="1" applyFill="1" applyFont="1" applyNumberFormat="1">
      <alignment horizontal="center"/>
    </xf>
    <xf borderId="0" fillId="0" fontId="14" numFmtId="1" xfId="0" applyAlignment="1" applyFont="1" applyNumberFormat="1">
      <alignment horizontal="center"/>
    </xf>
    <xf borderId="0" fillId="0" fontId="14" numFmtId="164" xfId="0" applyAlignment="1" applyFont="1" applyNumberFormat="1">
      <alignment horizontal="center"/>
    </xf>
    <xf borderId="0" fillId="0" fontId="16" numFmtId="1" xfId="0" applyAlignment="1" applyFont="1" applyNumberFormat="1">
      <alignment horizontal="center" vertical="bottom"/>
    </xf>
    <xf borderId="0" fillId="0" fontId="16" numFmtId="2" xfId="0" applyAlignment="1" applyFont="1" applyNumberFormat="1">
      <alignment horizontal="center" vertical="bottom"/>
    </xf>
    <xf borderId="0" fillId="0" fontId="17" numFmtId="164" xfId="0" applyAlignment="1" applyFont="1" applyNumberFormat="1">
      <alignment horizontal="center"/>
    </xf>
    <xf borderId="0" fillId="0" fontId="15" numFmtId="1" xfId="0" applyFont="1" applyNumberFormat="1"/>
    <xf borderId="0" fillId="0" fontId="15" numFmtId="2" xfId="0" applyFont="1" applyNumberFormat="1"/>
  </cellXfs>
  <cellStyles count="1">
    <cellStyle xfId="0" name="Normal" builtinId="0"/>
  </cellStyles>
  <dxfs count="0"/>
</styleSheet>
</file>

<file path=xl/_rels/comments1.xml.rels><?xml version="1.0" encoding="UTF-8" standalone="yes"?><Relationships xmlns="http://schemas.openxmlformats.org/package/2006/relationships"><Relationship Id="rId1" Type="http://customschemas.google.com/relationships/workbookmetadata" Target="commentsmeta0"/></Relationships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2" Type="http://customschemas.google.com/relationships/workbookmetadata" Target="metadata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3.xml"/><Relationship Id="rId3" Type="http://schemas.openxmlformats.org/officeDocument/2006/relationships/vmlDrawing" Target="../drawings/vmlDrawing1.v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35.0"/>
    <col customWidth="1" min="2" max="26" width="8.71"/>
  </cols>
  <sheetData>
    <row r="1" ht="14.25" customHeight="1">
      <c r="A1" s="1" t="s">
        <v>0</v>
      </c>
    </row>
    <row r="2" ht="14.25" customHeight="1">
      <c r="A2" s="8"/>
    </row>
    <row r="3" ht="14.25" customHeight="1">
      <c r="A3" s="11" t="s">
        <v>27</v>
      </c>
    </row>
    <row r="4" ht="14.25" customHeight="1">
      <c r="A4" s="8" t="s">
        <v>35</v>
      </c>
    </row>
    <row r="5" ht="14.25" customHeight="1">
      <c r="A5" s="8" t="s">
        <v>39</v>
      </c>
    </row>
    <row r="6" ht="14.25" customHeight="1">
      <c r="A6" s="8" t="s">
        <v>42</v>
      </c>
    </row>
    <row r="7" ht="14.25" customHeight="1">
      <c r="A7" s="8" t="s">
        <v>45</v>
      </c>
    </row>
    <row r="8" ht="14.25" customHeight="1">
      <c r="A8" s="8" t="s">
        <v>48</v>
      </c>
    </row>
    <row r="9" ht="14.25" customHeight="1">
      <c r="A9" s="8" t="s">
        <v>51</v>
      </c>
    </row>
    <row r="10" ht="14.25" customHeight="1">
      <c r="A10" s="8"/>
    </row>
    <row r="11" ht="14.25" customHeight="1">
      <c r="A11" s="11" t="s">
        <v>54</v>
      </c>
    </row>
    <row r="12" ht="14.25" customHeight="1">
      <c r="A12" s="8" t="s">
        <v>57</v>
      </c>
    </row>
    <row r="13" ht="14.25" customHeight="1">
      <c r="A13" s="8" t="s">
        <v>60</v>
      </c>
    </row>
    <row r="14" ht="14.25" customHeight="1">
      <c r="A14" s="8" t="s">
        <v>63</v>
      </c>
    </row>
    <row r="15" ht="14.25" customHeight="1">
      <c r="A15" s="8" t="s">
        <v>65</v>
      </c>
    </row>
    <row r="16" ht="14.25" customHeight="1">
      <c r="A16" s="8"/>
    </row>
    <row r="17" ht="14.25" customHeight="1">
      <c r="A17" s="11" t="s">
        <v>70</v>
      </c>
    </row>
    <row r="18" ht="14.25" customHeight="1">
      <c r="A18" s="8" t="s">
        <v>72</v>
      </c>
    </row>
    <row r="19" ht="14.25" customHeight="1">
      <c r="A19" s="8" t="s">
        <v>74</v>
      </c>
    </row>
    <row r="20" ht="14.25" customHeight="1">
      <c r="A20" s="8" t="s">
        <v>77</v>
      </c>
    </row>
    <row r="21" ht="14.25" customHeight="1">
      <c r="A21" s="8" t="s">
        <v>80</v>
      </c>
    </row>
    <row r="22" ht="14.25" customHeight="1">
      <c r="A22" s="8" t="s">
        <v>83</v>
      </c>
    </row>
    <row r="23" ht="14.25" customHeight="1">
      <c r="A23" s="8" t="s">
        <v>86</v>
      </c>
    </row>
    <row r="24" ht="14.25" customHeight="1">
      <c r="A24" s="8" t="s">
        <v>88</v>
      </c>
    </row>
    <row r="25" ht="14.25" customHeight="1">
      <c r="A25" s="8"/>
    </row>
    <row r="26" ht="14.25" customHeight="1">
      <c r="A26" s="11"/>
    </row>
    <row r="27" ht="14.25" customHeight="1">
      <c r="A27" s="8"/>
    </row>
    <row r="28" ht="14.25" customHeight="1">
      <c r="A28" s="8"/>
    </row>
    <row r="29" ht="14.25" customHeight="1">
      <c r="A29" s="8"/>
    </row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1.0" footer="0.0" header="0.0" left="0.75" right="0.75" top="1.0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6.0"/>
    <col customWidth="1" min="2" max="2" width="24.0"/>
    <col customWidth="1" min="3" max="3" width="20.0"/>
    <col customWidth="1" min="4" max="26" width="8.71"/>
  </cols>
  <sheetData>
    <row r="1" ht="14.25" customHeight="1">
      <c r="A1" s="2" t="s">
        <v>1</v>
      </c>
      <c r="B1" s="2" t="s">
        <v>3</v>
      </c>
      <c r="C1" s="2" t="s">
        <v>4</v>
      </c>
    </row>
    <row r="2" ht="14.25" customHeight="1">
      <c r="A2" s="5">
        <v>1.0</v>
      </c>
      <c r="B2" s="5" t="s">
        <v>5</v>
      </c>
      <c r="C2" s="5" t="s">
        <v>6</v>
      </c>
    </row>
    <row r="3" ht="14.25" customHeight="1">
      <c r="A3" s="5">
        <v>2.0</v>
      </c>
      <c r="B3" s="5" t="s">
        <v>8</v>
      </c>
      <c r="C3" s="5" t="s">
        <v>9</v>
      </c>
    </row>
    <row r="4" ht="14.25" customHeight="1">
      <c r="A4" s="5">
        <v>3.0</v>
      </c>
      <c r="B4" s="5" t="s">
        <v>10</v>
      </c>
      <c r="C4" s="5" t="s">
        <v>11</v>
      </c>
    </row>
    <row r="5" ht="14.25" customHeight="1">
      <c r="A5" s="5">
        <v>4.0</v>
      </c>
      <c r="B5" s="5" t="s">
        <v>12</v>
      </c>
      <c r="C5" s="5" t="s">
        <v>13</v>
      </c>
    </row>
    <row r="6" ht="14.25" customHeight="1">
      <c r="A6" s="5">
        <v>5.0</v>
      </c>
      <c r="B6" s="5" t="s">
        <v>15</v>
      </c>
      <c r="C6" s="5" t="s">
        <v>16</v>
      </c>
    </row>
    <row r="7" ht="14.25" customHeight="1">
      <c r="A7" s="5">
        <v>6.0</v>
      </c>
      <c r="B7" s="5" t="s">
        <v>17</v>
      </c>
      <c r="C7" s="5" t="s">
        <v>18</v>
      </c>
    </row>
    <row r="8" ht="14.25" customHeight="1">
      <c r="A8" s="5">
        <v>7.0</v>
      </c>
      <c r="B8" s="5" t="s">
        <v>20</v>
      </c>
      <c r="C8" s="5" t="s">
        <v>21</v>
      </c>
    </row>
    <row r="9" ht="14.25" customHeight="1">
      <c r="A9" s="5">
        <v>8.0</v>
      </c>
      <c r="B9" s="5" t="s">
        <v>22</v>
      </c>
      <c r="C9" s="5" t="s">
        <v>23</v>
      </c>
    </row>
    <row r="10" ht="14.25" customHeight="1">
      <c r="A10" s="5">
        <v>9.0</v>
      </c>
      <c r="B10" s="5" t="s">
        <v>25</v>
      </c>
      <c r="C10" s="5" t="s">
        <v>26</v>
      </c>
    </row>
    <row r="11" ht="14.25" customHeight="1">
      <c r="A11" s="5">
        <v>10.0</v>
      </c>
      <c r="B11" s="5" t="s">
        <v>28</v>
      </c>
      <c r="C11" s="5" t="s">
        <v>29</v>
      </c>
    </row>
    <row r="12" ht="14.25" customHeight="1">
      <c r="A12" s="5">
        <v>11.0</v>
      </c>
      <c r="B12" s="5" t="s">
        <v>31</v>
      </c>
      <c r="C12" s="5" t="s">
        <v>32</v>
      </c>
    </row>
    <row r="13" ht="14.25" customHeight="1">
      <c r="A13" s="5">
        <v>12.0</v>
      </c>
      <c r="B13" s="5" t="s">
        <v>33</v>
      </c>
      <c r="C13" s="5" t="s">
        <v>34</v>
      </c>
    </row>
    <row r="14" ht="14.25" customHeight="1">
      <c r="A14" s="5">
        <v>13.0</v>
      </c>
      <c r="B14" s="5" t="s">
        <v>37</v>
      </c>
      <c r="C14" s="5" t="s">
        <v>38</v>
      </c>
    </row>
    <row r="15" ht="14.25" customHeight="1">
      <c r="A15" s="5">
        <v>14.0</v>
      </c>
      <c r="B15" s="5" t="s">
        <v>40</v>
      </c>
      <c r="C15" s="5" t="s">
        <v>41</v>
      </c>
    </row>
    <row r="16" ht="14.25" customHeight="1">
      <c r="A16" s="5">
        <v>15.0</v>
      </c>
      <c r="B16" s="5" t="s">
        <v>43</v>
      </c>
      <c r="C16" s="5" t="s">
        <v>44</v>
      </c>
    </row>
    <row r="17" ht="14.25" customHeight="1">
      <c r="A17" s="5">
        <v>16.0</v>
      </c>
      <c r="B17" s="5" t="s">
        <v>46</v>
      </c>
      <c r="C17" s="5" t="s">
        <v>47</v>
      </c>
    </row>
    <row r="18" ht="14.25" customHeight="1">
      <c r="A18" s="5">
        <v>17.0</v>
      </c>
      <c r="B18" s="5" t="s">
        <v>49</v>
      </c>
      <c r="C18" s="5" t="s">
        <v>50</v>
      </c>
    </row>
    <row r="19" ht="14.25" customHeight="1">
      <c r="A19" s="5">
        <v>18.0</v>
      </c>
      <c r="B19" s="5" t="s">
        <v>52</v>
      </c>
      <c r="C19" s="5" t="s">
        <v>53</v>
      </c>
    </row>
    <row r="20" ht="14.25" customHeight="1">
      <c r="A20" s="5">
        <v>19.0</v>
      </c>
      <c r="B20" s="5" t="s">
        <v>55</v>
      </c>
      <c r="C20" s="5" t="s">
        <v>56</v>
      </c>
    </row>
    <row r="21" ht="14.25" customHeight="1">
      <c r="A21" s="5">
        <v>20.0</v>
      </c>
      <c r="B21" s="5" t="s">
        <v>58</v>
      </c>
      <c r="C21" s="5" t="s">
        <v>59</v>
      </c>
    </row>
    <row r="22" ht="14.25" customHeight="1">
      <c r="A22" s="5">
        <v>21.0</v>
      </c>
      <c r="B22" s="5" t="s">
        <v>61</v>
      </c>
      <c r="C22" s="5" t="s">
        <v>62</v>
      </c>
    </row>
    <row r="23" ht="14.25" customHeight="1">
      <c r="A23" s="5">
        <v>22.0</v>
      </c>
      <c r="B23" s="5" t="s">
        <v>64</v>
      </c>
      <c r="C23" s="5" t="s">
        <v>66</v>
      </c>
    </row>
    <row r="24" ht="14.25" customHeight="1">
      <c r="A24" s="5">
        <v>23.0</v>
      </c>
      <c r="B24" s="5" t="s">
        <v>68</v>
      </c>
      <c r="C24" s="5" t="s">
        <v>69</v>
      </c>
    </row>
    <row r="25" ht="14.25" customHeight="1">
      <c r="A25" s="5">
        <v>24.0</v>
      </c>
      <c r="B25" s="5" t="s">
        <v>71</v>
      </c>
      <c r="C25" s="5" t="s">
        <v>73</v>
      </c>
    </row>
    <row r="26" ht="14.25" customHeight="1">
      <c r="A26" s="5">
        <v>25.0</v>
      </c>
      <c r="B26" s="5" t="s">
        <v>75</v>
      </c>
      <c r="C26" s="5" t="s">
        <v>76</v>
      </c>
    </row>
    <row r="27" ht="14.25" customHeight="1">
      <c r="A27" s="5">
        <v>26.0</v>
      </c>
      <c r="B27" s="5" t="s">
        <v>78</v>
      </c>
      <c r="C27" s="5" t="s">
        <v>79</v>
      </c>
    </row>
    <row r="28" ht="14.25" customHeight="1">
      <c r="A28" s="5">
        <v>27.0</v>
      </c>
      <c r="B28" s="5" t="s">
        <v>81</v>
      </c>
      <c r="C28" s="5" t="s">
        <v>82</v>
      </c>
    </row>
    <row r="29" ht="14.25" customHeight="1">
      <c r="A29" s="5">
        <v>28.0</v>
      </c>
      <c r="B29" s="5" t="s">
        <v>84</v>
      </c>
      <c r="C29" s="5" t="s">
        <v>85</v>
      </c>
    </row>
    <row r="30" ht="14.25" customHeight="1">
      <c r="A30" s="5">
        <v>29.0</v>
      </c>
      <c r="B30" s="5" t="s">
        <v>89</v>
      </c>
      <c r="C30" s="5" t="s">
        <v>90</v>
      </c>
    </row>
    <row r="31" ht="14.25" customHeight="1">
      <c r="A31" s="5">
        <v>30.0</v>
      </c>
      <c r="B31" s="5" t="s">
        <v>92</v>
      </c>
      <c r="C31" s="5" t="s">
        <v>93</v>
      </c>
    </row>
    <row r="32" ht="14.25" customHeight="1">
      <c r="A32" s="5">
        <v>31.0</v>
      </c>
      <c r="B32" s="5" t="s">
        <v>94</v>
      </c>
      <c r="C32" s="5" t="s">
        <v>95</v>
      </c>
    </row>
    <row r="33" ht="14.25" customHeight="1">
      <c r="A33" s="5">
        <v>32.0</v>
      </c>
      <c r="B33" s="5" t="s">
        <v>96</v>
      </c>
      <c r="C33" s="5" t="s">
        <v>97</v>
      </c>
    </row>
    <row r="34" ht="14.25" customHeight="1">
      <c r="A34" s="5">
        <v>33.0</v>
      </c>
      <c r="B34" s="5" t="s">
        <v>98</v>
      </c>
      <c r="C34" s="5" t="s">
        <v>99</v>
      </c>
    </row>
    <row r="35" ht="14.25" customHeight="1">
      <c r="A35" s="5">
        <v>34.0</v>
      </c>
      <c r="B35" s="5" t="s">
        <v>101</v>
      </c>
      <c r="C35" s="5" t="s">
        <v>102</v>
      </c>
    </row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1.0" footer="0.0" header="0.0" left="0.75" right="0.75" top="1.0"/>
  <pageSetup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2.0" ySplit="2.0" topLeftCell="C3" activePane="bottomRight" state="frozen"/>
      <selection activeCell="C1" sqref="C1" pane="topRight"/>
      <selection activeCell="A3" sqref="A3" pane="bottomLeft"/>
      <selection activeCell="C3" sqref="C3" pane="bottomRight"/>
    </sheetView>
  </sheetViews>
  <sheetFormatPr customHeight="1" defaultColWidth="14.43" defaultRowHeight="15.0"/>
  <cols>
    <col customWidth="1" min="1" max="1" width="16.29"/>
    <col customWidth="1" min="2" max="2" width="21.57"/>
    <col customWidth="1" min="3" max="3" width="13.14"/>
    <col customWidth="1" min="4" max="4" width="22.57"/>
    <col customWidth="1" min="5" max="5" width="11.43"/>
    <col customWidth="1" min="6" max="6" width="12.43"/>
    <col customWidth="1" min="7" max="26" width="8.71"/>
  </cols>
  <sheetData>
    <row r="1" ht="14.25" customHeight="1">
      <c r="A1" s="3" t="s">
        <v>2</v>
      </c>
      <c r="D1" s="4"/>
    </row>
    <row r="2" ht="14.25" customHeight="1">
      <c r="A2" s="6" t="s">
        <v>7</v>
      </c>
      <c r="B2" s="7" t="s">
        <v>14</v>
      </c>
      <c r="C2" s="9" t="s">
        <v>19</v>
      </c>
      <c r="D2" s="10" t="s">
        <v>24</v>
      </c>
      <c r="E2" s="12" t="s">
        <v>30</v>
      </c>
      <c r="F2" s="6" t="s">
        <v>36</v>
      </c>
    </row>
    <row r="3" ht="14.25" customHeight="1">
      <c r="A3" s="13" t="s">
        <v>5</v>
      </c>
      <c r="B3" s="14" t="s">
        <v>8</v>
      </c>
      <c r="C3" s="15">
        <v>0.0</v>
      </c>
      <c r="D3" s="17">
        <v>1.583</v>
      </c>
      <c r="E3" s="18" t="s">
        <v>87</v>
      </c>
      <c r="F3" s="18"/>
    </row>
    <row r="4" ht="14.25" customHeight="1">
      <c r="A4" s="13" t="s">
        <v>5</v>
      </c>
      <c r="B4" s="14" t="s">
        <v>10</v>
      </c>
      <c r="C4" s="15">
        <v>1.0</v>
      </c>
      <c r="D4" s="17">
        <v>6.5</v>
      </c>
      <c r="E4" s="18" t="s">
        <v>87</v>
      </c>
      <c r="F4" s="18"/>
    </row>
    <row r="5" ht="14.25" customHeight="1">
      <c r="A5" s="13" t="s">
        <v>5</v>
      </c>
      <c r="B5" s="14" t="s">
        <v>12</v>
      </c>
      <c r="C5" s="15">
        <v>1.0</v>
      </c>
      <c r="D5" s="17">
        <v>3.5</v>
      </c>
      <c r="E5" s="18" t="s">
        <v>87</v>
      </c>
      <c r="F5" s="18"/>
    </row>
    <row r="6" ht="14.25" customHeight="1">
      <c r="A6" s="13" t="s">
        <v>5</v>
      </c>
      <c r="B6" s="14" t="s">
        <v>15</v>
      </c>
      <c r="C6" s="15">
        <v>1.0</v>
      </c>
      <c r="D6" s="17">
        <v>6.5</v>
      </c>
      <c r="E6" s="18" t="s">
        <v>87</v>
      </c>
      <c r="F6" s="18"/>
    </row>
    <row r="7" ht="14.25" customHeight="1">
      <c r="A7" s="13" t="s">
        <v>5</v>
      </c>
      <c r="B7" s="14" t="s">
        <v>17</v>
      </c>
      <c r="C7" s="15">
        <v>1.0</v>
      </c>
      <c r="D7" s="17">
        <v>4.8333</v>
      </c>
      <c r="E7" s="18" t="s">
        <v>87</v>
      </c>
      <c r="F7" s="18"/>
    </row>
    <row r="8" ht="14.25" customHeight="1">
      <c r="A8" s="13" t="s">
        <v>5</v>
      </c>
      <c r="B8" s="14" t="s">
        <v>20</v>
      </c>
      <c r="C8" s="15">
        <v>1.0</v>
      </c>
      <c r="D8" s="17">
        <v>6.92</v>
      </c>
      <c r="E8" s="18" t="s">
        <v>87</v>
      </c>
      <c r="F8" s="18"/>
    </row>
    <row r="9" ht="14.25" customHeight="1">
      <c r="A9" s="13" t="s">
        <v>5</v>
      </c>
      <c r="B9" s="14" t="s">
        <v>22</v>
      </c>
      <c r="C9" s="15">
        <v>1.0</v>
      </c>
      <c r="D9" s="17">
        <v>5.58</v>
      </c>
      <c r="E9" s="18" t="s">
        <v>87</v>
      </c>
      <c r="F9" s="18"/>
    </row>
    <row r="10" ht="14.25" customHeight="1">
      <c r="A10" s="13" t="s">
        <v>5</v>
      </c>
      <c r="B10" s="14" t="s">
        <v>25</v>
      </c>
      <c r="C10" s="15">
        <v>1.0</v>
      </c>
      <c r="D10" s="17">
        <v>9.4167</v>
      </c>
      <c r="E10" s="18" t="s">
        <v>87</v>
      </c>
      <c r="F10" s="18"/>
    </row>
    <row r="11" ht="14.25" customHeight="1">
      <c r="A11" s="13" t="s">
        <v>5</v>
      </c>
      <c r="B11" s="14" t="s">
        <v>28</v>
      </c>
      <c r="C11" s="15">
        <v>3.0</v>
      </c>
      <c r="D11" s="17">
        <v>24.0</v>
      </c>
      <c r="E11" s="18" t="s">
        <v>87</v>
      </c>
      <c r="F11" s="18"/>
    </row>
    <row r="12" ht="14.25" customHeight="1">
      <c r="A12" s="13" t="s">
        <v>5</v>
      </c>
      <c r="B12" s="14" t="s">
        <v>31</v>
      </c>
      <c r="C12" s="15">
        <v>0.0</v>
      </c>
      <c r="D12" s="17">
        <v>2.91777</v>
      </c>
      <c r="E12" s="18" t="s">
        <v>87</v>
      </c>
      <c r="F12" s="18"/>
    </row>
    <row r="13" ht="14.25" customHeight="1">
      <c r="A13" s="13" t="s">
        <v>5</v>
      </c>
      <c r="B13" s="14" t="s">
        <v>33</v>
      </c>
      <c r="C13" s="15">
        <v>2.0</v>
      </c>
      <c r="D13" s="17">
        <v>20.75</v>
      </c>
      <c r="E13" s="18" t="s">
        <v>87</v>
      </c>
      <c r="F13" s="18"/>
    </row>
    <row r="14" ht="14.25" customHeight="1">
      <c r="A14" s="13" t="s">
        <v>5</v>
      </c>
      <c r="B14" s="14" t="s">
        <v>37</v>
      </c>
      <c r="C14" s="15">
        <v>1.0</v>
      </c>
      <c r="D14" s="17">
        <v>5.08333</v>
      </c>
      <c r="E14" s="18" t="s">
        <v>87</v>
      </c>
      <c r="F14" s="18"/>
    </row>
    <row r="15" ht="14.25" customHeight="1">
      <c r="A15" s="13" t="s">
        <v>5</v>
      </c>
      <c r="B15" s="14" t="s">
        <v>40</v>
      </c>
      <c r="C15" s="15">
        <v>1.0</v>
      </c>
      <c r="D15" s="17">
        <v>5.16667</v>
      </c>
      <c r="E15" s="18" t="s">
        <v>87</v>
      </c>
      <c r="F15" s="18"/>
    </row>
    <row r="16" ht="14.25" customHeight="1">
      <c r="A16" s="13" t="s">
        <v>5</v>
      </c>
      <c r="B16" s="14" t="s">
        <v>43</v>
      </c>
      <c r="C16" s="15">
        <v>1.0</v>
      </c>
      <c r="D16" s="17">
        <v>5.9167</v>
      </c>
      <c r="E16" s="18" t="s">
        <v>87</v>
      </c>
      <c r="F16" s="18"/>
    </row>
    <row r="17" ht="14.25" customHeight="1">
      <c r="A17" s="13" t="s">
        <v>5</v>
      </c>
      <c r="B17" s="14" t="s">
        <v>46</v>
      </c>
      <c r="C17" s="15"/>
      <c r="D17" s="17"/>
      <c r="E17" s="18"/>
      <c r="F17" s="18"/>
    </row>
    <row r="18" ht="14.25" customHeight="1">
      <c r="A18" s="13" t="s">
        <v>5</v>
      </c>
      <c r="B18" s="14" t="s">
        <v>49</v>
      </c>
      <c r="C18" s="15">
        <v>1.0</v>
      </c>
      <c r="D18" s="17">
        <v>6.08333</v>
      </c>
      <c r="E18" s="18" t="s">
        <v>87</v>
      </c>
      <c r="F18" s="18"/>
    </row>
    <row r="19" ht="14.25" customHeight="1">
      <c r="A19" s="13" t="s">
        <v>5</v>
      </c>
      <c r="B19" s="14" t="s">
        <v>52</v>
      </c>
      <c r="C19" s="15">
        <v>1.0</v>
      </c>
      <c r="D19" s="17">
        <v>7.75</v>
      </c>
      <c r="E19" s="18" t="s">
        <v>87</v>
      </c>
      <c r="F19" s="18"/>
    </row>
    <row r="20" ht="14.25" customHeight="1">
      <c r="A20" s="13" t="s">
        <v>5</v>
      </c>
      <c r="B20" s="14" t="s">
        <v>55</v>
      </c>
      <c r="C20" s="15">
        <v>1.0</v>
      </c>
      <c r="D20" s="17">
        <v>12.25</v>
      </c>
      <c r="E20" s="18" t="s">
        <v>87</v>
      </c>
      <c r="F20" s="18"/>
    </row>
    <row r="21" ht="14.25" customHeight="1">
      <c r="A21" s="13" t="s">
        <v>5</v>
      </c>
      <c r="B21" s="14" t="s">
        <v>58</v>
      </c>
      <c r="C21" s="15">
        <v>1.0</v>
      </c>
      <c r="D21" s="17">
        <v>5.5</v>
      </c>
      <c r="E21" s="18" t="s">
        <v>87</v>
      </c>
      <c r="F21" s="18"/>
    </row>
    <row r="22" ht="14.25" customHeight="1">
      <c r="A22" s="13" t="s">
        <v>5</v>
      </c>
      <c r="B22" s="14" t="s">
        <v>61</v>
      </c>
      <c r="C22" s="15">
        <v>1.0</v>
      </c>
      <c r="D22" s="17">
        <v>5.6667</v>
      </c>
      <c r="E22" s="18" t="s">
        <v>87</v>
      </c>
      <c r="F22" s="18"/>
    </row>
    <row r="23" ht="14.25" customHeight="1">
      <c r="A23" s="13" t="s">
        <v>5</v>
      </c>
      <c r="B23" s="14" t="s">
        <v>64</v>
      </c>
      <c r="C23" s="15">
        <v>1.0</v>
      </c>
      <c r="D23" s="17">
        <v>7.25</v>
      </c>
      <c r="E23" s="18" t="s">
        <v>87</v>
      </c>
      <c r="F23" s="18"/>
    </row>
    <row r="24" ht="14.25" customHeight="1">
      <c r="A24" s="13" t="s">
        <v>5</v>
      </c>
      <c r="B24" s="14" t="s">
        <v>68</v>
      </c>
      <c r="C24" s="15">
        <v>1.0</v>
      </c>
      <c r="D24" s="17">
        <v>8.916677</v>
      </c>
      <c r="E24" s="18" t="s">
        <v>87</v>
      </c>
      <c r="F24" s="18"/>
    </row>
    <row r="25" ht="14.25" customHeight="1">
      <c r="A25" s="13" t="s">
        <v>5</v>
      </c>
      <c r="B25" s="14" t="s">
        <v>71</v>
      </c>
      <c r="C25" s="15">
        <v>3.0</v>
      </c>
      <c r="D25" s="17">
        <v>21.75</v>
      </c>
      <c r="E25" s="18" t="s">
        <v>87</v>
      </c>
      <c r="F25" s="18"/>
    </row>
    <row r="26" ht="14.25" customHeight="1">
      <c r="A26" s="13" t="s">
        <v>5</v>
      </c>
      <c r="B26" s="14" t="s">
        <v>75</v>
      </c>
      <c r="C26" s="15">
        <v>2.0</v>
      </c>
      <c r="D26" s="17">
        <v>19.8333</v>
      </c>
      <c r="E26" s="18" t="s">
        <v>87</v>
      </c>
      <c r="F26" s="18"/>
    </row>
    <row r="27" ht="14.25" customHeight="1">
      <c r="A27" s="13" t="s">
        <v>5</v>
      </c>
      <c r="B27" s="14" t="s">
        <v>78</v>
      </c>
      <c r="C27" s="15">
        <v>1.0</v>
      </c>
      <c r="D27" s="17">
        <v>13.5</v>
      </c>
      <c r="E27" s="18" t="s">
        <v>87</v>
      </c>
      <c r="F27" s="18"/>
    </row>
    <row r="28" ht="14.25" customHeight="1">
      <c r="A28" s="13" t="s">
        <v>5</v>
      </c>
      <c r="B28" s="14" t="s">
        <v>81</v>
      </c>
      <c r="C28" s="15">
        <v>1.0</v>
      </c>
      <c r="D28" s="17">
        <v>6.92</v>
      </c>
      <c r="E28" s="18" t="s">
        <v>87</v>
      </c>
      <c r="F28" s="18"/>
    </row>
    <row r="29" ht="14.25" customHeight="1">
      <c r="A29" s="13" t="s">
        <v>5</v>
      </c>
      <c r="B29" s="14" t="s">
        <v>84</v>
      </c>
      <c r="C29" s="15">
        <v>1.0</v>
      </c>
      <c r="D29" s="17">
        <v>8.67</v>
      </c>
      <c r="E29" s="18" t="s">
        <v>87</v>
      </c>
      <c r="F29" s="18"/>
    </row>
    <row r="30" ht="14.25" customHeight="1">
      <c r="A30" s="13" t="s">
        <v>5</v>
      </c>
      <c r="B30" s="14" t="s">
        <v>89</v>
      </c>
      <c r="C30" s="15">
        <v>1.0</v>
      </c>
      <c r="D30" s="17">
        <v>16.33</v>
      </c>
      <c r="E30" s="18" t="s">
        <v>87</v>
      </c>
      <c r="F30" s="18"/>
    </row>
    <row r="31" ht="14.25" customHeight="1">
      <c r="A31" s="13" t="s">
        <v>5</v>
      </c>
      <c r="B31" s="14" t="s">
        <v>92</v>
      </c>
      <c r="C31" s="15">
        <v>2.0</v>
      </c>
      <c r="D31" s="17">
        <v>18.1667</v>
      </c>
      <c r="E31" s="18" t="s">
        <v>87</v>
      </c>
      <c r="F31" s="18"/>
    </row>
    <row r="32" ht="14.25" customHeight="1">
      <c r="A32" s="13" t="s">
        <v>5</v>
      </c>
      <c r="B32" s="14" t="s">
        <v>94</v>
      </c>
      <c r="C32" s="15">
        <v>1.0</v>
      </c>
      <c r="D32" s="17">
        <v>13.92</v>
      </c>
      <c r="E32" s="18" t="s">
        <v>87</v>
      </c>
      <c r="F32" s="18"/>
    </row>
    <row r="33" ht="14.25" customHeight="1">
      <c r="A33" s="13" t="s">
        <v>5</v>
      </c>
      <c r="B33" s="14" t="s">
        <v>96</v>
      </c>
      <c r="C33" s="15">
        <v>1.0</v>
      </c>
      <c r="D33" s="17">
        <v>13.41667</v>
      </c>
      <c r="E33" s="18" t="s">
        <v>87</v>
      </c>
      <c r="F33" s="18"/>
    </row>
    <row r="34" ht="14.25" customHeight="1">
      <c r="A34" s="13" t="s">
        <v>5</v>
      </c>
      <c r="B34" s="14" t="s">
        <v>98</v>
      </c>
      <c r="C34" s="15">
        <v>1.0</v>
      </c>
      <c r="D34" s="17">
        <v>12.42</v>
      </c>
      <c r="E34" s="18" t="s">
        <v>87</v>
      </c>
      <c r="F34" s="18"/>
    </row>
    <row r="35" ht="14.25" customHeight="1">
      <c r="A35" s="13" t="s">
        <v>5</v>
      </c>
      <c r="B35" s="14" t="s">
        <v>101</v>
      </c>
      <c r="C35" s="15">
        <v>1.0</v>
      </c>
      <c r="D35" s="17">
        <v>12.92</v>
      </c>
      <c r="E35" s="18" t="s">
        <v>87</v>
      </c>
      <c r="F35" s="18"/>
    </row>
    <row r="36" ht="14.25" customHeight="1">
      <c r="A36" s="13" t="s">
        <v>8</v>
      </c>
      <c r="B36" s="14" t="s">
        <v>10</v>
      </c>
      <c r="C36" s="15">
        <v>0.0</v>
      </c>
      <c r="D36" s="17">
        <v>1.33</v>
      </c>
      <c r="E36" s="18" t="s">
        <v>87</v>
      </c>
      <c r="F36" s="18"/>
    </row>
    <row r="37" ht="14.25" customHeight="1">
      <c r="A37" s="13" t="s">
        <v>8</v>
      </c>
      <c r="B37" s="14" t="s">
        <v>12</v>
      </c>
      <c r="C37" s="15">
        <v>0.0</v>
      </c>
      <c r="D37" s="17">
        <v>1.1667</v>
      </c>
      <c r="E37" s="18" t="s">
        <v>87</v>
      </c>
      <c r="F37" s="18"/>
    </row>
    <row r="38" ht="14.25" customHeight="1">
      <c r="A38" s="13" t="s">
        <v>8</v>
      </c>
      <c r="B38" s="14" t="s">
        <v>15</v>
      </c>
      <c r="C38" s="15">
        <v>1.0</v>
      </c>
      <c r="D38" s="17">
        <v>4.42</v>
      </c>
      <c r="E38" s="18" t="s">
        <v>87</v>
      </c>
      <c r="F38" s="18"/>
    </row>
    <row r="39" ht="14.25" customHeight="1">
      <c r="A39" s="13" t="s">
        <v>8</v>
      </c>
      <c r="B39" s="14" t="s">
        <v>17</v>
      </c>
      <c r="C39" s="15">
        <v>0.0</v>
      </c>
      <c r="D39" s="17">
        <v>1.833</v>
      </c>
      <c r="E39" s="18" t="s">
        <v>87</v>
      </c>
      <c r="F39" s="18"/>
    </row>
    <row r="40" ht="14.25" customHeight="1">
      <c r="A40" s="13" t="s">
        <v>8</v>
      </c>
      <c r="B40" s="14" t="s">
        <v>20</v>
      </c>
      <c r="C40" s="15">
        <v>1.0</v>
      </c>
      <c r="D40" s="17">
        <v>5.1667</v>
      </c>
      <c r="E40" s="18" t="s">
        <v>87</v>
      </c>
      <c r="F40" s="18"/>
    </row>
    <row r="41" ht="14.25" customHeight="1">
      <c r="A41" s="13" t="s">
        <v>8</v>
      </c>
      <c r="B41" s="14" t="s">
        <v>22</v>
      </c>
      <c r="C41" s="15">
        <v>1.0</v>
      </c>
      <c r="D41" s="17">
        <v>4.167</v>
      </c>
      <c r="E41" s="18" t="s">
        <v>87</v>
      </c>
      <c r="F41" s="18"/>
    </row>
    <row r="42" ht="14.25" customHeight="1">
      <c r="A42" s="13" t="s">
        <v>8</v>
      </c>
      <c r="B42" s="14" t="s">
        <v>25</v>
      </c>
      <c r="C42" s="15">
        <v>1.0</v>
      </c>
      <c r="D42" s="17">
        <v>5.5</v>
      </c>
      <c r="E42" s="18" t="s">
        <v>87</v>
      </c>
      <c r="F42" s="18"/>
    </row>
    <row r="43" ht="14.25" customHeight="1">
      <c r="A43" s="13" t="s">
        <v>8</v>
      </c>
      <c r="B43" s="14" t="s">
        <v>28</v>
      </c>
      <c r="C43" s="15">
        <v>1.0</v>
      </c>
      <c r="D43" s="17">
        <v>5.92</v>
      </c>
      <c r="E43" s="18" t="s">
        <v>87</v>
      </c>
      <c r="F43" s="18"/>
    </row>
    <row r="44" ht="14.25" customHeight="1">
      <c r="A44" s="13" t="s">
        <v>8</v>
      </c>
      <c r="B44" s="14" t="s">
        <v>31</v>
      </c>
      <c r="C44" s="15">
        <v>1.0</v>
      </c>
      <c r="D44" s="17">
        <v>2.42</v>
      </c>
      <c r="E44" s="18" t="s">
        <v>87</v>
      </c>
      <c r="F44" s="18"/>
    </row>
    <row r="45" ht="14.25" customHeight="1">
      <c r="A45" s="13" t="s">
        <v>8</v>
      </c>
      <c r="B45" s="14" t="s">
        <v>33</v>
      </c>
      <c r="C45" s="15">
        <v>0.0</v>
      </c>
      <c r="D45" s="17">
        <v>2.667</v>
      </c>
      <c r="E45" s="18" t="s">
        <v>87</v>
      </c>
      <c r="F45" s="18"/>
    </row>
    <row r="46" ht="14.25" customHeight="1">
      <c r="A46" s="13" t="s">
        <v>8</v>
      </c>
      <c r="B46" s="14" t="s">
        <v>37</v>
      </c>
      <c r="C46" s="15">
        <v>1.0</v>
      </c>
      <c r="D46" s="17">
        <v>5.0</v>
      </c>
      <c r="E46" s="18" t="s">
        <v>87</v>
      </c>
      <c r="F46" s="18"/>
    </row>
    <row r="47" ht="14.25" customHeight="1">
      <c r="A47" s="13" t="s">
        <v>8</v>
      </c>
      <c r="B47" s="14" t="s">
        <v>40</v>
      </c>
      <c r="C47" s="15">
        <v>0.0</v>
      </c>
      <c r="D47" s="17">
        <v>2.83</v>
      </c>
      <c r="E47" s="18" t="s">
        <v>87</v>
      </c>
      <c r="F47" s="18"/>
    </row>
    <row r="48" ht="14.25" customHeight="1">
      <c r="A48" s="13" t="s">
        <v>8</v>
      </c>
      <c r="B48" s="14" t="s">
        <v>43</v>
      </c>
      <c r="C48" s="15">
        <v>0.0</v>
      </c>
      <c r="D48" s="17">
        <v>3.17</v>
      </c>
      <c r="E48" s="18" t="s">
        <v>87</v>
      </c>
      <c r="F48" s="18"/>
    </row>
    <row r="49" ht="14.25" customHeight="1">
      <c r="A49" s="13" t="s">
        <v>8</v>
      </c>
      <c r="B49" s="14" t="s">
        <v>46</v>
      </c>
      <c r="C49" s="15"/>
      <c r="D49" s="17"/>
      <c r="E49" s="18"/>
      <c r="F49" s="18"/>
    </row>
    <row r="50" ht="14.25" customHeight="1">
      <c r="A50" s="13" t="s">
        <v>8</v>
      </c>
      <c r="B50" s="14" t="s">
        <v>49</v>
      </c>
      <c r="C50" s="15">
        <v>1.0</v>
      </c>
      <c r="D50" s="17">
        <v>5.17</v>
      </c>
      <c r="E50" s="18" t="s">
        <v>87</v>
      </c>
      <c r="F50" s="18"/>
    </row>
    <row r="51" ht="14.25" customHeight="1">
      <c r="A51" s="13" t="s">
        <v>8</v>
      </c>
      <c r="B51" s="14" t="s">
        <v>52</v>
      </c>
      <c r="C51" s="15">
        <v>1.0</v>
      </c>
      <c r="D51" s="17">
        <v>5.5</v>
      </c>
      <c r="E51" s="18" t="s">
        <v>87</v>
      </c>
      <c r="F51" s="18"/>
    </row>
    <row r="52" ht="14.25" customHeight="1">
      <c r="A52" s="13" t="s">
        <v>8</v>
      </c>
      <c r="B52" s="14" t="s">
        <v>55</v>
      </c>
      <c r="C52" s="15">
        <v>1.0</v>
      </c>
      <c r="D52" s="17">
        <v>10.17</v>
      </c>
      <c r="E52" s="18" t="s">
        <v>87</v>
      </c>
      <c r="F52" s="18"/>
    </row>
    <row r="53" ht="14.25" customHeight="1">
      <c r="A53" s="13" t="s">
        <v>8</v>
      </c>
      <c r="B53" s="14" t="s">
        <v>58</v>
      </c>
      <c r="C53" s="15">
        <v>1.0</v>
      </c>
      <c r="D53" s="17">
        <v>4.33</v>
      </c>
      <c r="E53" s="18" t="s">
        <v>87</v>
      </c>
      <c r="F53" s="18"/>
    </row>
    <row r="54" ht="14.25" customHeight="1">
      <c r="A54" s="13" t="s">
        <v>8</v>
      </c>
      <c r="B54" s="14" t="s">
        <v>61</v>
      </c>
      <c r="C54" s="15">
        <v>1.0</v>
      </c>
      <c r="D54" s="17">
        <v>5.25</v>
      </c>
      <c r="E54" s="18" t="s">
        <v>87</v>
      </c>
      <c r="F54" s="18"/>
    </row>
    <row r="55" ht="14.25" customHeight="1">
      <c r="A55" s="13" t="s">
        <v>8</v>
      </c>
      <c r="B55" s="14" t="s">
        <v>64</v>
      </c>
      <c r="C55" s="15">
        <v>1.0</v>
      </c>
      <c r="D55" s="17">
        <v>6.33</v>
      </c>
      <c r="E55" s="18" t="s">
        <v>87</v>
      </c>
      <c r="F55" s="18"/>
    </row>
    <row r="56" ht="14.25" customHeight="1">
      <c r="A56" s="13" t="s">
        <v>8</v>
      </c>
      <c r="B56" s="14" t="s">
        <v>68</v>
      </c>
      <c r="C56" s="15">
        <v>1.0</v>
      </c>
      <c r="D56" s="17">
        <v>6.67</v>
      </c>
      <c r="E56" s="18" t="s">
        <v>87</v>
      </c>
      <c r="F56" s="18"/>
    </row>
    <row r="57" ht="14.25" customHeight="1">
      <c r="A57" s="13" t="s">
        <v>8</v>
      </c>
      <c r="B57" s="14" t="s">
        <v>71</v>
      </c>
      <c r="C57" s="15">
        <v>1.0</v>
      </c>
      <c r="D57" s="17">
        <v>7.42</v>
      </c>
      <c r="E57" s="18" t="s">
        <v>87</v>
      </c>
      <c r="F57" s="18"/>
    </row>
    <row r="58" ht="14.25" customHeight="1">
      <c r="A58" s="13" t="s">
        <v>8</v>
      </c>
      <c r="B58" s="14" t="s">
        <v>75</v>
      </c>
      <c r="C58" s="15">
        <v>1.0</v>
      </c>
      <c r="D58" s="17">
        <v>8.33</v>
      </c>
      <c r="E58" s="18" t="s">
        <v>87</v>
      </c>
      <c r="F58" s="18"/>
    </row>
    <row r="59" ht="14.25" customHeight="1">
      <c r="A59" s="13" t="s">
        <v>8</v>
      </c>
      <c r="B59" s="14" t="s">
        <v>78</v>
      </c>
      <c r="C59" s="15">
        <v>1.0</v>
      </c>
      <c r="D59" s="17">
        <v>9.33</v>
      </c>
      <c r="E59" s="18" t="s">
        <v>87</v>
      </c>
      <c r="F59" s="18"/>
    </row>
    <row r="60" ht="14.25" customHeight="1">
      <c r="A60" s="13" t="s">
        <v>8</v>
      </c>
      <c r="B60" s="14" t="s">
        <v>81</v>
      </c>
      <c r="C60" s="15">
        <v>1.0</v>
      </c>
      <c r="D60" s="17">
        <v>5.92</v>
      </c>
      <c r="E60" s="18" t="s">
        <v>87</v>
      </c>
      <c r="F60" s="18"/>
    </row>
    <row r="61" ht="14.25" customHeight="1">
      <c r="A61" s="13" t="s">
        <v>8</v>
      </c>
      <c r="B61" s="14" t="s">
        <v>84</v>
      </c>
      <c r="C61" s="15">
        <v>1.0</v>
      </c>
      <c r="D61" s="17">
        <v>7.33</v>
      </c>
      <c r="E61" s="18" t="s">
        <v>87</v>
      </c>
      <c r="F61" s="18"/>
    </row>
    <row r="62" ht="14.25" customHeight="1">
      <c r="A62" s="13" t="s">
        <v>8</v>
      </c>
      <c r="B62" s="14" t="s">
        <v>89</v>
      </c>
      <c r="C62" s="15">
        <v>1.0</v>
      </c>
      <c r="D62" s="17">
        <v>10.33</v>
      </c>
      <c r="E62" s="18" t="s">
        <v>87</v>
      </c>
      <c r="F62" s="18"/>
    </row>
    <row r="63" ht="14.25" customHeight="1">
      <c r="A63" s="13" t="s">
        <v>8</v>
      </c>
      <c r="B63" s="14" t="s">
        <v>92</v>
      </c>
      <c r="C63" s="15">
        <v>2.0</v>
      </c>
      <c r="D63" s="17">
        <v>9.58</v>
      </c>
      <c r="E63" s="18" t="s">
        <v>87</v>
      </c>
      <c r="F63" s="18"/>
    </row>
    <row r="64" ht="14.25" customHeight="1">
      <c r="A64" s="13" t="s">
        <v>8</v>
      </c>
      <c r="B64" s="14" t="s">
        <v>94</v>
      </c>
      <c r="C64" s="15">
        <v>1.0</v>
      </c>
      <c r="D64" s="17">
        <v>7.33</v>
      </c>
      <c r="E64" s="18" t="s">
        <v>87</v>
      </c>
      <c r="F64" s="18"/>
    </row>
    <row r="65" ht="14.25" customHeight="1">
      <c r="A65" s="13" t="s">
        <v>8</v>
      </c>
      <c r="B65" s="14" t="s">
        <v>96</v>
      </c>
      <c r="C65" s="15">
        <v>1.0</v>
      </c>
      <c r="D65" s="17">
        <v>9.25</v>
      </c>
      <c r="E65" s="18" t="s">
        <v>87</v>
      </c>
      <c r="F65" s="18"/>
    </row>
    <row r="66" ht="14.25" customHeight="1">
      <c r="A66" s="13" t="s">
        <v>8</v>
      </c>
      <c r="B66" s="14" t="s">
        <v>98</v>
      </c>
      <c r="C66" s="15">
        <v>1.0</v>
      </c>
      <c r="D66" s="17">
        <v>8.5</v>
      </c>
      <c r="E66" s="18" t="s">
        <v>87</v>
      </c>
      <c r="F66" s="18"/>
    </row>
    <row r="67" ht="14.25" customHeight="1">
      <c r="A67" s="13" t="s">
        <v>8</v>
      </c>
      <c r="B67" s="14" t="s">
        <v>101</v>
      </c>
      <c r="C67" s="15">
        <v>1.0</v>
      </c>
      <c r="D67" s="17">
        <v>8.75</v>
      </c>
      <c r="E67" s="18" t="s">
        <v>87</v>
      </c>
      <c r="F67" s="18"/>
    </row>
    <row r="68" ht="14.25" customHeight="1">
      <c r="A68" s="13" t="s">
        <v>10</v>
      </c>
      <c r="B68" s="14" t="s">
        <v>12</v>
      </c>
      <c r="C68" s="15">
        <v>1.0</v>
      </c>
      <c r="D68" s="17">
        <v>11.75</v>
      </c>
      <c r="E68" s="18" t="s">
        <v>87</v>
      </c>
      <c r="F68" s="18"/>
    </row>
    <row r="69" ht="14.25" customHeight="1">
      <c r="A69" s="13" t="s">
        <v>10</v>
      </c>
      <c r="B69" s="14" t="s">
        <v>15</v>
      </c>
      <c r="C69" s="15">
        <v>1.0</v>
      </c>
      <c r="D69" s="17">
        <v>4.42</v>
      </c>
      <c r="E69" s="18" t="s">
        <v>87</v>
      </c>
      <c r="F69" s="18"/>
    </row>
    <row r="70" ht="14.25" customHeight="1">
      <c r="A70" s="13" t="s">
        <v>10</v>
      </c>
      <c r="B70" s="14" t="s">
        <v>17</v>
      </c>
      <c r="C70" s="15">
        <v>1.0</v>
      </c>
      <c r="D70" s="17">
        <v>4.0</v>
      </c>
      <c r="E70" s="18" t="s">
        <v>87</v>
      </c>
      <c r="F70" s="18"/>
    </row>
    <row r="71" ht="14.25" customHeight="1">
      <c r="A71" s="13" t="s">
        <v>10</v>
      </c>
      <c r="B71" s="14" t="s">
        <v>20</v>
      </c>
      <c r="C71" s="15">
        <v>1.0</v>
      </c>
      <c r="D71" s="17">
        <v>5.33</v>
      </c>
      <c r="E71" s="18" t="s">
        <v>87</v>
      </c>
      <c r="F71" s="18"/>
    </row>
    <row r="72" ht="14.25" customHeight="1">
      <c r="A72" s="13" t="s">
        <v>10</v>
      </c>
      <c r="B72" s="14" t="s">
        <v>22</v>
      </c>
      <c r="C72" s="15">
        <v>1.0</v>
      </c>
      <c r="D72" s="17">
        <v>4.833</v>
      </c>
      <c r="E72" s="18" t="s">
        <v>87</v>
      </c>
      <c r="F72" s="18"/>
    </row>
    <row r="73" ht="14.25" customHeight="1">
      <c r="A73" s="13" t="s">
        <v>10</v>
      </c>
      <c r="B73" s="14" t="s">
        <v>25</v>
      </c>
      <c r="C73" s="15">
        <v>1.0</v>
      </c>
      <c r="D73" s="17">
        <v>4.833</v>
      </c>
      <c r="E73" s="18" t="s">
        <v>87</v>
      </c>
      <c r="F73" s="18"/>
    </row>
    <row r="74" ht="14.25" customHeight="1">
      <c r="A74" s="13" t="s">
        <v>10</v>
      </c>
      <c r="B74" s="14" t="s">
        <v>28</v>
      </c>
      <c r="C74" s="15">
        <v>1.0</v>
      </c>
      <c r="D74" s="17">
        <v>5.0</v>
      </c>
      <c r="E74" s="18" t="s">
        <v>87</v>
      </c>
      <c r="F74" s="18"/>
    </row>
    <row r="75" ht="14.25" customHeight="1">
      <c r="A75" s="13" t="s">
        <v>10</v>
      </c>
      <c r="B75" s="14" t="s">
        <v>31</v>
      </c>
      <c r="C75" s="15">
        <v>0.0</v>
      </c>
      <c r="D75" s="17">
        <v>1.83</v>
      </c>
      <c r="E75" s="18" t="s">
        <v>87</v>
      </c>
      <c r="F75" s="18"/>
    </row>
    <row r="76" ht="14.25" customHeight="1">
      <c r="A76" s="13" t="s">
        <v>10</v>
      </c>
      <c r="B76" s="14" t="s">
        <v>33</v>
      </c>
      <c r="C76" s="15">
        <v>2.0</v>
      </c>
      <c r="D76" s="17">
        <v>19.167</v>
      </c>
      <c r="E76" s="18" t="s">
        <v>87</v>
      </c>
      <c r="F76" s="18"/>
    </row>
    <row r="77" ht="14.25" customHeight="1">
      <c r="A77" s="13" t="s">
        <v>10</v>
      </c>
      <c r="B77" s="14" t="s">
        <v>37</v>
      </c>
      <c r="C77" s="15">
        <v>1.0</v>
      </c>
      <c r="D77" s="17">
        <v>3.833</v>
      </c>
      <c r="E77" s="18" t="s">
        <v>87</v>
      </c>
      <c r="F77" s="18"/>
    </row>
    <row r="78" ht="14.25" customHeight="1">
      <c r="A78" s="13" t="s">
        <v>10</v>
      </c>
      <c r="B78" s="14" t="s">
        <v>40</v>
      </c>
      <c r="C78" s="15">
        <v>0.0</v>
      </c>
      <c r="D78" s="17">
        <v>2.25</v>
      </c>
      <c r="E78" s="18" t="s">
        <v>87</v>
      </c>
      <c r="F78" s="18"/>
    </row>
    <row r="79" ht="14.25" customHeight="1">
      <c r="A79" s="13" t="s">
        <v>10</v>
      </c>
      <c r="B79" s="14" t="s">
        <v>43</v>
      </c>
      <c r="C79" s="15">
        <v>1.0</v>
      </c>
      <c r="D79" s="17">
        <v>4.58</v>
      </c>
      <c r="E79" s="18" t="s">
        <v>87</v>
      </c>
      <c r="F79" s="18"/>
    </row>
    <row r="80" ht="14.25" customHeight="1">
      <c r="A80" s="13" t="s">
        <v>10</v>
      </c>
      <c r="B80" s="14" t="s">
        <v>46</v>
      </c>
      <c r="C80" s="15"/>
      <c r="D80" s="17"/>
      <c r="E80" s="18"/>
      <c r="F80" s="18"/>
    </row>
    <row r="81" ht="14.25" customHeight="1">
      <c r="A81" s="13" t="s">
        <v>10</v>
      </c>
      <c r="B81" s="14" t="s">
        <v>49</v>
      </c>
      <c r="C81" s="15">
        <v>1.0</v>
      </c>
      <c r="D81" s="17">
        <v>4.92</v>
      </c>
      <c r="E81" s="18" t="s">
        <v>87</v>
      </c>
      <c r="F81" s="18"/>
    </row>
    <row r="82" ht="14.25" customHeight="1">
      <c r="A82" s="13" t="s">
        <v>10</v>
      </c>
      <c r="B82" s="14" t="s">
        <v>52</v>
      </c>
      <c r="C82" s="15">
        <v>1.0</v>
      </c>
      <c r="D82" s="17">
        <v>5.33</v>
      </c>
      <c r="E82" s="18" t="s">
        <v>87</v>
      </c>
      <c r="F82" s="18"/>
    </row>
    <row r="83" ht="14.25" customHeight="1">
      <c r="A83" s="13" t="s">
        <v>10</v>
      </c>
      <c r="B83" s="14" t="s">
        <v>55</v>
      </c>
      <c r="C83" s="15">
        <v>1.0</v>
      </c>
      <c r="D83" s="17">
        <v>8.92</v>
      </c>
      <c r="E83" s="18" t="s">
        <v>87</v>
      </c>
      <c r="F83" s="18"/>
    </row>
    <row r="84" ht="14.25" customHeight="1">
      <c r="A84" s="13" t="s">
        <v>10</v>
      </c>
      <c r="B84" s="14" t="s">
        <v>58</v>
      </c>
      <c r="C84" s="15">
        <v>1.0</v>
      </c>
      <c r="D84" s="17">
        <v>4.25</v>
      </c>
      <c r="E84" s="18" t="s">
        <v>87</v>
      </c>
      <c r="F84" s="18"/>
    </row>
    <row r="85" ht="14.25" customHeight="1">
      <c r="A85" s="13" t="s">
        <v>10</v>
      </c>
      <c r="B85" s="14" t="s">
        <v>61</v>
      </c>
      <c r="C85" s="15">
        <v>1.0</v>
      </c>
      <c r="D85" s="17">
        <v>4.42</v>
      </c>
      <c r="E85" s="18" t="s">
        <v>87</v>
      </c>
      <c r="F85" s="18"/>
    </row>
    <row r="86" ht="14.25" customHeight="1">
      <c r="A86" s="13" t="s">
        <v>10</v>
      </c>
      <c r="B86" s="14" t="s">
        <v>64</v>
      </c>
      <c r="C86" s="15">
        <v>1.0</v>
      </c>
      <c r="D86" s="17">
        <v>4.75</v>
      </c>
      <c r="E86" s="18" t="s">
        <v>87</v>
      </c>
      <c r="F86" s="18"/>
    </row>
    <row r="87" ht="14.25" customHeight="1">
      <c r="A87" s="13" t="s">
        <v>10</v>
      </c>
      <c r="B87" s="14" t="s">
        <v>68</v>
      </c>
      <c r="C87" s="15">
        <v>1.0</v>
      </c>
      <c r="D87" s="17">
        <v>5.38</v>
      </c>
      <c r="E87" s="18" t="s">
        <v>87</v>
      </c>
      <c r="F87" s="18"/>
    </row>
    <row r="88" ht="14.25" customHeight="1">
      <c r="A88" s="13" t="s">
        <v>10</v>
      </c>
      <c r="B88" s="14" t="s">
        <v>71</v>
      </c>
      <c r="C88" s="15">
        <v>1.0</v>
      </c>
      <c r="D88" s="17">
        <v>5.25</v>
      </c>
      <c r="E88" s="18" t="s">
        <v>87</v>
      </c>
      <c r="F88" s="18"/>
    </row>
    <row r="89" ht="14.25" customHeight="1">
      <c r="A89" s="13" t="s">
        <v>10</v>
      </c>
      <c r="B89" s="14" t="s">
        <v>75</v>
      </c>
      <c r="C89" s="15">
        <v>1.0</v>
      </c>
      <c r="D89" s="17">
        <v>7.5</v>
      </c>
      <c r="E89" s="18" t="s">
        <v>87</v>
      </c>
      <c r="F89" s="18"/>
    </row>
    <row r="90" ht="14.25" customHeight="1">
      <c r="A90" s="13" t="s">
        <v>10</v>
      </c>
      <c r="B90" s="14" t="s">
        <v>78</v>
      </c>
      <c r="C90" s="15">
        <v>1.0</v>
      </c>
      <c r="D90" s="17">
        <v>9.67</v>
      </c>
      <c r="E90" s="18" t="s">
        <v>87</v>
      </c>
      <c r="F90" s="18"/>
    </row>
    <row r="91" ht="14.25" customHeight="1">
      <c r="A91" s="13" t="s">
        <v>10</v>
      </c>
      <c r="B91" s="14" t="s">
        <v>81</v>
      </c>
      <c r="C91" s="15">
        <v>1.0</v>
      </c>
      <c r="D91" s="17">
        <v>5.42</v>
      </c>
      <c r="E91" s="18" t="s">
        <v>87</v>
      </c>
      <c r="F91" s="18"/>
    </row>
    <row r="92" ht="14.25" customHeight="1">
      <c r="A92" s="13" t="s">
        <v>10</v>
      </c>
      <c r="B92" s="14" t="s">
        <v>84</v>
      </c>
      <c r="C92" s="15">
        <v>1.0</v>
      </c>
      <c r="D92" s="17">
        <v>6.75</v>
      </c>
      <c r="E92" s="18" t="s">
        <v>87</v>
      </c>
      <c r="F92" s="18"/>
    </row>
    <row r="93" ht="14.25" customHeight="1">
      <c r="A93" s="13" t="s">
        <v>10</v>
      </c>
      <c r="B93" s="14" t="s">
        <v>89</v>
      </c>
      <c r="C93" s="15">
        <v>1.0</v>
      </c>
      <c r="D93" s="17">
        <v>11.33</v>
      </c>
      <c r="E93" s="18" t="s">
        <v>87</v>
      </c>
      <c r="F93" s="18"/>
    </row>
    <row r="94" ht="14.25" customHeight="1">
      <c r="A94" s="13" t="s">
        <v>10</v>
      </c>
      <c r="B94" s="14" t="s">
        <v>92</v>
      </c>
      <c r="C94" s="15">
        <v>2.0</v>
      </c>
      <c r="D94" s="17">
        <v>13.35</v>
      </c>
      <c r="E94" s="18" t="s">
        <v>87</v>
      </c>
      <c r="F94" s="18"/>
    </row>
    <row r="95" ht="14.25" customHeight="1">
      <c r="A95" s="13" t="s">
        <v>10</v>
      </c>
      <c r="B95" s="14" t="s">
        <v>94</v>
      </c>
      <c r="C95" s="15">
        <v>1.0</v>
      </c>
      <c r="D95" s="17">
        <v>9.5</v>
      </c>
      <c r="E95" s="18" t="s">
        <v>87</v>
      </c>
      <c r="F95" s="18"/>
    </row>
    <row r="96" ht="14.25" customHeight="1">
      <c r="A96" s="13" t="s">
        <v>10</v>
      </c>
      <c r="B96" s="14" t="s">
        <v>96</v>
      </c>
      <c r="C96" s="15">
        <v>1.0</v>
      </c>
      <c r="D96" s="17">
        <v>10.5</v>
      </c>
      <c r="E96" s="18" t="s">
        <v>87</v>
      </c>
      <c r="F96" s="18"/>
    </row>
    <row r="97" ht="14.25" customHeight="1">
      <c r="A97" s="13" t="s">
        <v>10</v>
      </c>
      <c r="B97" s="14" t="s">
        <v>98</v>
      </c>
      <c r="C97" s="15">
        <v>1.0</v>
      </c>
      <c r="D97" s="17">
        <v>8.92</v>
      </c>
      <c r="E97" s="18" t="s">
        <v>87</v>
      </c>
      <c r="F97" s="18"/>
    </row>
    <row r="98" ht="14.25" customHeight="1">
      <c r="A98" s="13" t="s">
        <v>10</v>
      </c>
      <c r="B98" s="14" t="s">
        <v>101</v>
      </c>
      <c r="C98" s="15">
        <v>1.0</v>
      </c>
      <c r="D98" s="17">
        <v>10.42</v>
      </c>
      <c r="E98" s="18" t="s">
        <v>87</v>
      </c>
      <c r="F98" s="18"/>
    </row>
    <row r="99" ht="14.25" customHeight="1">
      <c r="A99" s="13" t="s">
        <v>12</v>
      </c>
      <c r="B99" s="14" t="s">
        <v>15</v>
      </c>
      <c r="C99" s="15">
        <v>1.0</v>
      </c>
      <c r="D99" s="17">
        <v>4.167</v>
      </c>
      <c r="E99" s="18" t="s">
        <v>87</v>
      </c>
      <c r="F99" s="18"/>
    </row>
    <row r="100" ht="14.25" customHeight="1">
      <c r="A100" s="13" t="s">
        <v>12</v>
      </c>
      <c r="B100" s="14" t="s">
        <v>17</v>
      </c>
      <c r="C100" s="15">
        <v>1.0</v>
      </c>
      <c r="D100" s="17">
        <v>3.58</v>
      </c>
      <c r="E100" s="18" t="s">
        <v>87</v>
      </c>
      <c r="F100" s="18"/>
    </row>
    <row r="101" ht="14.25" customHeight="1">
      <c r="A101" s="13" t="s">
        <v>12</v>
      </c>
      <c r="B101" s="14" t="s">
        <v>20</v>
      </c>
      <c r="C101" s="15">
        <v>1.0</v>
      </c>
      <c r="D101" s="17">
        <v>4.83</v>
      </c>
      <c r="E101" s="18" t="s">
        <v>87</v>
      </c>
      <c r="F101" s="18"/>
    </row>
    <row r="102" ht="14.25" customHeight="1">
      <c r="A102" s="13" t="s">
        <v>12</v>
      </c>
      <c r="B102" s="14" t="s">
        <v>22</v>
      </c>
      <c r="C102" s="15">
        <v>1.0</v>
      </c>
      <c r="D102" s="17">
        <v>3.75</v>
      </c>
      <c r="E102" s="18" t="s">
        <v>87</v>
      </c>
      <c r="F102" s="18"/>
    </row>
    <row r="103" ht="14.25" customHeight="1">
      <c r="A103" s="13" t="s">
        <v>12</v>
      </c>
      <c r="B103" s="14" t="s">
        <v>25</v>
      </c>
      <c r="C103" s="15">
        <v>1.0</v>
      </c>
      <c r="D103" s="17">
        <v>5.5</v>
      </c>
      <c r="E103" s="18" t="s">
        <v>87</v>
      </c>
      <c r="F103" s="18"/>
    </row>
    <row r="104" ht="14.25" customHeight="1">
      <c r="A104" s="13" t="s">
        <v>12</v>
      </c>
      <c r="B104" s="14" t="s">
        <v>28</v>
      </c>
      <c r="C104" s="15">
        <v>1.0</v>
      </c>
      <c r="D104" s="17">
        <v>5.92</v>
      </c>
      <c r="E104" s="18" t="s">
        <v>87</v>
      </c>
      <c r="F104" s="18"/>
    </row>
    <row r="105" ht="14.25" customHeight="1">
      <c r="A105" s="13" t="s">
        <v>12</v>
      </c>
      <c r="B105" s="14" t="s">
        <v>31</v>
      </c>
      <c r="C105" s="15">
        <v>1.0</v>
      </c>
      <c r="D105" s="17">
        <v>1.75</v>
      </c>
      <c r="E105" s="18" t="s">
        <v>87</v>
      </c>
      <c r="F105" s="18"/>
    </row>
    <row r="106" ht="14.25" customHeight="1">
      <c r="A106" s="13" t="s">
        <v>12</v>
      </c>
      <c r="B106" s="14" t="s">
        <v>33</v>
      </c>
      <c r="C106" s="15">
        <v>1.0</v>
      </c>
      <c r="D106" s="17">
        <v>6.33</v>
      </c>
      <c r="E106" s="18" t="s">
        <v>87</v>
      </c>
      <c r="F106" s="18"/>
    </row>
    <row r="107" ht="14.25" customHeight="1">
      <c r="A107" s="13" t="s">
        <v>12</v>
      </c>
      <c r="B107" s="14" t="s">
        <v>37</v>
      </c>
      <c r="C107" s="15">
        <v>1.0</v>
      </c>
      <c r="D107" s="17">
        <v>4.92</v>
      </c>
      <c r="E107" s="18" t="s">
        <v>87</v>
      </c>
      <c r="F107" s="18"/>
    </row>
    <row r="108" ht="14.25" customHeight="1">
      <c r="A108" s="13" t="s">
        <v>12</v>
      </c>
      <c r="B108" s="14" t="s">
        <v>40</v>
      </c>
      <c r="C108" s="15">
        <v>1.0</v>
      </c>
      <c r="D108" s="17">
        <v>5.0</v>
      </c>
      <c r="E108" s="18" t="s">
        <v>87</v>
      </c>
      <c r="F108" s="18"/>
    </row>
    <row r="109" ht="14.25" customHeight="1">
      <c r="A109" s="13" t="s">
        <v>12</v>
      </c>
      <c r="B109" s="14" t="s">
        <v>43</v>
      </c>
      <c r="C109" s="15">
        <v>1.0</v>
      </c>
      <c r="D109" s="17">
        <v>6.25</v>
      </c>
      <c r="E109" s="18" t="s">
        <v>87</v>
      </c>
      <c r="F109" s="18"/>
    </row>
    <row r="110" ht="14.25" customHeight="1">
      <c r="A110" s="13" t="s">
        <v>12</v>
      </c>
      <c r="B110" s="14" t="s">
        <v>46</v>
      </c>
      <c r="C110" s="15"/>
      <c r="D110" s="17"/>
      <c r="E110" s="18"/>
      <c r="F110" s="18"/>
    </row>
    <row r="111" ht="14.25" customHeight="1">
      <c r="A111" s="13" t="s">
        <v>12</v>
      </c>
      <c r="B111" s="14" t="s">
        <v>49</v>
      </c>
      <c r="C111" s="15">
        <v>1.0</v>
      </c>
      <c r="D111" s="17">
        <v>4.67</v>
      </c>
      <c r="E111" s="18" t="s">
        <v>87</v>
      </c>
      <c r="F111" s="18"/>
    </row>
    <row r="112" ht="14.25" customHeight="1">
      <c r="A112" s="13" t="s">
        <v>12</v>
      </c>
      <c r="B112" s="14" t="s">
        <v>52</v>
      </c>
      <c r="C112" s="15">
        <v>1.0</v>
      </c>
      <c r="D112" s="17">
        <v>4.83</v>
      </c>
      <c r="E112" s="18" t="s">
        <v>87</v>
      </c>
      <c r="F112" s="18"/>
    </row>
    <row r="113" ht="14.25" customHeight="1">
      <c r="A113" s="13" t="s">
        <v>12</v>
      </c>
      <c r="B113" s="14" t="s">
        <v>55</v>
      </c>
      <c r="C113" s="15">
        <v>1.0</v>
      </c>
      <c r="D113" s="17">
        <v>7.08</v>
      </c>
      <c r="E113" s="18" t="s">
        <v>87</v>
      </c>
      <c r="F113" s="18"/>
    </row>
    <row r="114" ht="14.25" customHeight="1">
      <c r="A114" s="13" t="s">
        <v>12</v>
      </c>
      <c r="B114" s="14" t="s">
        <v>58</v>
      </c>
      <c r="C114" s="15">
        <v>1.0</v>
      </c>
      <c r="D114" s="17">
        <v>4.83</v>
      </c>
      <c r="E114" s="18" t="s">
        <v>87</v>
      </c>
      <c r="F114" s="18"/>
    </row>
    <row r="115" ht="14.25" customHeight="1">
      <c r="A115" s="13" t="s">
        <v>12</v>
      </c>
      <c r="B115" s="14" t="s">
        <v>61</v>
      </c>
      <c r="C115" s="15">
        <v>1.0</v>
      </c>
      <c r="D115" s="17">
        <v>5.58</v>
      </c>
      <c r="E115" s="18" t="s">
        <v>87</v>
      </c>
      <c r="F115" s="18"/>
    </row>
    <row r="116" ht="14.25" customHeight="1">
      <c r="A116" s="13" t="s">
        <v>12</v>
      </c>
      <c r="B116" s="14" t="s">
        <v>64</v>
      </c>
      <c r="C116" s="15">
        <v>1.0</v>
      </c>
      <c r="D116" s="17">
        <v>5.33</v>
      </c>
      <c r="E116" s="18" t="s">
        <v>87</v>
      </c>
      <c r="F116" s="18" t="s">
        <v>112</v>
      </c>
    </row>
    <row r="117" ht="14.25" customHeight="1">
      <c r="A117" s="13" t="s">
        <v>12</v>
      </c>
      <c r="B117" s="14" t="s">
        <v>68</v>
      </c>
      <c r="C117" s="15">
        <v>1.0</v>
      </c>
      <c r="D117" s="17">
        <v>5.33</v>
      </c>
      <c r="E117" s="18" t="s">
        <v>87</v>
      </c>
      <c r="F117" s="18" t="s">
        <v>113</v>
      </c>
    </row>
    <row r="118" ht="14.25" customHeight="1">
      <c r="A118" s="13" t="s">
        <v>12</v>
      </c>
      <c r="B118" s="14" t="s">
        <v>71</v>
      </c>
      <c r="C118" s="15">
        <v>1.0</v>
      </c>
      <c r="D118" s="17">
        <v>6.75</v>
      </c>
      <c r="E118" s="18" t="s">
        <v>87</v>
      </c>
      <c r="F118" s="18"/>
    </row>
    <row r="119" ht="14.25" customHeight="1">
      <c r="A119" s="13" t="s">
        <v>12</v>
      </c>
      <c r="B119" s="14" t="s">
        <v>75</v>
      </c>
      <c r="C119" s="15">
        <v>1.0</v>
      </c>
      <c r="D119" s="17">
        <v>7.25</v>
      </c>
      <c r="E119" s="18" t="s">
        <v>87</v>
      </c>
      <c r="F119" s="18"/>
    </row>
    <row r="120" ht="14.25" customHeight="1">
      <c r="A120" s="13" t="s">
        <v>12</v>
      </c>
      <c r="B120" s="14" t="s">
        <v>78</v>
      </c>
      <c r="C120" s="15">
        <v>2.0</v>
      </c>
      <c r="D120" s="17">
        <v>7.83</v>
      </c>
      <c r="E120" s="18" t="s">
        <v>87</v>
      </c>
      <c r="F120" s="18"/>
    </row>
    <row r="121" ht="14.25" customHeight="1">
      <c r="A121" s="13" t="s">
        <v>12</v>
      </c>
      <c r="B121" s="14" t="s">
        <v>81</v>
      </c>
      <c r="C121" s="15">
        <v>1.0</v>
      </c>
      <c r="D121" s="17">
        <v>5.167</v>
      </c>
      <c r="E121" s="18" t="s">
        <v>87</v>
      </c>
      <c r="F121" s="18"/>
    </row>
    <row r="122" ht="14.25" customHeight="1">
      <c r="A122" s="13" t="s">
        <v>12</v>
      </c>
      <c r="B122" s="14" t="s">
        <v>84</v>
      </c>
      <c r="C122" s="15">
        <v>1.0</v>
      </c>
      <c r="D122" s="17">
        <v>7.67</v>
      </c>
      <c r="E122" s="18" t="s">
        <v>87</v>
      </c>
      <c r="F122" s="18"/>
    </row>
    <row r="123" ht="14.25" customHeight="1">
      <c r="A123" s="13" t="s">
        <v>12</v>
      </c>
      <c r="B123" s="14" t="s">
        <v>89</v>
      </c>
      <c r="C123" s="15">
        <v>1.0</v>
      </c>
      <c r="D123" s="17">
        <v>11.83</v>
      </c>
      <c r="E123" s="18" t="s">
        <v>87</v>
      </c>
      <c r="F123" s="18"/>
    </row>
    <row r="124" ht="14.25" customHeight="1">
      <c r="A124" s="13" t="s">
        <v>12</v>
      </c>
      <c r="B124" s="14" t="s">
        <v>92</v>
      </c>
      <c r="C124" s="15">
        <v>1.0</v>
      </c>
      <c r="D124" s="17">
        <v>8.667</v>
      </c>
      <c r="E124" s="18" t="s">
        <v>87</v>
      </c>
      <c r="F124" s="18"/>
    </row>
    <row r="125" ht="14.25" customHeight="1">
      <c r="A125" s="13" t="s">
        <v>12</v>
      </c>
      <c r="B125" s="14" t="s">
        <v>94</v>
      </c>
      <c r="C125" s="15">
        <v>2.0</v>
      </c>
      <c r="D125" s="17">
        <v>12.75</v>
      </c>
      <c r="E125" s="18" t="s">
        <v>87</v>
      </c>
      <c r="F125" s="18"/>
    </row>
    <row r="126" ht="14.25" customHeight="1">
      <c r="A126" s="13" t="s">
        <v>12</v>
      </c>
      <c r="B126" s="14" t="s">
        <v>96</v>
      </c>
      <c r="C126" s="15">
        <v>2.0</v>
      </c>
      <c r="D126" s="17">
        <v>11.0</v>
      </c>
      <c r="E126" s="18" t="s">
        <v>87</v>
      </c>
      <c r="F126" s="18"/>
    </row>
    <row r="127" ht="14.25" customHeight="1">
      <c r="A127" s="13" t="s">
        <v>12</v>
      </c>
      <c r="B127" s="14" t="s">
        <v>98</v>
      </c>
      <c r="C127" s="15">
        <v>1.0</v>
      </c>
      <c r="D127" s="17">
        <v>10.58</v>
      </c>
      <c r="E127" s="18" t="s">
        <v>87</v>
      </c>
      <c r="F127" s="18"/>
    </row>
    <row r="128" ht="14.25" customHeight="1">
      <c r="A128" s="13" t="s">
        <v>12</v>
      </c>
      <c r="B128" s="14" t="s">
        <v>101</v>
      </c>
      <c r="C128" s="15">
        <v>1.0</v>
      </c>
      <c r="D128" s="17">
        <v>10.83</v>
      </c>
      <c r="E128" s="18" t="s">
        <v>87</v>
      </c>
      <c r="F128" s="18"/>
    </row>
    <row r="129" ht="14.25" customHeight="1">
      <c r="A129" s="13" t="s">
        <v>15</v>
      </c>
      <c r="B129" s="14" t="s">
        <v>17</v>
      </c>
      <c r="C129" s="15">
        <v>1.0</v>
      </c>
      <c r="D129" s="17">
        <v>3.83</v>
      </c>
      <c r="E129" s="18" t="s">
        <v>87</v>
      </c>
      <c r="F129" s="18"/>
    </row>
    <row r="130" ht="14.25" customHeight="1">
      <c r="A130" s="13" t="s">
        <v>15</v>
      </c>
      <c r="B130" s="14" t="s">
        <v>20</v>
      </c>
      <c r="C130" s="15">
        <v>1.0</v>
      </c>
      <c r="D130" s="17">
        <v>5.0</v>
      </c>
      <c r="E130" s="18" t="s">
        <v>87</v>
      </c>
      <c r="F130" s="18"/>
    </row>
    <row r="131" ht="14.25" customHeight="1">
      <c r="A131" s="13" t="s">
        <v>15</v>
      </c>
      <c r="B131" s="14" t="s">
        <v>22</v>
      </c>
      <c r="C131" s="15">
        <v>1.0</v>
      </c>
      <c r="D131" s="17">
        <v>3.75</v>
      </c>
      <c r="E131" s="18" t="s">
        <v>87</v>
      </c>
      <c r="F131" s="18"/>
    </row>
    <row r="132" ht="14.25" customHeight="1">
      <c r="A132" s="13" t="s">
        <v>15</v>
      </c>
      <c r="B132" s="14" t="s">
        <v>25</v>
      </c>
      <c r="C132" s="15">
        <v>1.0</v>
      </c>
      <c r="D132" s="17">
        <v>4.0</v>
      </c>
      <c r="E132" s="18" t="s">
        <v>87</v>
      </c>
      <c r="F132" s="18"/>
    </row>
    <row r="133" ht="14.25" customHeight="1">
      <c r="A133" s="13" t="s">
        <v>15</v>
      </c>
      <c r="B133" s="14" t="s">
        <v>28</v>
      </c>
      <c r="C133" s="15">
        <v>1.0</v>
      </c>
      <c r="D133" s="17">
        <v>5.0</v>
      </c>
      <c r="E133" s="18" t="s">
        <v>87</v>
      </c>
      <c r="F133" s="18"/>
    </row>
    <row r="134" ht="14.25" customHeight="1">
      <c r="A134" s="13" t="s">
        <v>15</v>
      </c>
      <c r="B134" s="14" t="s">
        <v>31</v>
      </c>
      <c r="C134" s="15">
        <v>1.0</v>
      </c>
      <c r="D134" s="17">
        <v>1.33</v>
      </c>
      <c r="E134" s="18" t="s">
        <v>87</v>
      </c>
      <c r="F134" s="18"/>
    </row>
    <row r="135" ht="14.25" customHeight="1">
      <c r="A135" s="13" t="s">
        <v>15</v>
      </c>
      <c r="B135" s="14" t="s">
        <v>33</v>
      </c>
      <c r="C135" s="15"/>
      <c r="D135" s="17"/>
      <c r="E135" s="18"/>
      <c r="F135" s="18"/>
    </row>
    <row r="136" ht="14.25" customHeight="1">
      <c r="A136" s="13" t="s">
        <v>15</v>
      </c>
      <c r="B136" s="14" t="s">
        <v>37</v>
      </c>
      <c r="C136" s="15">
        <v>1.0</v>
      </c>
      <c r="D136" s="17">
        <v>3.167</v>
      </c>
      <c r="E136" s="18" t="s">
        <v>87</v>
      </c>
      <c r="F136" s="18"/>
    </row>
    <row r="137" ht="14.25" customHeight="1">
      <c r="A137" s="13" t="s">
        <v>15</v>
      </c>
      <c r="B137" s="14" t="s">
        <v>40</v>
      </c>
      <c r="C137" s="15">
        <v>1.0</v>
      </c>
      <c r="D137" s="17">
        <v>4.83</v>
      </c>
      <c r="E137" s="18" t="s">
        <v>87</v>
      </c>
      <c r="F137" s="18"/>
    </row>
    <row r="138" ht="14.25" customHeight="1">
      <c r="A138" s="13" t="s">
        <v>15</v>
      </c>
      <c r="B138" s="14" t="s">
        <v>43</v>
      </c>
      <c r="C138" s="15">
        <v>1.0</v>
      </c>
      <c r="D138" s="17">
        <v>3.75</v>
      </c>
      <c r="E138" s="18" t="s">
        <v>87</v>
      </c>
      <c r="F138" s="18"/>
    </row>
    <row r="139" ht="14.25" customHeight="1">
      <c r="A139" s="13" t="s">
        <v>15</v>
      </c>
      <c r="B139" s="14" t="s">
        <v>46</v>
      </c>
      <c r="C139" s="15"/>
      <c r="D139" s="17"/>
      <c r="E139" s="18"/>
      <c r="F139" s="18"/>
    </row>
    <row r="140" ht="14.25" customHeight="1">
      <c r="A140" s="13" t="s">
        <v>15</v>
      </c>
      <c r="B140" s="14" t="s">
        <v>49</v>
      </c>
      <c r="C140" s="15">
        <v>1.0</v>
      </c>
      <c r="D140" s="17">
        <v>3.45</v>
      </c>
      <c r="E140" s="18" t="s">
        <v>87</v>
      </c>
      <c r="F140" s="18"/>
    </row>
    <row r="141" ht="14.25" customHeight="1">
      <c r="A141" s="13" t="s">
        <v>15</v>
      </c>
      <c r="B141" s="14" t="s">
        <v>52</v>
      </c>
      <c r="C141" s="15">
        <v>1.0</v>
      </c>
      <c r="D141" s="17">
        <v>4.5</v>
      </c>
      <c r="E141" s="18" t="s">
        <v>87</v>
      </c>
      <c r="F141" s="18"/>
    </row>
    <row r="142" ht="14.25" customHeight="1">
      <c r="A142" s="13" t="s">
        <v>15</v>
      </c>
      <c r="B142" s="14" t="s">
        <v>55</v>
      </c>
      <c r="C142" s="15">
        <v>1.0</v>
      </c>
      <c r="D142" s="17">
        <v>7.17</v>
      </c>
      <c r="E142" s="18" t="s">
        <v>87</v>
      </c>
      <c r="F142" s="18"/>
    </row>
    <row r="143" ht="14.25" customHeight="1">
      <c r="A143" s="13" t="s">
        <v>15</v>
      </c>
      <c r="B143" s="14" t="s">
        <v>58</v>
      </c>
      <c r="C143" s="15">
        <v>1.0</v>
      </c>
      <c r="D143" s="17">
        <v>3.92</v>
      </c>
      <c r="E143" s="18" t="s">
        <v>87</v>
      </c>
      <c r="F143" s="18"/>
    </row>
    <row r="144" ht="14.25" customHeight="1">
      <c r="A144" s="13" t="s">
        <v>15</v>
      </c>
      <c r="B144" s="14" t="s">
        <v>61</v>
      </c>
      <c r="C144" s="15">
        <v>1.0</v>
      </c>
      <c r="D144" s="17">
        <v>5.08</v>
      </c>
      <c r="E144" s="18" t="s">
        <v>87</v>
      </c>
      <c r="F144" s="18"/>
    </row>
    <row r="145" ht="14.25" customHeight="1">
      <c r="A145" s="13" t="s">
        <v>15</v>
      </c>
      <c r="B145" s="14" t="s">
        <v>64</v>
      </c>
      <c r="C145" s="15">
        <v>1.0</v>
      </c>
      <c r="D145" s="17">
        <v>4.17</v>
      </c>
      <c r="E145" s="18" t="s">
        <v>87</v>
      </c>
      <c r="F145" s="18"/>
    </row>
    <row r="146" ht="14.25" customHeight="1">
      <c r="A146" s="13" t="s">
        <v>15</v>
      </c>
      <c r="B146" s="14" t="s">
        <v>68</v>
      </c>
      <c r="C146" s="15">
        <v>1.0</v>
      </c>
      <c r="D146" s="17">
        <v>4.58</v>
      </c>
      <c r="E146" s="18" t="s">
        <v>87</v>
      </c>
      <c r="F146" s="18"/>
    </row>
    <row r="147" ht="14.25" customHeight="1">
      <c r="A147" s="13" t="s">
        <v>15</v>
      </c>
      <c r="B147" s="14" t="s">
        <v>71</v>
      </c>
      <c r="C147" s="15">
        <v>1.0</v>
      </c>
      <c r="D147" s="17">
        <v>5.42</v>
      </c>
      <c r="E147" s="18" t="s">
        <v>87</v>
      </c>
      <c r="F147" s="18"/>
    </row>
    <row r="148" ht="14.25" customHeight="1">
      <c r="A148" s="13" t="s">
        <v>15</v>
      </c>
      <c r="B148" s="14" t="s">
        <v>75</v>
      </c>
      <c r="C148" s="15">
        <v>1.0</v>
      </c>
      <c r="D148" s="17">
        <v>6.75</v>
      </c>
      <c r="E148" s="18" t="s">
        <v>87</v>
      </c>
      <c r="F148" s="18"/>
    </row>
    <row r="149" ht="14.25" customHeight="1">
      <c r="A149" s="13" t="s">
        <v>15</v>
      </c>
      <c r="B149" s="14" t="s">
        <v>78</v>
      </c>
      <c r="C149" s="15">
        <v>2.0</v>
      </c>
      <c r="D149" s="17">
        <v>7.5</v>
      </c>
      <c r="E149" s="18" t="s">
        <v>87</v>
      </c>
      <c r="F149" s="18"/>
    </row>
    <row r="150" ht="14.25" customHeight="1">
      <c r="A150" s="13" t="s">
        <v>15</v>
      </c>
      <c r="B150" s="14" t="s">
        <v>81</v>
      </c>
      <c r="C150" s="15">
        <v>1.0</v>
      </c>
      <c r="D150" s="17">
        <v>4.58</v>
      </c>
      <c r="E150" s="18" t="s">
        <v>87</v>
      </c>
      <c r="F150" s="18"/>
    </row>
    <row r="151" ht="14.25" customHeight="1">
      <c r="A151" s="13" t="s">
        <v>15</v>
      </c>
      <c r="B151" s="14" t="s">
        <v>84</v>
      </c>
      <c r="C151" s="15">
        <v>1.0</v>
      </c>
      <c r="D151" s="17">
        <v>6.75</v>
      </c>
      <c r="E151" s="18" t="s">
        <v>87</v>
      </c>
      <c r="F151" s="18"/>
    </row>
    <row r="152" ht="14.25" customHeight="1">
      <c r="A152" s="13" t="s">
        <v>15</v>
      </c>
      <c r="B152" s="14" t="s">
        <v>89</v>
      </c>
      <c r="C152" s="15">
        <v>1.0</v>
      </c>
      <c r="D152" s="17">
        <v>7.17</v>
      </c>
      <c r="E152" s="18" t="s">
        <v>87</v>
      </c>
      <c r="F152" s="18"/>
    </row>
    <row r="153" ht="14.25" customHeight="1">
      <c r="A153" s="13" t="s">
        <v>15</v>
      </c>
      <c r="B153" s="14" t="s">
        <v>92</v>
      </c>
      <c r="C153" s="15">
        <v>2.0</v>
      </c>
      <c r="D153" s="17">
        <v>9.08</v>
      </c>
      <c r="E153" s="18" t="s">
        <v>87</v>
      </c>
      <c r="F153" s="18"/>
    </row>
    <row r="154" ht="14.25" customHeight="1">
      <c r="A154" s="13" t="s">
        <v>15</v>
      </c>
      <c r="B154" s="14" t="s">
        <v>94</v>
      </c>
      <c r="C154" s="15">
        <v>1.0</v>
      </c>
      <c r="D154" s="17">
        <v>9.75</v>
      </c>
      <c r="E154" s="18" t="s">
        <v>87</v>
      </c>
      <c r="F154" s="18"/>
    </row>
    <row r="155" ht="14.25" customHeight="1">
      <c r="A155" s="13" t="s">
        <v>15</v>
      </c>
      <c r="B155" s="14" t="s">
        <v>96</v>
      </c>
      <c r="C155" s="15">
        <v>1.0</v>
      </c>
      <c r="D155" s="17">
        <v>10.83</v>
      </c>
      <c r="E155" s="18" t="s">
        <v>87</v>
      </c>
      <c r="F155" s="18"/>
    </row>
    <row r="156" ht="14.25" customHeight="1">
      <c r="A156" s="13" t="s">
        <v>15</v>
      </c>
      <c r="B156" s="14" t="s">
        <v>98</v>
      </c>
      <c r="C156" s="15">
        <v>2.0</v>
      </c>
      <c r="D156" s="17">
        <v>9.75</v>
      </c>
      <c r="E156" s="18" t="s">
        <v>87</v>
      </c>
      <c r="F156" s="18"/>
    </row>
    <row r="157" ht="14.25" customHeight="1">
      <c r="A157" s="13" t="s">
        <v>15</v>
      </c>
      <c r="B157" s="14" t="s">
        <v>101</v>
      </c>
      <c r="C157" s="15">
        <v>2.0</v>
      </c>
      <c r="D157" s="17">
        <v>9.83</v>
      </c>
      <c r="E157" s="18" t="s">
        <v>87</v>
      </c>
      <c r="F157" s="18"/>
    </row>
    <row r="158" ht="14.25" customHeight="1">
      <c r="A158" s="13" t="s">
        <v>17</v>
      </c>
      <c r="B158" s="14" t="s">
        <v>20</v>
      </c>
      <c r="C158" s="15">
        <v>1.0</v>
      </c>
      <c r="D158" s="17">
        <v>4.0</v>
      </c>
      <c r="E158" s="18" t="s">
        <v>87</v>
      </c>
      <c r="F158" s="18"/>
    </row>
    <row r="159" ht="14.25" customHeight="1">
      <c r="A159" s="13" t="s">
        <v>17</v>
      </c>
      <c r="B159" s="14" t="s">
        <v>22</v>
      </c>
      <c r="C159" s="15">
        <v>1.0</v>
      </c>
      <c r="D159" s="17">
        <v>2.92</v>
      </c>
      <c r="E159" s="18" t="s">
        <v>87</v>
      </c>
      <c r="F159" s="18"/>
    </row>
    <row r="160" ht="14.25" customHeight="1">
      <c r="A160" s="13" t="s">
        <v>17</v>
      </c>
      <c r="B160" s="14" t="s">
        <v>25</v>
      </c>
      <c r="C160" s="15">
        <v>0.0</v>
      </c>
      <c r="D160" s="17">
        <v>0.75</v>
      </c>
      <c r="E160" s="18" t="s">
        <v>87</v>
      </c>
      <c r="F160" s="18"/>
    </row>
    <row r="161" ht="14.25" customHeight="1">
      <c r="A161" s="13" t="s">
        <v>17</v>
      </c>
      <c r="B161" s="14" t="s">
        <v>28</v>
      </c>
      <c r="C161" s="15">
        <v>1.0</v>
      </c>
      <c r="D161" s="17">
        <v>2.75</v>
      </c>
      <c r="E161" s="18" t="s">
        <v>87</v>
      </c>
      <c r="F161" s="18"/>
    </row>
    <row r="162" ht="14.25" customHeight="1">
      <c r="A162" s="13" t="s">
        <v>17</v>
      </c>
      <c r="B162" s="14" t="s">
        <v>31</v>
      </c>
      <c r="C162" s="15">
        <v>1.0</v>
      </c>
      <c r="D162" s="17">
        <v>1.167</v>
      </c>
      <c r="E162" s="18" t="s">
        <v>87</v>
      </c>
      <c r="F162" s="18"/>
    </row>
    <row r="163" ht="14.25" customHeight="1">
      <c r="A163" s="13" t="s">
        <v>17</v>
      </c>
      <c r="B163" s="14" t="s">
        <v>33</v>
      </c>
      <c r="C163" s="15">
        <v>1.0</v>
      </c>
      <c r="D163" s="17">
        <v>6.5</v>
      </c>
      <c r="E163" s="18" t="s">
        <v>87</v>
      </c>
      <c r="F163" s="18"/>
    </row>
    <row r="164" ht="14.25" customHeight="1">
      <c r="A164" s="13" t="s">
        <v>17</v>
      </c>
      <c r="B164" s="14" t="s">
        <v>37</v>
      </c>
      <c r="C164" s="15">
        <v>1.0</v>
      </c>
      <c r="D164" s="17">
        <v>3.0</v>
      </c>
      <c r="E164" s="18" t="s">
        <v>87</v>
      </c>
      <c r="F164" s="18"/>
    </row>
    <row r="165" ht="14.25" customHeight="1">
      <c r="A165" s="13" t="s">
        <v>17</v>
      </c>
      <c r="B165" s="14" t="s">
        <v>40</v>
      </c>
      <c r="C165" s="15">
        <v>0.0</v>
      </c>
      <c r="D165" s="17">
        <v>1.58</v>
      </c>
      <c r="E165" s="18" t="s">
        <v>87</v>
      </c>
      <c r="F165" s="18"/>
    </row>
    <row r="166" ht="14.25" customHeight="1">
      <c r="A166" s="13" t="s">
        <v>17</v>
      </c>
      <c r="B166" s="14" t="s">
        <v>43</v>
      </c>
      <c r="C166" s="15">
        <v>0.0</v>
      </c>
      <c r="D166" s="17">
        <v>2.0</v>
      </c>
      <c r="E166" s="18" t="s">
        <v>87</v>
      </c>
      <c r="F166" s="18"/>
    </row>
    <row r="167" ht="14.25" customHeight="1">
      <c r="A167" s="13" t="s">
        <v>17</v>
      </c>
      <c r="B167" s="14" t="s">
        <v>46</v>
      </c>
      <c r="C167" s="15"/>
      <c r="D167" s="17"/>
      <c r="E167" s="18"/>
      <c r="F167" s="18"/>
    </row>
    <row r="168" ht="14.25" customHeight="1">
      <c r="A168" s="13" t="s">
        <v>17</v>
      </c>
      <c r="B168" s="14" t="s">
        <v>49</v>
      </c>
      <c r="C168" s="31">
        <v>1.0</v>
      </c>
      <c r="D168" s="32">
        <v>4.0</v>
      </c>
      <c r="E168" s="18" t="s">
        <v>87</v>
      </c>
      <c r="F168" s="18"/>
    </row>
    <row r="169" ht="14.25" customHeight="1">
      <c r="A169" s="13" t="s">
        <v>17</v>
      </c>
      <c r="B169" s="14" t="s">
        <v>52</v>
      </c>
      <c r="C169" s="15">
        <v>1.0</v>
      </c>
      <c r="D169" s="17">
        <v>5.17</v>
      </c>
      <c r="E169" s="18" t="s">
        <v>87</v>
      </c>
      <c r="F169" s="18"/>
    </row>
    <row r="170" ht="14.25" customHeight="1">
      <c r="A170" s="13" t="s">
        <v>17</v>
      </c>
      <c r="B170" s="14" t="s">
        <v>55</v>
      </c>
      <c r="C170" s="15">
        <v>1.0</v>
      </c>
      <c r="D170" s="17">
        <v>8.58</v>
      </c>
      <c r="E170" s="18" t="s">
        <v>87</v>
      </c>
      <c r="F170" s="18"/>
    </row>
    <row r="171" ht="14.25" customHeight="1">
      <c r="A171" s="13" t="s">
        <v>17</v>
      </c>
      <c r="B171" s="14" t="s">
        <v>58</v>
      </c>
      <c r="C171" s="15">
        <v>1.0</v>
      </c>
      <c r="D171" s="17">
        <v>3.83</v>
      </c>
      <c r="E171" s="18" t="s">
        <v>87</v>
      </c>
      <c r="F171" s="18"/>
    </row>
    <row r="172" ht="14.25" customHeight="1">
      <c r="A172" s="13" t="s">
        <v>17</v>
      </c>
      <c r="B172" s="14" t="s">
        <v>61</v>
      </c>
      <c r="C172" s="15">
        <v>1.0</v>
      </c>
      <c r="D172" s="17">
        <v>4.08</v>
      </c>
      <c r="E172" s="18" t="s">
        <v>87</v>
      </c>
      <c r="F172" s="18"/>
    </row>
    <row r="173" ht="14.25" customHeight="1">
      <c r="A173" s="13" t="s">
        <v>17</v>
      </c>
      <c r="B173" s="14" t="s">
        <v>64</v>
      </c>
      <c r="C173" s="15">
        <v>1.0</v>
      </c>
      <c r="D173" s="17">
        <v>4.5</v>
      </c>
      <c r="E173" s="18" t="s">
        <v>87</v>
      </c>
      <c r="F173" s="18"/>
    </row>
    <row r="174" ht="14.25" customHeight="1">
      <c r="A174" s="13" t="s">
        <v>17</v>
      </c>
      <c r="B174" s="14" t="s">
        <v>68</v>
      </c>
      <c r="C174" s="15">
        <v>1.0</v>
      </c>
      <c r="D174" s="17">
        <v>5.33</v>
      </c>
      <c r="E174" s="18" t="s">
        <v>87</v>
      </c>
      <c r="F174" s="18"/>
    </row>
    <row r="175" ht="14.25" customHeight="1">
      <c r="A175" s="13" t="s">
        <v>17</v>
      </c>
      <c r="B175" s="14" t="s">
        <v>71</v>
      </c>
      <c r="C175" s="15">
        <v>1.0</v>
      </c>
      <c r="D175" s="17">
        <v>5.42</v>
      </c>
      <c r="E175" s="18" t="s">
        <v>87</v>
      </c>
      <c r="F175" s="18"/>
    </row>
    <row r="176" ht="14.25" customHeight="1">
      <c r="A176" s="13" t="s">
        <v>17</v>
      </c>
      <c r="B176" s="14" t="s">
        <v>75</v>
      </c>
      <c r="C176" s="15">
        <v>1.0</v>
      </c>
      <c r="D176" s="17">
        <v>6.08</v>
      </c>
      <c r="E176" s="18" t="s">
        <v>87</v>
      </c>
      <c r="F176" s="18"/>
    </row>
    <row r="177" ht="14.25" customHeight="1">
      <c r="A177" s="13" t="s">
        <v>17</v>
      </c>
      <c r="B177" s="14" t="s">
        <v>78</v>
      </c>
      <c r="C177" s="15">
        <v>2.0</v>
      </c>
      <c r="D177" s="17">
        <v>9.66</v>
      </c>
      <c r="E177" s="18" t="s">
        <v>87</v>
      </c>
      <c r="F177" s="18"/>
    </row>
    <row r="178" ht="14.25" customHeight="1">
      <c r="A178" s="13" t="s">
        <v>17</v>
      </c>
      <c r="B178" s="14" t="s">
        <v>81</v>
      </c>
      <c r="C178" s="15">
        <v>1.0</v>
      </c>
      <c r="D178" s="17">
        <v>5.08</v>
      </c>
      <c r="E178" s="18" t="s">
        <v>87</v>
      </c>
      <c r="F178" s="18"/>
    </row>
    <row r="179" ht="14.25" customHeight="1">
      <c r="A179" s="13" t="s">
        <v>17</v>
      </c>
      <c r="B179" s="14" t="s">
        <v>84</v>
      </c>
      <c r="C179" s="15">
        <v>1.0</v>
      </c>
      <c r="D179" s="17">
        <v>6.17</v>
      </c>
      <c r="E179" s="18" t="s">
        <v>87</v>
      </c>
      <c r="F179" s="18"/>
    </row>
    <row r="180" ht="14.25" customHeight="1">
      <c r="A180" s="13" t="s">
        <v>17</v>
      </c>
      <c r="B180" s="14" t="s">
        <v>89</v>
      </c>
      <c r="C180" s="15">
        <v>1.0</v>
      </c>
      <c r="D180" s="17">
        <v>13.58</v>
      </c>
      <c r="E180" s="18" t="s">
        <v>87</v>
      </c>
      <c r="F180" s="18"/>
    </row>
    <row r="181" ht="14.25" customHeight="1">
      <c r="A181" s="13" t="s">
        <v>17</v>
      </c>
      <c r="B181" s="14" t="s">
        <v>92</v>
      </c>
      <c r="C181" s="15">
        <v>1.0</v>
      </c>
      <c r="D181" s="17">
        <v>9.08</v>
      </c>
      <c r="E181" s="18" t="s">
        <v>87</v>
      </c>
      <c r="F181" s="18"/>
    </row>
    <row r="182" ht="14.25" customHeight="1">
      <c r="A182" s="13" t="s">
        <v>17</v>
      </c>
      <c r="B182" s="14" t="s">
        <v>94</v>
      </c>
      <c r="C182" s="15">
        <v>1.0</v>
      </c>
      <c r="D182" s="17">
        <v>7.33</v>
      </c>
      <c r="E182" s="18" t="s">
        <v>87</v>
      </c>
      <c r="F182" s="18"/>
    </row>
    <row r="183" ht="14.25" customHeight="1">
      <c r="A183" s="13" t="s">
        <v>17</v>
      </c>
      <c r="B183" s="14" t="s">
        <v>96</v>
      </c>
      <c r="C183" s="15">
        <v>1.0</v>
      </c>
      <c r="D183" s="17">
        <v>10.67</v>
      </c>
      <c r="E183" s="18" t="s">
        <v>87</v>
      </c>
      <c r="F183" s="18"/>
    </row>
    <row r="184" ht="14.25" customHeight="1">
      <c r="A184" s="13" t="s">
        <v>17</v>
      </c>
      <c r="B184" s="14" t="s">
        <v>98</v>
      </c>
      <c r="C184" s="15">
        <v>1.0</v>
      </c>
      <c r="D184" s="17">
        <v>9.92</v>
      </c>
      <c r="E184" s="18" t="s">
        <v>87</v>
      </c>
      <c r="F184" s="18"/>
    </row>
    <row r="185" ht="14.25" customHeight="1">
      <c r="A185" s="13" t="s">
        <v>17</v>
      </c>
      <c r="B185" s="14" t="s">
        <v>101</v>
      </c>
      <c r="C185" s="15">
        <v>1.0</v>
      </c>
      <c r="D185" s="17">
        <v>10.17</v>
      </c>
      <c r="E185" s="18" t="s">
        <v>87</v>
      </c>
      <c r="F185" s="18"/>
    </row>
    <row r="186" ht="14.25" customHeight="1">
      <c r="A186" s="13" t="s">
        <v>20</v>
      </c>
      <c r="B186" s="14" t="s">
        <v>22</v>
      </c>
      <c r="C186" s="15">
        <v>1.0</v>
      </c>
      <c r="D186" s="17">
        <v>3.83</v>
      </c>
      <c r="E186" s="18" t="s">
        <v>87</v>
      </c>
      <c r="F186" s="18"/>
    </row>
    <row r="187" ht="14.25" customHeight="1">
      <c r="A187" s="13" t="s">
        <v>20</v>
      </c>
      <c r="B187" s="14" t="s">
        <v>25</v>
      </c>
      <c r="C187" s="15">
        <v>1.0</v>
      </c>
      <c r="D187" s="17">
        <v>4.5</v>
      </c>
      <c r="E187" s="18" t="s">
        <v>87</v>
      </c>
      <c r="F187" s="18"/>
    </row>
    <row r="188" ht="14.25" customHeight="1">
      <c r="A188" s="13" t="s">
        <v>20</v>
      </c>
      <c r="B188" s="14" t="s">
        <v>28</v>
      </c>
      <c r="C188" s="15">
        <v>1.0</v>
      </c>
      <c r="D188" s="17">
        <v>5.08</v>
      </c>
      <c r="E188" s="18" t="s">
        <v>87</v>
      </c>
      <c r="F188" s="18"/>
    </row>
    <row r="189" ht="14.25" customHeight="1">
      <c r="A189" s="13" t="s">
        <v>20</v>
      </c>
      <c r="B189" s="14" t="s">
        <v>31</v>
      </c>
      <c r="C189" s="15">
        <v>0.0</v>
      </c>
      <c r="D189" s="17">
        <v>1.33</v>
      </c>
      <c r="E189" s="18" t="s">
        <v>87</v>
      </c>
      <c r="F189" s="18"/>
    </row>
    <row r="190" ht="14.25" customHeight="1">
      <c r="A190" s="13" t="s">
        <v>20</v>
      </c>
      <c r="B190" s="14" t="s">
        <v>33</v>
      </c>
      <c r="C190" s="15"/>
      <c r="D190" s="17"/>
      <c r="E190" s="18"/>
      <c r="F190" s="18"/>
    </row>
    <row r="191" ht="14.25" customHeight="1">
      <c r="A191" s="13" t="s">
        <v>20</v>
      </c>
      <c r="B191" s="14" t="s">
        <v>37</v>
      </c>
      <c r="C191" s="15">
        <v>1.0</v>
      </c>
      <c r="D191" s="17">
        <v>3.33</v>
      </c>
      <c r="E191" s="18" t="s">
        <v>87</v>
      </c>
      <c r="F191" s="18"/>
    </row>
    <row r="192" ht="14.25" customHeight="1">
      <c r="A192" s="13" t="s">
        <v>20</v>
      </c>
      <c r="B192" s="14" t="s">
        <v>40</v>
      </c>
      <c r="C192" s="15">
        <v>1.0</v>
      </c>
      <c r="D192" s="17">
        <v>3.67</v>
      </c>
      <c r="E192" s="18" t="s">
        <v>87</v>
      </c>
      <c r="F192" s="18"/>
    </row>
    <row r="193" ht="14.25" customHeight="1">
      <c r="A193" s="13" t="s">
        <v>20</v>
      </c>
      <c r="B193" s="14" t="s">
        <v>43</v>
      </c>
      <c r="C193" s="15">
        <v>1.0</v>
      </c>
      <c r="D193" s="17">
        <v>3.75</v>
      </c>
      <c r="E193" s="18" t="s">
        <v>87</v>
      </c>
      <c r="F193" s="18"/>
    </row>
    <row r="194" ht="14.25" customHeight="1">
      <c r="A194" s="13" t="s">
        <v>20</v>
      </c>
      <c r="B194" s="14" t="s">
        <v>46</v>
      </c>
      <c r="C194" s="15"/>
      <c r="D194" s="17"/>
      <c r="E194" s="18"/>
      <c r="F194" s="18"/>
    </row>
    <row r="195" ht="14.25" customHeight="1">
      <c r="A195" s="13" t="s">
        <v>20</v>
      </c>
      <c r="B195" s="14" t="s">
        <v>49</v>
      </c>
      <c r="C195" s="15">
        <v>1.0</v>
      </c>
      <c r="D195" s="17">
        <v>4.08</v>
      </c>
      <c r="E195" s="18" t="s">
        <v>87</v>
      </c>
      <c r="F195" s="18"/>
    </row>
    <row r="196" ht="14.25" customHeight="1">
      <c r="A196" s="13" t="s">
        <v>20</v>
      </c>
      <c r="B196" s="14" t="s">
        <v>52</v>
      </c>
      <c r="C196" s="15">
        <v>1.0</v>
      </c>
      <c r="D196" s="17">
        <v>5.5</v>
      </c>
      <c r="E196" s="18" t="s">
        <v>87</v>
      </c>
      <c r="F196" s="18"/>
    </row>
    <row r="197" ht="14.25" customHeight="1">
      <c r="A197" s="13" t="s">
        <v>20</v>
      </c>
      <c r="B197" s="14" t="s">
        <v>55</v>
      </c>
      <c r="C197" s="15">
        <v>2.0</v>
      </c>
      <c r="D197" s="17">
        <v>7.25</v>
      </c>
      <c r="E197" s="18" t="s">
        <v>87</v>
      </c>
      <c r="F197" s="18"/>
    </row>
    <row r="198" ht="14.25" customHeight="1">
      <c r="A198" s="13" t="s">
        <v>20</v>
      </c>
      <c r="B198" s="14" t="s">
        <v>58</v>
      </c>
      <c r="C198" s="15">
        <v>1.0</v>
      </c>
      <c r="D198" s="17">
        <v>3.75</v>
      </c>
      <c r="E198" s="18" t="s">
        <v>87</v>
      </c>
      <c r="F198" s="18"/>
    </row>
    <row r="199" ht="14.25" customHeight="1">
      <c r="A199" s="13" t="s">
        <v>20</v>
      </c>
      <c r="B199" s="14" t="s">
        <v>61</v>
      </c>
      <c r="C199" s="15">
        <v>1.0</v>
      </c>
      <c r="D199" s="17">
        <v>5.25</v>
      </c>
      <c r="E199" s="18" t="s">
        <v>87</v>
      </c>
      <c r="F199" s="18"/>
    </row>
    <row r="200" ht="14.25" customHeight="1">
      <c r="A200" s="13" t="s">
        <v>20</v>
      </c>
      <c r="B200" s="14" t="s">
        <v>64</v>
      </c>
      <c r="C200" s="15">
        <v>1.0</v>
      </c>
      <c r="D200" s="17">
        <v>4.58</v>
      </c>
      <c r="E200" s="18" t="s">
        <v>87</v>
      </c>
      <c r="F200" s="18"/>
    </row>
    <row r="201" ht="14.25" customHeight="1">
      <c r="A201" s="13" t="s">
        <v>20</v>
      </c>
      <c r="B201" s="14" t="s">
        <v>68</v>
      </c>
      <c r="C201" s="15">
        <v>1.0</v>
      </c>
      <c r="D201" s="17">
        <v>5.33</v>
      </c>
      <c r="E201" s="18" t="s">
        <v>87</v>
      </c>
      <c r="F201" s="18"/>
    </row>
    <row r="202" ht="14.25" customHeight="1">
      <c r="A202" s="13" t="s">
        <v>20</v>
      </c>
      <c r="B202" s="14" t="s">
        <v>71</v>
      </c>
      <c r="C202" s="15">
        <v>1.0</v>
      </c>
      <c r="D202" s="17">
        <v>6.92</v>
      </c>
      <c r="E202" s="18" t="s">
        <v>87</v>
      </c>
      <c r="F202" s="18"/>
    </row>
    <row r="203" ht="14.25" customHeight="1">
      <c r="A203" s="13" t="s">
        <v>20</v>
      </c>
      <c r="B203" s="14" t="s">
        <v>75</v>
      </c>
      <c r="C203" s="15">
        <v>1.0</v>
      </c>
      <c r="D203" s="17">
        <v>6.5</v>
      </c>
      <c r="E203" s="18" t="s">
        <v>87</v>
      </c>
      <c r="F203" s="18"/>
    </row>
    <row r="204" ht="14.25" customHeight="1">
      <c r="A204" s="13" t="s">
        <v>20</v>
      </c>
      <c r="B204" s="14" t="s">
        <v>78</v>
      </c>
      <c r="C204" s="15">
        <v>2.0</v>
      </c>
      <c r="D204" s="17">
        <v>7.5</v>
      </c>
      <c r="E204" s="18" t="s">
        <v>87</v>
      </c>
      <c r="F204" s="18"/>
    </row>
    <row r="205" ht="14.25" customHeight="1">
      <c r="A205" s="13" t="s">
        <v>20</v>
      </c>
      <c r="B205" s="14" t="s">
        <v>81</v>
      </c>
      <c r="C205" s="15">
        <v>1.0</v>
      </c>
      <c r="D205" s="17">
        <v>5.5</v>
      </c>
      <c r="E205" s="18" t="s">
        <v>87</v>
      </c>
      <c r="F205" s="18"/>
    </row>
    <row r="206" ht="14.25" customHeight="1">
      <c r="A206" s="13" t="s">
        <v>20</v>
      </c>
      <c r="B206" s="14" t="s">
        <v>84</v>
      </c>
      <c r="C206" s="15">
        <v>1.0</v>
      </c>
      <c r="D206" s="17">
        <v>5.75</v>
      </c>
      <c r="E206" s="18" t="s">
        <v>87</v>
      </c>
      <c r="F206" s="18"/>
    </row>
    <row r="207" ht="14.25" customHeight="1">
      <c r="A207" s="13" t="s">
        <v>20</v>
      </c>
      <c r="B207" s="14" t="s">
        <v>89</v>
      </c>
      <c r="C207" s="15">
        <v>2.0</v>
      </c>
      <c r="D207" s="17">
        <v>7.17</v>
      </c>
      <c r="E207" s="18" t="s">
        <v>87</v>
      </c>
      <c r="F207" s="18"/>
    </row>
    <row r="208" ht="14.25" customHeight="1">
      <c r="A208" s="13" t="s">
        <v>20</v>
      </c>
      <c r="B208" s="14" t="s">
        <v>92</v>
      </c>
      <c r="C208" s="15">
        <v>2.0</v>
      </c>
      <c r="D208" s="17">
        <v>9.08</v>
      </c>
      <c r="E208" s="18" t="s">
        <v>87</v>
      </c>
      <c r="F208" s="18"/>
    </row>
    <row r="209" ht="14.25" customHeight="1">
      <c r="A209" s="13" t="s">
        <v>20</v>
      </c>
      <c r="B209" s="14" t="s">
        <v>94</v>
      </c>
      <c r="C209" s="15">
        <v>1.0</v>
      </c>
      <c r="D209" s="17">
        <v>12.17</v>
      </c>
      <c r="E209" s="18" t="s">
        <v>87</v>
      </c>
      <c r="F209" s="18"/>
    </row>
    <row r="210" ht="14.25" customHeight="1">
      <c r="A210" s="13" t="s">
        <v>20</v>
      </c>
      <c r="B210" s="14" t="s">
        <v>96</v>
      </c>
      <c r="C210" s="15">
        <v>2.0</v>
      </c>
      <c r="D210" s="17">
        <v>11.08</v>
      </c>
      <c r="E210" s="18" t="s">
        <v>87</v>
      </c>
      <c r="F210" s="18"/>
    </row>
    <row r="211" ht="14.25" customHeight="1">
      <c r="A211" s="13" t="s">
        <v>20</v>
      </c>
      <c r="B211" s="14" t="s">
        <v>98</v>
      </c>
      <c r="C211" s="15">
        <v>1.0</v>
      </c>
      <c r="D211" s="17">
        <v>12.75</v>
      </c>
      <c r="E211" s="18" t="s">
        <v>87</v>
      </c>
      <c r="F211" s="18"/>
    </row>
    <row r="212" ht="14.25" customHeight="1">
      <c r="A212" s="13" t="s">
        <v>20</v>
      </c>
      <c r="B212" s="14" t="s">
        <v>101</v>
      </c>
      <c r="C212" s="15">
        <v>2.0</v>
      </c>
      <c r="D212" s="17">
        <v>12.25</v>
      </c>
      <c r="E212" s="18" t="s">
        <v>87</v>
      </c>
      <c r="F212" s="18"/>
    </row>
    <row r="213" ht="14.25" customHeight="1">
      <c r="A213" s="13" t="s">
        <v>22</v>
      </c>
      <c r="B213" s="14" t="s">
        <v>25</v>
      </c>
      <c r="C213" s="15">
        <v>1.0</v>
      </c>
      <c r="D213" s="17">
        <v>4.33</v>
      </c>
      <c r="E213" s="18" t="s">
        <v>87</v>
      </c>
      <c r="F213" s="18"/>
    </row>
    <row r="214" ht="14.25" customHeight="1">
      <c r="A214" s="13" t="s">
        <v>22</v>
      </c>
      <c r="B214" s="14" t="s">
        <v>28</v>
      </c>
      <c r="C214" s="15">
        <v>1.0</v>
      </c>
      <c r="D214" s="17">
        <v>4.0</v>
      </c>
      <c r="E214" s="18" t="s">
        <v>87</v>
      </c>
      <c r="F214" s="18"/>
    </row>
    <row r="215" ht="14.25" customHeight="1">
      <c r="A215" s="13" t="s">
        <v>22</v>
      </c>
      <c r="B215" s="14" t="s">
        <v>31</v>
      </c>
      <c r="C215" s="15">
        <v>0.0</v>
      </c>
      <c r="D215" s="17">
        <v>0.75</v>
      </c>
      <c r="E215" s="18" t="s">
        <v>87</v>
      </c>
      <c r="F215" s="18"/>
    </row>
    <row r="216" ht="14.25" customHeight="1">
      <c r="A216" s="13" t="s">
        <v>22</v>
      </c>
      <c r="B216" s="14" t="s">
        <v>33</v>
      </c>
      <c r="C216" s="15">
        <v>2.0</v>
      </c>
      <c r="D216" s="17">
        <v>22.25</v>
      </c>
      <c r="E216" s="18" t="s">
        <v>87</v>
      </c>
      <c r="F216" s="18"/>
    </row>
    <row r="217" ht="14.25" customHeight="1">
      <c r="A217" s="13" t="s">
        <v>22</v>
      </c>
      <c r="B217" s="14" t="s">
        <v>37</v>
      </c>
      <c r="C217" s="15">
        <v>1.0</v>
      </c>
      <c r="D217" s="17">
        <v>4.33</v>
      </c>
      <c r="E217" s="18" t="s">
        <v>87</v>
      </c>
      <c r="F217" s="18"/>
    </row>
    <row r="218" ht="14.25" customHeight="1">
      <c r="A218" s="13" t="s">
        <v>22</v>
      </c>
      <c r="B218" s="14" t="s">
        <v>40</v>
      </c>
      <c r="C218" s="15">
        <v>1.0</v>
      </c>
      <c r="D218" s="17">
        <v>2.92</v>
      </c>
      <c r="E218" s="18" t="s">
        <v>87</v>
      </c>
      <c r="F218" s="18"/>
    </row>
    <row r="219" ht="14.25" customHeight="1">
      <c r="A219" s="13" t="s">
        <v>22</v>
      </c>
      <c r="B219" s="14" t="s">
        <v>43</v>
      </c>
      <c r="C219" s="15">
        <v>1.0</v>
      </c>
      <c r="D219" s="17">
        <v>3.25</v>
      </c>
      <c r="E219" s="18" t="s">
        <v>87</v>
      </c>
      <c r="F219" s="18"/>
    </row>
    <row r="220" ht="14.25" customHeight="1">
      <c r="A220" s="13" t="s">
        <v>22</v>
      </c>
      <c r="B220" s="14" t="s">
        <v>46</v>
      </c>
      <c r="C220" s="15"/>
      <c r="D220" s="17"/>
      <c r="E220" s="18"/>
      <c r="F220" s="18"/>
    </row>
    <row r="221" ht="14.25" customHeight="1">
      <c r="A221" s="13" t="s">
        <v>22</v>
      </c>
      <c r="B221" s="14" t="s">
        <v>49</v>
      </c>
      <c r="C221" s="15">
        <v>1.0</v>
      </c>
      <c r="D221" s="17">
        <v>3.5</v>
      </c>
      <c r="E221" s="18" t="s">
        <v>87</v>
      </c>
      <c r="F221" s="18"/>
    </row>
    <row r="222" ht="14.25" customHeight="1">
      <c r="A222" s="13" t="s">
        <v>22</v>
      </c>
      <c r="B222" s="14" t="s">
        <v>52</v>
      </c>
      <c r="C222" s="15">
        <v>1.0</v>
      </c>
      <c r="D222" s="17">
        <v>3.92</v>
      </c>
      <c r="E222" s="18" t="s">
        <v>87</v>
      </c>
      <c r="F222" s="18"/>
    </row>
    <row r="223" ht="14.25" customHeight="1">
      <c r="A223" s="13" t="s">
        <v>22</v>
      </c>
      <c r="B223" s="14" t="s">
        <v>55</v>
      </c>
      <c r="C223" s="15">
        <v>1.0</v>
      </c>
      <c r="D223" s="17">
        <v>11.92</v>
      </c>
      <c r="E223" s="18" t="s">
        <v>87</v>
      </c>
      <c r="F223" s="18"/>
    </row>
    <row r="224" ht="14.25" customHeight="1">
      <c r="A224" s="13" t="s">
        <v>22</v>
      </c>
      <c r="B224" s="14" t="s">
        <v>58</v>
      </c>
      <c r="C224" s="15">
        <v>1.0</v>
      </c>
      <c r="D224" s="17">
        <v>3.17</v>
      </c>
      <c r="E224" s="18" t="s">
        <v>87</v>
      </c>
      <c r="F224" s="18"/>
    </row>
    <row r="225" ht="14.25" customHeight="1">
      <c r="A225" s="13" t="s">
        <v>22</v>
      </c>
      <c r="B225" s="14" t="s">
        <v>61</v>
      </c>
      <c r="C225" s="15">
        <v>1.0</v>
      </c>
      <c r="D225" s="17">
        <v>4.67</v>
      </c>
      <c r="E225" s="18" t="s">
        <v>87</v>
      </c>
      <c r="F225" s="18"/>
    </row>
    <row r="226" ht="14.25" customHeight="1">
      <c r="A226" s="13" t="s">
        <v>22</v>
      </c>
      <c r="B226" s="14" t="s">
        <v>64</v>
      </c>
      <c r="C226" s="15">
        <v>1.0</v>
      </c>
      <c r="D226" s="17">
        <v>4.67</v>
      </c>
      <c r="E226" s="18" t="s">
        <v>87</v>
      </c>
      <c r="F226" s="18"/>
    </row>
    <row r="227" ht="14.25" customHeight="1">
      <c r="A227" s="13" t="s">
        <v>22</v>
      </c>
      <c r="B227" s="14" t="s">
        <v>68</v>
      </c>
      <c r="C227" s="15">
        <v>1.0</v>
      </c>
      <c r="D227" s="17">
        <v>5.25</v>
      </c>
      <c r="E227" s="18" t="s">
        <v>87</v>
      </c>
      <c r="F227" s="18"/>
    </row>
    <row r="228" ht="14.25" customHeight="1">
      <c r="A228" s="13" t="s">
        <v>22</v>
      </c>
      <c r="B228" s="14" t="s">
        <v>71</v>
      </c>
      <c r="C228" s="15">
        <v>1.0</v>
      </c>
      <c r="D228" s="17">
        <v>4.83</v>
      </c>
      <c r="E228" s="18" t="s">
        <v>87</v>
      </c>
      <c r="F228" s="18"/>
    </row>
    <row r="229" ht="14.25" customHeight="1">
      <c r="A229" s="13" t="s">
        <v>22</v>
      </c>
      <c r="B229" s="14" t="s">
        <v>75</v>
      </c>
      <c r="C229" s="15">
        <v>1.0</v>
      </c>
      <c r="D229" s="17">
        <v>5.58</v>
      </c>
      <c r="E229" s="18" t="s">
        <v>87</v>
      </c>
      <c r="F229" s="18"/>
    </row>
    <row r="230" ht="14.25" customHeight="1">
      <c r="A230" s="13" t="s">
        <v>22</v>
      </c>
      <c r="B230" s="14" t="s">
        <v>78</v>
      </c>
      <c r="C230" s="15">
        <v>1.0</v>
      </c>
      <c r="D230" s="17">
        <v>14.17</v>
      </c>
      <c r="E230" s="18" t="s">
        <v>87</v>
      </c>
      <c r="F230" s="18"/>
    </row>
    <row r="231" ht="14.25" customHeight="1">
      <c r="A231" s="13" t="s">
        <v>22</v>
      </c>
      <c r="B231" s="14" t="s">
        <v>81</v>
      </c>
      <c r="C231" s="15">
        <v>1.0</v>
      </c>
      <c r="D231" s="17">
        <v>4.33</v>
      </c>
      <c r="E231" s="18" t="s">
        <v>87</v>
      </c>
      <c r="F231" s="18"/>
    </row>
    <row r="232" ht="14.25" customHeight="1">
      <c r="A232" s="13" t="s">
        <v>22</v>
      </c>
      <c r="B232" s="14" t="s">
        <v>84</v>
      </c>
      <c r="C232" s="15">
        <v>1.0</v>
      </c>
      <c r="D232" s="17">
        <v>6.75</v>
      </c>
      <c r="E232" s="18" t="s">
        <v>87</v>
      </c>
      <c r="F232" s="18"/>
    </row>
    <row r="233" ht="14.25" customHeight="1">
      <c r="A233" s="13" t="s">
        <v>22</v>
      </c>
      <c r="B233" s="14" t="s">
        <v>89</v>
      </c>
      <c r="C233" s="15">
        <v>1.0</v>
      </c>
      <c r="D233" s="17">
        <v>17.83</v>
      </c>
      <c r="E233" s="18" t="s">
        <v>87</v>
      </c>
      <c r="F233" s="18"/>
    </row>
    <row r="234" ht="14.25" customHeight="1">
      <c r="A234" s="13" t="s">
        <v>22</v>
      </c>
      <c r="B234" s="14" t="s">
        <v>92</v>
      </c>
      <c r="C234" s="15">
        <v>1.0</v>
      </c>
      <c r="D234" s="17">
        <v>16.83</v>
      </c>
      <c r="E234" s="18" t="s">
        <v>87</v>
      </c>
      <c r="F234" s="18"/>
    </row>
    <row r="235" ht="14.25" customHeight="1">
      <c r="A235" s="13" t="s">
        <v>22</v>
      </c>
      <c r="B235" s="14" t="s">
        <v>94</v>
      </c>
      <c r="C235" s="15">
        <v>1.0</v>
      </c>
      <c r="D235" s="17">
        <v>6.17</v>
      </c>
      <c r="E235" s="18" t="s">
        <v>87</v>
      </c>
      <c r="F235" s="18"/>
    </row>
    <row r="236" ht="14.25" customHeight="1">
      <c r="A236" s="13" t="s">
        <v>22</v>
      </c>
      <c r="B236" s="14" t="s">
        <v>96</v>
      </c>
      <c r="C236" s="15">
        <v>1.0</v>
      </c>
      <c r="D236" s="17">
        <v>14.92</v>
      </c>
      <c r="E236" s="18" t="s">
        <v>87</v>
      </c>
      <c r="F236" s="18"/>
    </row>
    <row r="237" ht="14.25" customHeight="1">
      <c r="A237" s="13" t="s">
        <v>22</v>
      </c>
      <c r="B237" s="14" t="s">
        <v>98</v>
      </c>
      <c r="C237" s="15">
        <v>1.0</v>
      </c>
      <c r="D237" s="17">
        <v>6.0</v>
      </c>
      <c r="E237" s="18" t="s">
        <v>87</v>
      </c>
      <c r="F237" s="18"/>
    </row>
    <row r="238" ht="14.25" customHeight="1">
      <c r="A238" s="13" t="s">
        <v>22</v>
      </c>
      <c r="B238" s="14" t="s">
        <v>101</v>
      </c>
      <c r="C238" s="15">
        <v>1.0</v>
      </c>
      <c r="D238" s="17">
        <v>11.25</v>
      </c>
      <c r="E238" s="18" t="s">
        <v>87</v>
      </c>
      <c r="F238" s="18"/>
    </row>
    <row r="239" ht="14.25" customHeight="1">
      <c r="A239" s="13" t="s">
        <v>25</v>
      </c>
      <c r="B239" s="14" t="s">
        <v>28</v>
      </c>
      <c r="C239" s="15">
        <v>1.0</v>
      </c>
      <c r="D239" s="17">
        <v>1.5</v>
      </c>
      <c r="E239" s="18" t="s">
        <v>87</v>
      </c>
      <c r="F239" s="18"/>
    </row>
    <row r="240" ht="14.25" customHeight="1">
      <c r="A240" s="13" t="s">
        <v>25</v>
      </c>
      <c r="B240" s="14" t="s">
        <v>31</v>
      </c>
      <c r="C240" s="15">
        <v>1.0</v>
      </c>
      <c r="D240" s="17">
        <v>1.17</v>
      </c>
      <c r="E240" s="18" t="s">
        <v>87</v>
      </c>
      <c r="F240" s="18"/>
    </row>
    <row r="241" ht="14.25" customHeight="1">
      <c r="A241" s="13" t="s">
        <v>25</v>
      </c>
      <c r="B241" s="14" t="s">
        <v>33</v>
      </c>
      <c r="C241" s="15"/>
      <c r="D241" s="17"/>
      <c r="E241" s="18"/>
      <c r="F241" s="18"/>
    </row>
    <row r="242" ht="14.25" customHeight="1">
      <c r="A242" s="13" t="s">
        <v>25</v>
      </c>
      <c r="B242" s="14" t="s">
        <v>37</v>
      </c>
      <c r="C242" s="15">
        <v>1.0</v>
      </c>
      <c r="D242" s="17">
        <v>3.17</v>
      </c>
      <c r="E242" s="18" t="s">
        <v>87</v>
      </c>
      <c r="F242" s="18"/>
    </row>
    <row r="243" ht="14.25" customHeight="1">
      <c r="A243" s="13" t="s">
        <v>25</v>
      </c>
      <c r="B243" s="14" t="s">
        <v>40</v>
      </c>
      <c r="C243" s="15">
        <v>1.0</v>
      </c>
      <c r="D243" s="17">
        <v>3.25</v>
      </c>
      <c r="E243" s="18" t="s">
        <v>87</v>
      </c>
      <c r="F243" s="18"/>
    </row>
    <row r="244" ht="14.25" customHeight="1">
      <c r="A244" s="13" t="s">
        <v>25</v>
      </c>
      <c r="B244" s="14" t="s">
        <v>43</v>
      </c>
      <c r="C244" s="15">
        <v>1.0</v>
      </c>
      <c r="D244" s="17">
        <v>3.33</v>
      </c>
      <c r="E244" s="18" t="s">
        <v>87</v>
      </c>
      <c r="F244" s="18"/>
    </row>
    <row r="245" ht="14.25" customHeight="1">
      <c r="A245" s="13" t="s">
        <v>25</v>
      </c>
      <c r="B245" s="14" t="s">
        <v>46</v>
      </c>
      <c r="C245" s="15"/>
      <c r="D245" s="17"/>
      <c r="E245" s="18"/>
      <c r="F245" s="18"/>
    </row>
    <row r="246" ht="14.25" customHeight="1">
      <c r="A246" s="13" t="s">
        <v>25</v>
      </c>
      <c r="B246" s="14" t="s">
        <v>49</v>
      </c>
      <c r="C246" s="15">
        <v>1.0</v>
      </c>
      <c r="D246" s="17">
        <v>4.0</v>
      </c>
      <c r="E246" s="18" t="s">
        <v>87</v>
      </c>
      <c r="F246" s="18"/>
    </row>
    <row r="247" ht="14.25" customHeight="1">
      <c r="A247" s="13" t="s">
        <v>25</v>
      </c>
      <c r="B247" s="14" t="s">
        <v>52</v>
      </c>
      <c r="C247" s="15">
        <v>1.0</v>
      </c>
      <c r="D247" s="17">
        <v>4.58</v>
      </c>
      <c r="E247" s="18" t="s">
        <v>87</v>
      </c>
      <c r="F247" s="18"/>
    </row>
    <row r="248" ht="14.25" customHeight="1">
      <c r="A248" s="13" t="s">
        <v>25</v>
      </c>
      <c r="B248" s="14" t="s">
        <v>55</v>
      </c>
      <c r="C248" s="15">
        <v>2.0</v>
      </c>
      <c r="D248" s="17">
        <v>7.08333333</v>
      </c>
      <c r="E248" s="18" t="s">
        <v>87</v>
      </c>
      <c r="F248" s="18"/>
    </row>
    <row r="249" ht="14.25" customHeight="1">
      <c r="A249" s="13" t="s">
        <v>25</v>
      </c>
      <c r="B249" s="14" t="s">
        <v>58</v>
      </c>
      <c r="C249" s="15">
        <v>1.0</v>
      </c>
      <c r="D249" s="17">
        <v>3.0</v>
      </c>
      <c r="E249" s="18" t="s">
        <v>87</v>
      </c>
      <c r="F249" s="18"/>
    </row>
    <row r="250" ht="14.25" customHeight="1">
      <c r="A250" s="13" t="s">
        <v>25</v>
      </c>
      <c r="B250" s="14" t="s">
        <v>61</v>
      </c>
      <c r="C250" s="15">
        <v>1.0</v>
      </c>
      <c r="D250" s="17">
        <v>4.17</v>
      </c>
      <c r="E250" s="18" t="s">
        <v>87</v>
      </c>
      <c r="F250" s="18"/>
    </row>
    <row r="251" ht="14.25" customHeight="1">
      <c r="A251" s="13" t="s">
        <v>25</v>
      </c>
      <c r="B251" s="14" t="s">
        <v>64</v>
      </c>
      <c r="C251" s="15">
        <v>1.0</v>
      </c>
      <c r="D251" s="17">
        <v>4.75</v>
      </c>
      <c r="E251" s="18" t="s">
        <v>87</v>
      </c>
      <c r="F251" s="18"/>
    </row>
    <row r="252" ht="14.25" customHeight="1">
      <c r="A252" s="13" t="s">
        <v>25</v>
      </c>
      <c r="B252" s="14" t="s">
        <v>68</v>
      </c>
      <c r="C252" s="15">
        <v>1.0</v>
      </c>
      <c r="D252" s="17">
        <v>6.5</v>
      </c>
      <c r="E252" s="18" t="s">
        <v>87</v>
      </c>
      <c r="F252" s="18"/>
    </row>
    <row r="253" ht="14.25" customHeight="1">
      <c r="A253" s="13" t="s">
        <v>25</v>
      </c>
      <c r="B253" s="14" t="s">
        <v>71</v>
      </c>
      <c r="C253" s="15">
        <v>3.0</v>
      </c>
      <c r="D253" s="17">
        <v>18.67</v>
      </c>
      <c r="E253" s="18" t="s">
        <v>87</v>
      </c>
      <c r="F253" s="18"/>
    </row>
    <row r="254" ht="14.25" customHeight="1">
      <c r="A254" s="13" t="s">
        <v>25</v>
      </c>
      <c r="B254" s="14" t="s">
        <v>75</v>
      </c>
      <c r="C254" s="15">
        <v>1.0</v>
      </c>
      <c r="D254" s="17">
        <v>10.83</v>
      </c>
      <c r="E254" s="18" t="s">
        <v>87</v>
      </c>
      <c r="F254" s="18"/>
    </row>
    <row r="255" ht="14.25" customHeight="1">
      <c r="A255" s="13" t="s">
        <v>25</v>
      </c>
      <c r="B255" s="14" t="s">
        <v>78</v>
      </c>
      <c r="C255" s="15">
        <v>1.0</v>
      </c>
      <c r="D255" s="17">
        <v>12.17</v>
      </c>
      <c r="E255" s="18" t="s">
        <v>87</v>
      </c>
      <c r="F255" s="18"/>
    </row>
    <row r="256" ht="14.25" customHeight="1">
      <c r="A256" s="13" t="s">
        <v>25</v>
      </c>
      <c r="B256" s="14" t="s">
        <v>81</v>
      </c>
      <c r="C256" s="15">
        <v>1.0</v>
      </c>
      <c r="D256" s="17">
        <v>4.58</v>
      </c>
      <c r="E256" s="18" t="s">
        <v>87</v>
      </c>
      <c r="F256" s="18"/>
    </row>
    <row r="257" ht="14.25" customHeight="1">
      <c r="A257" s="13" t="s">
        <v>25</v>
      </c>
      <c r="B257" s="14" t="s">
        <v>84</v>
      </c>
      <c r="C257" s="15">
        <v>1.0</v>
      </c>
      <c r="D257" s="17">
        <v>6.25</v>
      </c>
      <c r="E257" s="18" t="s">
        <v>87</v>
      </c>
      <c r="F257" s="18"/>
    </row>
    <row r="258" ht="14.25" customHeight="1">
      <c r="A258" s="13" t="s">
        <v>25</v>
      </c>
      <c r="B258" s="14" t="s">
        <v>89</v>
      </c>
      <c r="C258" s="15">
        <v>1.0</v>
      </c>
      <c r="D258" s="17">
        <v>14.92</v>
      </c>
      <c r="E258" s="18" t="s">
        <v>87</v>
      </c>
      <c r="F258" s="18"/>
    </row>
    <row r="259" ht="14.25" customHeight="1">
      <c r="A259" s="13" t="s">
        <v>25</v>
      </c>
      <c r="B259" s="14" t="s">
        <v>92</v>
      </c>
      <c r="C259" s="15">
        <v>1.0</v>
      </c>
      <c r="D259" s="17">
        <v>15.08333</v>
      </c>
      <c r="E259" s="18" t="s">
        <v>87</v>
      </c>
      <c r="F259" s="18"/>
    </row>
    <row r="260" ht="14.25" customHeight="1">
      <c r="A260" s="13" t="s">
        <v>25</v>
      </c>
      <c r="B260" s="14" t="s">
        <v>94</v>
      </c>
      <c r="C260" s="15">
        <v>1.0</v>
      </c>
      <c r="D260" s="17">
        <v>10.833</v>
      </c>
      <c r="E260" s="18" t="s">
        <v>87</v>
      </c>
      <c r="F260" s="18"/>
    </row>
    <row r="261" ht="14.25" customHeight="1">
      <c r="A261" s="13" t="s">
        <v>25</v>
      </c>
      <c r="B261" s="14" t="s">
        <v>96</v>
      </c>
      <c r="C261" s="15">
        <v>1.0</v>
      </c>
      <c r="D261" s="17">
        <v>13.0</v>
      </c>
      <c r="E261" s="18" t="s">
        <v>87</v>
      </c>
      <c r="F261" s="18"/>
    </row>
    <row r="262" ht="14.25" customHeight="1">
      <c r="A262" s="13" t="s">
        <v>25</v>
      </c>
      <c r="B262" s="14" t="s">
        <v>98</v>
      </c>
      <c r="C262" s="15">
        <v>1.0</v>
      </c>
      <c r="D262" s="17">
        <v>11.42</v>
      </c>
      <c r="E262" s="18" t="s">
        <v>87</v>
      </c>
      <c r="F262" s="18"/>
    </row>
    <row r="263" ht="14.25" customHeight="1">
      <c r="A263" s="13" t="s">
        <v>25</v>
      </c>
      <c r="B263" s="14" t="s">
        <v>101</v>
      </c>
      <c r="C263" s="15">
        <v>2.0</v>
      </c>
      <c r="D263" s="17">
        <v>10.92</v>
      </c>
      <c r="E263" s="18" t="s">
        <v>87</v>
      </c>
      <c r="F263" s="18"/>
    </row>
    <row r="264" ht="14.25" customHeight="1">
      <c r="A264" s="13" t="s">
        <v>28</v>
      </c>
      <c r="B264" s="14" t="s">
        <v>31</v>
      </c>
      <c r="C264" s="15">
        <v>0.0</v>
      </c>
      <c r="D264" s="17">
        <v>1.66667</v>
      </c>
      <c r="E264" s="18" t="s">
        <v>87</v>
      </c>
      <c r="F264" s="18"/>
    </row>
    <row r="265" ht="14.25" customHeight="1">
      <c r="A265" s="13" t="s">
        <v>28</v>
      </c>
      <c r="B265" s="14" t="s">
        <v>33</v>
      </c>
      <c r="C265" s="15"/>
      <c r="D265" s="17"/>
      <c r="E265" s="18"/>
      <c r="F265" s="18"/>
    </row>
    <row r="266" ht="14.25" customHeight="1">
      <c r="A266" s="13" t="s">
        <v>28</v>
      </c>
      <c r="B266" s="14" t="s">
        <v>37</v>
      </c>
      <c r="C266" s="15">
        <v>0.0</v>
      </c>
      <c r="D266" s="17">
        <v>2.0</v>
      </c>
      <c r="E266" s="18" t="s">
        <v>87</v>
      </c>
      <c r="F266" s="18"/>
    </row>
    <row r="267" ht="14.25" customHeight="1">
      <c r="A267" s="13" t="s">
        <v>28</v>
      </c>
      <c r="B267" s="14" t="s">
        <v>40</v>
      </c>
      <c r="C267" s="15">
        <v>0.0</v>
      </c>
      <c r="D267" s="17">
        <v>2.25</v>
      </c>
      <c r="E267" s="18" t="s">
        <v>87</v>
      </c>
      <c r="F267" s="18"/>
    </row>
    <row r="268" ht="14.25" customHeight="1">
      <c r="A268" s="13" t="s">
        <v>28</v>
      </c>
      <c r="B268" s="14" t="s">
        <v>43</v>
      </c>
      <c r="C268" s="15">
        <v>1.0</v>
      </c>
      <c r="D268" s="17">
        <v>4.17</v>
      </c>
      <c r="E268" s="18" t="s">
        <v>87</v>
      </c>
      <c r="F268" s="18"/>
    </row>
    <row r="269" ht="14.25" customHeight="1">
      <c r="A269" s="13" t="s">
        <v>28</v>
      </c>
      <c r="B269" s="14" t="s">
        <v>46</v>
      </c>
      <c r="C269" s="15"/>
      <c r="D269" s="17"/>
      <c r="E269" s="18"/>
      <c r="F269" s="18"/>
    </row>
    <row r="270" ht="14.25" customHeight="1">
      <c r="A270" s="13" t="s">
        <v>28</v>
      </c>
      <c r="B270" s="14" t="s">
        <v>49</v>
      </c>
      <c r="C270" s="15">
        <v>1.0</v>
      </c>
      <c r="D270" s="17">
        <v>4.91677</v>
      </c>
      <c r="E270" s="18" t="s">
        <v>87</v>
      </c>
      <c r="F270" s="18"/>
    </row>
    <row r="271" ht="14.25" customHeight="1">
      <c r="A271" s="13" t="s">
        <v>28</v>
      </c>
      <c r="B271" s="14" t="s">
        <v>52</v>
      </c>
      <c r="C271" s="15">
        <v>1.0</v>
      </c>
      <c r="D271" s="17">
        <v>4.42</v>
      </c>
      <c r="E271" s="18" t="s">
        <v>87</v>
      </c>
      <c r="F271" s="18"/>
    </row>
    <row r="272" ht="14.25" customHeight="1">
      <c r="A272" s="13" t="s">
        <v>28</v>
      </c>
      <c r="B272" s="14" t="s">
        <v>55</v>
      </c>
      <c r="C272" s="15">
        <v>1.0</v>
      </c>
      <c r="D272" s="17">
        <v>7.08</v>
      </c>
      <c r="E272" s="18" t="s">
        <v>87</v>
      </c>
      <c r="F272" s="18"/>
    </row>
    <row r="273" ht="14.25" customHeight="1">
      <c r="A273" s="13" t="s">
        <v>28</v>
      </c>
      <c r="B273" s="14" t="s">
        <v>58</v>
      </c>
      <c r="C273" s="15">
        <v>0.0</v>
      </c>
      <c r="D273" s="17">
        <v>1.25</v>
      </c>
      <c r="E273" s="18" t="s">
        <v>87</v>
      </c>
      <c r="F273" s="18"/>
    </row>
    <row r="274" ht="14.25" customHeight="1">
      <c r="A274" s="13" t="s">
        <v>28</v>
      </c>
      <c r="B274" s="14" t="s">
        <v>61</v>
      </c>
      <c r="C274" s="15">
        <v>1.0</v>
      </c>
      <c r="D274" s="17">
        <v>4.58</v>
      </c>
      <c r="E274" s="18" t="s">
        <v>87</v>
      </c>
      <c r="F274" s="18"/>
    </row>
    <row r="275" ht="14.25" customHeight="1">
      <c r="A275" s="13" t="s">
        <v>28</v>
      </c>
      <c r="B275" s="14" t="s">
        <v>64</v>
      </c>
      <c r="C275" s="15">
        <v>0.0</v>
      </c>
      <c r="D275" s="17">
        <v>1.25</v>
      </c>
      <c r="E275" s="18" t="s">
        <v>87</v>
      </c>
      <c r="F275" s="18"/>
    </row>
    <row r="276" ht="14.25" customHeight="1">
      <c r="A276" s="13" t="s">
        <v>28</v>
      </c>
      <c r="B276" s="14" t="s">
        <v>68</v>
      </c>
      <c r="C276" s="15">
        <v>1.0</v>
      </c>
      <c r="D276" s="17">
        <v>5.83333333</v>
      </c>
      <c r="E276" s="18" t="s">
        <v>87</v>
      </c>
      <c r="F276" s="18"/>
    </row>
    <row r="277" ht="14.25" customHeight="1">
      <c r="A277" s="13" t="s">
        <v>28</v>
      </c>
      <c r="B277" s="14" t="s">
        <v>71</v>
      </c>
      <c r="C277" s="15">
        <v>1.0</v>
      </c>
      <c r="D277" s="17">
        <v>10.1666</v>
      </c>
      <c r="E277" s="18" t="s">
        <v>87</v>
      </c>
      <c r="F277" s="18"/>
    </row>
    <row r="278" ht="14.25" customHeight="1">
      <c r="A278" s="13" t="s">
        <v>28</v>
      </c>
      <c r="B278" s="14" t="s">
        <v>75</v>
      </c>
      <c r="C278" s="15">
        <v>1.0</v>
      </c>
      <c r="D278" s="17">
        <v>6.42</v>
      </c>
      <c r="E278" s="18" t="s">
        <v>87</v>
      </c>
      <c r="F278" s="18"/>
    </row>
    <row r="279" ht="14.25" customHeight="1">
      <c r="A279" s="13" t="s">
        <v>28</v>
      </c>
      <c r="B279" s="14" t="s">
        <v>78</v>
      </c>
      <c r="C279" s="15">
        <v>1.0</v>
      </c>
      <c r="D279" s="17">
        <v>7.16666</v>
      </c>
      <c r="E279" s="18" t="s">
        <v>87</v>
      </c>
      <c r="F279" s="18"/>
    </row>
    <row r="280" ht="14.25" customHeight="1">
      <c r="A280" s="13" t="s">
        <v>28</v>
      </c>
      <c r="B280" s="14" t="s">
        <v>81</v>
      </c>
      <c r="C280" s="15">
        <v>1.0</v>
      </c>
      <c r="D280" s="17">
        <v>5.25</v>
      </c>
      <c r="E280" s="18" t="s">
        <v>87</v>
      </c>
      <c r="F280" s="18"/>
    </row>
    <row r="281" ht="14.25" customHeight="1">
      <c r="A281" s="13" t="s">
        <v>28</v>
      </c>
      <c r="B281" s="14" t="s">
        <v>84</v>
      </c>
      <c r="C281" s="15">
        <v>1.0</v>
      </c>
      <c r="D281" s="17">
        <v>5.75</v>
      </c>
      <c r="E281" s="18" t="s">
        <v>87</v>
      </c>
      <c r="F281" s="18"/>
    </row>
    <row r="282" ht="14.25" customHeight="1">
      <c r="A282" s="13" t="s">
        <v>28</v>
      </c>
      <c r="B282" s="14" t="s">
        <v>89</v>
      </c>
      <c r="C282" s="15">
        <v>1.0</v>
      </c>
      <c r="D282" s="17">
        <v>11.6666</v>
      </c>
      <c r="E282" s="18" t="s">
        <v>87</v>
      </c>
      <c r="F282" s="18"/>
    </row>
    <row r="283" ht="14.25" customHeight="1">
      <c r="A283" s="13" t="s">
        <v>28</v>
      </c>
      <c r="B283" s="14" t="s">
        <v>92</v>
      </c>
      <c r="C283" s="15">
        <v>2.0</v>
      </c>
      <c r="D283" s="17">
        <v>12.916666</v>
      </c>
      <c r="E283" s="18" t="s">
        <v>87</v>
      </c>
      <c r="F283" s="18"/>
    </row>
    <row r="284" ht="14.25" customHeight="1">
      <c r="A284" s="13" t="s">
        <v>28</v>
      </c>
      <c r="B284" s="14" t="s">
        <v>94</v>
      </c>
      <c r="C284" s="15">
        <v>1.0</v>
      </c>
      <c r="D284" s="17">
        <v>8.0</v>
      </c>
      <c r="E284" s="18" t="s">
        <v>87</v>
      </c>
      <c r="F284" s="18"/>
    </row>
    <row r="285" ht="14.25" customHeight="1">
      <c r="A285" s="13" t="s">
        <v>28</v>
      </c>
      <c r="B285" s="14" t="s">
        <v>96</v>
      </c>
      <c r="C285" s="15">
        <v>1.0</v>
      </c>
      <c r="D285" s="17">
        <v>10.8333</v>
      </c>
      <c r="E285" s="18" t="s">
        <v>87</v>
      </c>
      <c r="F285" s="18"/>
    </row>
    <row r="286" ht="14.25" customHeight="1">
      <c r="A286" s="13" t="s">
        <v>28</v>
      </c>
      <c r="B286" s="14" t="s">
        <v>98</v>
      </c>
      <c r="C286" s="15">
        <v>1.0</v>
      </c>
      <c r="D286" s="17">
        <v>10.6677</v>
      </c>
      <c r="E286" s="18" t="s">
        <v>87</v>
      </c>
      <c r="F286" s="18"/>
    </row>
    <row r="287" ht="14.25" customHeight="1">
      <c r="A287" s="13" t="s">
        <v>28</v>
      </c>
      <c r="B287" s="14" t="s">
        <v>101</v>
      </c>
      <c r="C287" s="15">
        <v>1.0</v>
      </c>
      <c r="D287" s="17">
        <v>10.83</v>
      </c>
      <c r="E287" s="18" t="s">
        <v>87</v>
      </c>
      <c r="F287" s="18"/>
    </row>
    <row r="288" ht="14.25" customHeight="1">
      <c r="A288" s="13" t="s">
        <v>31</v>
      </c>
      <c r="B288" s="14" t="s">
        <v>33</v>
      </c>
      <c r="C288" s="15">
        <v>1.0</v>
      </c>
      <c r="D288" s="17">
        <v>1.5</v>
      </c>
      <c r="E288" s="18" t="s">
        <v>87</v>
      </c>
      <c r="F288" s="18"/>
    </row>
    <row r="289" ht="14.25" customHeight="1">
      <c r="A289" s="13" t="s">
        <v>31</v>
      </c>
      <c r="B289" s="14" t="s">
        <v>37</v>
      </c>
      <c r="C289" s="15">
        <v>0.0</v>
      </c>
      <c r="D289" s="17">
        <v>1.16</v>
      </c>
      <c r="E289" s="18" t="s">
        <v>87</v>
      </c>
      <c r="F289" s="18"/>
    </row>
    <row r="290" ht="14.25" customHeight="1">
      <c r="A290" s="13" t="s">
        <v>31</v>
      </c>
      <c r="B290" s="14" t="s">
        <v>40</v>
      </c>
      <c r="C290" s="15">
        <v>0.0</v>
      </c>
      <c r="D290" s="17">
        <v>1.16</v>
      </c>
      <c r="E290" s="18" t="s">
        <v>87</v>
      </c>
      <c r="F290" s="18" t="s">
        <v>114</v>
      </c>
    </row>
    <row r="291" ht="14.25" customHeight="1">
      <c r="A291" s="13" t="s">
        <v>31</v>
      </c>
      <c r="B291" s="14" t="s">
        <v>43</v>
      </c>
      <c r="C291" s="15">
        <v>0.0</v>
      </c>
      <c r="D291" s="17">
        <v>1.5</v>
      </c>
      <c r="E291" s="18" t="s">
        <v>87</v>
      </c>
      <c r="F291" s="18" t="s">
        <v>115</v>
      </c>
    </row>
    <row r="292" ht="14.25" customHeight="1">
      <c r="A292" s="13" t="s">
        <v>31</v>
      </c>
      <c r="B292" s="14" t="s">
        <v>46</v>
      </c>
      <c r="C292" s="15"/>
      <c r="D292" s="17"/>
      <c r="E292" s="18"/>
      <c r="F292" s="18"/>
    </row>
    <row r="293" ht="14.25" customHeight="1">
      <c r="A293" s="13" t="s">
        <v>31</v>
      </c>
      <c r="B293" s="14" t="s">
        <v>49</v>
      </c>
      <c r="C293" s="15">
        <v>0.0</v>
      </c>
      <c r="D293" s="17">
        <v>1.83</v>
      </c>
      <c r="E293" s="18" t="s">
        <v>87</v>
      </c>
      <c r="F293" s="18" t="s">
        <v>116</v>
      </c>
    </row>
    <row r="294" ht="14.25" customHeight="1">
      <c r="A294" s="13" t="s">
        <v>31</v>
      </c>
      <c r="B294" s="14" t="s">
        <v>52</v>
      </c>
      <c r="C294" s="15">
        <v>0.0</v>
      </c>
      <c r="D294" s="17">
        <v>2.0</v>
      </c>
      <c r="E294" s="18" t="s">
        <v>87</v>
      </c>
      <c r="F294" s="18" t="s">
        <v>117</v>
      </c>
    </row>
    <row r="295" ht="14.25" customHeight="1">
      <c r="A295" s="13" t="s">
        <v>31</v>
      </c>
      <c r="B295" s="14" t="s">
        <v>55</v>
      </c>
      <c r="C295" s="15">
        <v>0.0</v>
      </c>
      <c r="D295" s="17">
        <v>2.25</v>
      </c>
      <c r="E295" s="18" t="s">
        <v>87</v>
      </c>
      <c r="F295" s="18" t="s">
        <v>118</v>
      </c>
    </row>
    <row r="296" ht="14.25" customHeight="1">
      <c r="A296" s="13" t="s">
        <v>31</v>
      </c>
      <c r="B296" s="14" t="s">
        <v>58</v>
      </c>
      <c r="C296" s="15">
        <v>0.0</v>
      </c>
      <c r="D296" s="17">
        <v>1.42</v>
      </c>
      <c r="E296" s="18" t="s">
        <v>87</v>
      </c>
      <c r="F296" s="18" t="s">
        <v>119</v>
      </c>
    </row>
    <row r="297" ht="14.25" customHeight="1">
      <c r="A297" s="13" t="s">
        <v>31</v>
      </c>
      <c r="B297" s="14" t="s">
        <v>61</v>
      </c>
      <c r="C297" s="15">
        <v>0.0</v>
      </c>
      <c r="D297" s="17">
        <v>1.75</v>
      </c>
      <c r="E297" s="18" t="s">
        <v>87</v>
      </c>
      <c r="F297" s="18" t="s">
        <v>120</v>
      </c>
    </row>
    <row r="298" ht="14.25" customHeight="1">
      <c r="A298" s="13" t="s">
        <v>31</v>
      </c>
      <c r="B298" s="14" t="s">
        <v>64</v>
      </c>
      <c r="C298" s="15">
        <v>0.0</v>
      </c>
      <c r="D298" s="17">
        <v>1.83</v>
      </c>
      <c r="E298" s="18" t="s">
        <v>87</v>
      </c>
      <c r="F298" s="18" t="s">
        <v>120</v>
      </c>
    </row>
    <row r="299" ht="14.25" customHeight="1">
      <c r="A299" s="13" t="s">
        <v>31</v>
      </c>
      <c r="B299" s="14" t="s">
        <v>68</v>
      </c>
      <c r="C299" s="15">
        <v>0.0</v>
      </c>
      <c r="D299" s="17">
        <v>2.17</v>
      </c>
      <c r="E299" s="18" t="s">
        <v>87</v>
      </c>
      <c r="F299" s="18" t="s">
        <v>120</v>
      </c>
    </row>
    <row r="300" ht="14.25" customHeight="1">
      <c r="A300" s="13" t="s">
        <v>31</v>
      </c>
      <c r="B300" s="14" t="s">
        <v>71</v>
      </c>
      <c r="C300" s="15">
        <v>0.0</v>
      </c>
      <c r="D300" s="17">
        <v>2.83</v>
      </c>
      <c r="E300" s="18" t="s">
        <v>87</v>
      </c>
      <c r="F300" s="18" t="s">
        <v>121</v>
      </c>
    </row>
    <row r="301" ht="14.25" customHeight="1">
      <c r="A301" s="13" t="s">
        <v>31</v>
      </c>
      <c r="B301" s="14" t="s">
        <v>75</v>
      </c>
      <c r="C301" s="15">
        <v>0.0</v>
      </c>
      <c r="D301" s="17">
        <v>3.42</v>
      </c>
      <c r="E301" s="18" t="s">
        <v>87</v>
      </c>
      <c r="F301" s="18" t="s">
        <v>112</v>
      </c>
    </row>
    <row r="302" ht="14.25" customHeight="1">
      <c r="A302" s="13" t="s">
        <v>31</v>
      </c>
      <c r="B302" s="14" t="s">
        <v>78</v>
      </c>
      <c r="C302" s="15">
        <v>1.0</v>
      </c>
      <c r="D302" s="17">
        <v>4.17</v>
      </c>
      <c r="E302" s="18" t="s">
        <v>87</v>
      </c>
      <c r="F302" s="18" t="s">
        <v>119</v>
      </c>
    </row>
    <row r="303" ht="14.25" customHeight="1">
      <c r="A303" s="13" t="s">
        <v>31</v>
      </c>
      <c r="B303" s="14" t="s">
        <v>81</v>
      </c>
      <c r="C303" s="15">
        <v>0.0</v>
      </c>
      <c r="D303" s="17">
        <v>2.33</v>
      </c>
      <c r="E303" s="18" t="s">
        <v>87</v>
      </c>
      <c r="F303" s="18" t="s">
        <v>119</v>
      </c>
    </row>
    <row r="304" ht="14.25" customHeight="1">
      <c r="A304" s="13" t="s">
        <v>31</v>
      </c>
      <c r="B304" s="14" t="s">
        <v>84</v>
      </c>
      <c r="C304" s="15">
        <v>0.0</v>
      </c>
      <c r="D304" s="17">
        <v>2.83</v>
      </c>
      <c r="E304" s="18" t="s">
        <v>87</v>
      </c>
      <c r="F304" s="18" t="s">
        <v>122</v>
      </c>
    </row>
    <row r="305" ht="14.25" customHeight="1">
      <c r="A305" s="13" t="s">
        <v>31</v>
      </c>
      <c r="B305" s="14" t="s">
        <v>89</v>
      </c>
      <c r="C305" s="15">
        <v>0.0</v>
      </c>
      <c r="D305" s="17">
        <v>3.083</v>
      </c>
      <c r="E305" s="18" t="s">
        <v>87</v>
      </c>
      <c r="F305" s="18" t="s">
        <v>121</v>
      </c>
    </row>
    <row r="306" ht="14.25" customHeight="1">
      <c r="A306" s="13" t="s">
        <v>31</v>
      </c>
      <c r="B306" s="14" t="s">
        <v>92</v>
      </c>
      <c r="C306" s="15">
        <v>1.0</v>
      </c>
      <c r="D306" s="17">
        <v>4.67</v>
      </c>
      <c r="E306" s="18" t="s">
        <v>87</v>
      </c>
      <c r="F306" s="18" t="s">
        <v>113</v>
      </c>
    </row>
    <row r="307" ht="14.25" customHeight="1">
      <c r="A307" s="13" t="s">
        <v>31</v>
      </c>
      <c r="B307" s="14" t="s">
        <v>94</v>
      </c>
      <c r="C307" s="15">
        <v>0.0</v>
      </c>
      <c r="D307" s="17">
        <v>3.583</v>
      </c>
      <c r="E307" s="18" t="s">
        <v>87</v>
      </c>
      <c r="F307" s="18" t="s">
        <v>121</v>
      </c>
    </row>
    <row r="308" ht="14.25" customHeight="1">
      <c r="A308" s="13" t="s">
        <v>31</v>
      </c>
      <c r="B308" s="14" t="s">
        <v>96</v>
      </c>
      <c r="C308" s="15">
        <v>0.0</v>
      </c>
      <c r="D308" s="17">
        <v>3.67</v>
      </c>
      <c r="E308" s="18" t="s">
        <v>87</v>
      </c>
      <c r="F308" s="18" t="s">
        <v>121</v>
      </c>
    </row>
    <row r="309" ht="14.25" customHeight="1">
      <c r="A309" s="13" t="s">
        <v>31</v>
      </c>
      <c r="B309" s="14" t="s">
        <v>98</v>
      </c>
      <c r="C309" s="15">
        <v>0.0</v>
      </c>
      <c r="D309" s="17">
        <v>4.083</v>
      </c>
      <c r="E309" s="18" t="s">
        <v>87</v>
      </c>
      <c r="F309" s="18" t="s">
        <v>121</v>
      </c>
    </row>
    <row r="310" ht="14.25" customHeight="1">
      <c r="A310" s="13" t="s">
        <v>31</v>
      </c>
      <c r="B310" s="14" t="s">
        <v>101</v>
      </c>
      <c r="C310" s="15">
        <v>0.0</v>
      </c>
      <c r="D310" s="17">
        <v>5.33</v>
      </c>
      <c r="E310" s="18" t="s">
        <v>87</v>
      </c>
      <c r="F310" s="18" t="s">
        <v>121</v>
      </c>
    </row>
    <row r="311" ht="14.25" customHeight="1">
      <c r="A311" s="13" t="s">
        <v>33</v>
      </c>
      <c r="B311" s="14" t="s">
        <v>37</v>
      </c>
      <c r="C311" s="15"/>
      <c r="D311" s="17"/>
      <c r="E311" s="18"/>
      <c r="F311" s="18"/>
    </row>
    <row r="312" ht="14.25" customHeight="1">
      <c r="A312" s="13" t="s">
        <v>33</v>
      </c>
      <c r="B312" s="14" t="s">
        <v>40</v>
      </c>
      <c r="C312" s="15"/>
      <c r="D312" s="17"/>
      <c r="E312" s="18"/>
      <c r="F312" s="18"/>
    </row>
    <row r="313" ht="14.25" customHeight="1">
      <c r="A313" s="13" t="s">
        <v>33</v>
      </c>
      <c r="B313" s="14" t="s">
        <v>43</v>
      </c>
      <c r="C313" s="15">
        <v>0.0</v>
      </c>
      <c r="D313" s="17">
        <v>1.67</v>
      </c>
      <c r="E313" s="18" t="s">
        <v>87</v>
      </c>
      <c r="F313" s="18" t="s">
        <v>112</v>
      </c>
    </row>
    <row r="314" ht="14.25" customHeight="1">
      <c r="A314" s="13" t="s">
        <v>33</v>
      </c>
      <c r="B314" s="14" t="s">
        <v>46</v>
      </c>
      <c r="C314" s="15"/>
      <c r="D314" s="17"/>
      <c r="E314" s="18"/>
    </row>
    <row r="315" ht="14.25" customHeight="1">
      <c r="A315" s="13" t="s">
        <v>33</v>
      </c>
      <c r="B315" s="14" t="s">
        <v>49</v>
      </c>
      <c r="C315" s="15">
        <v>0.0</v>
      </c>
      <c r="D315" s="17">
        <v>1.75</v>
      </c>
      <c r="E315" s="18" t="s">
        <v>87</v>
      </c>
      <c r="F315" s="18" t="s">
        <v>112</v>
      </c>
    </row>
    <row r="316" ht="14.25" customHeight="1">
      <c r="A316" s="13" t="s">
        <v>33</v>
      </c>
      <c r="B316" s="14" t="s">
        <v>52</v>
      </c>
      <c r="C316" s="15">
        <v>1.0</v>
      </c>
      <c r="D316" s="17">
        <v>5.47</v>
      </c>
      <c r="E316" s="18" t="s">
        <v>87</v>
      </c>
      <c r="F316" s="18" t="s">
        <v>123</v>
      </c>
    </row>
    <row r="317" ht="14.25" customHeight="1">
      <c r="A317" s="13" t="s">
        <v>33</v>
      </c>
      <c r="B317" s="14" t="s">
        <v>55</v>
      </c>
      <c r="C317" s="15">
        <v>1.0</v>
      </c>
      <c r="D317" s="17">
        <v>6.0</v>
      </c>
      <c r="E317" s="18" t="s">
        <v>87</v>
      </c>
      <c r="F317" s="18" t="s">
        <v>112</v>
      </c>
    </row>
    <row r="318" ht="14.25" customHeight="1">
      <c r="A318" s="13" t="s">
        <v>33</v>
      </c>
      <c r="B318" s="14" t="s">
        <v>58</v>
      </c>
      <c r="C318" s="15">
        <v>2.0</v>
      </c>
      <c r="D318" s="17">
        <v>18.75</v>
      </c>
      <c r="E318" s="18" t="s">
        <v>87</v>
      </c>
      <c r="F318" s="18" t="s">
        <v>123</v>
      </c>
    </row>
    <row r="319" ht="14.25" customHeight="1">
      <c r="A319" s="13" t="s">
        <v>33</v>
      </c>
      <c r="B319" s="14" t="s">
        <v>61</v>
      </c>
      <c r="C319" s="15"/>
      <c r="D319" s="17"/>
      <c r="E319" s="18"/>
      <c r="F319" s="18"/>
    </row>
    <row r="320" ht="14.25" customHeight="1">
      <c r="A320" s="13" t="s">
        <v>33</v>
      </c>
      <c r="B320" s="14" t="s">
        <v>64</v>
      </c>
      <c r="C320" s="15">
        <v>1.0</v>
      </c>
      <c r="D320" s="17">
        <v>5.5</v>
      </c>
      <c r="E320" s="18" t="s">
        <v>87</v>
      </c>
      <c r="F320" s="18" t="s">
        <v>112</v>
      </c>
    </row>
    <row r="321" ht="14.25" customHeight="1">
      <c r="A321" s="13" t="s">
        <v>33</v>
      </c>
      <c r="B321" s="14" t="s">
        <v>68</v>
      </c>
      <c r="C321" s="15">
        <v>0.0</v>
      </c>
      <c r="D321" s="17">
        <v>2.17</v>
      </c>
      <c r="E321" s="18" t="s">
        <v>87</v>
      </c>
      <c r="F321" s="18" t="s">
        <v>112</v>
      </c>
    </row>
    <row r="322" ht="14.25" customHeight="1">
      <c r="A322" s="13" t="s">
        <v>33</v>
      </c>
      <c r="B322" s="14" t="s">
        <v>71</v>
      </c>
      <c r="C322" s="15"/>
      <c r="D322" s="17"/>
      <c r="E322" s="18"/>
      <c r="F322" s="18"/>
    </row>
    <row r="323" ht="14.25" customHeight="1">
      <c r="A323" s="13" t="s">
        <v>33</v>
      </c>
      <c r="B323" s="14" t="s">
        <v>75</v>
      </c>
      <c r="C323" s="15">
        <v>2.0</v>
      </c>
      <c r="D323" s="17">
        <v>8.42</v>
      </c>
      <c r="E323" s="18" t="s">
        <v>87</v>
      </c>
      <c r="F323" s="18"/>
    </row>
    <row r="324" ht="14.25" customHeight="1">
      <c r="A324" s="13" t="s">
        <v>33</v>
      </c>
      <c r="B324" s="14" t="s">
        <v>78</v>
      </c>
      <c r="C324" s="15"/>
      <c r="D324" s="17"/>
      <c r="E324" s="18"/>
      <c r="F324" s="18"/>
    </row>
    <row r="325" ht="14.25" customHeight="1">
      <c r="A325" s="13" t="s">
        <v>33</v>
      </c>
      <c r="B325" s="14" t="s">
        <v>81</v>
      </c>
      <c r="C325" s="15">
        <v>1.0</v>
      </c>
      <c r="D325" s="17">
        <v>6.92</v>
      </c>
      <c r="E325" s="18" t="s">
        <v>87</v>
      </c>
      <c r="F325" s="18" t="s">
        <v>112</v>
      </c>
    </row>
    <row r="326" ht="14.25" customHeight="1">
      <c r="A326" s="13" t="s">
        <v>33</v>
      </c>
      <c r="B326" s="14" t="s">
        <v>84</v>
      </c>
      <c r="C326" s="15">
        <v>3.0</v>
      </c>
      <c r="D326" s="17">
        <v>20.67</v>
      </c>
      <c r="E326" s="18" t="s">
        <v>87</v>
      </c>
      <c r="F326" s="18" t="s">
        <v>123</v>
      </c>
    </row>
    <row r="327" ht="14.25" customHeight="1">
      <c r="A327" s="13" t="s">
        <v>33</v>
      </c>
      <c r="B327" s="14" t="s">
        <v>89</v>
      </c>
      <c r="C327" s="15">
        <v>2.0</v>
      </c>
      <c r="D327" s="17">
        <v>18.83</v>
      </c>
      <c r="E327" s="18" t="s">
        <v>87</v>
      </c>
      <c r="F327" s="18" t="s">
        <v>123</v>
      </c>
    </row>
    <row r="328" ht="14.25" customHeight="1">
      <c r="A328" s="13" t="s">
        <v>33</v>
      </c>
      <c r="B328" s="14" t="s">
        <v>92</v>
      </c>
      <c r="C328" s="15">
        <v>3.0</v>
      </c>
      <c r="D328" s="17">
        <v>23.083</v>
      </c>
      <c r="E328" s="18" t="s">
        <v>87</v>
      </c>
      <c r="F328" s="18" t="s">
        <v>113</v>
      </c>
    </row>
    <row r="329" ht="14.25" customHeight="1">
      <c r="A329" s="13" t="s">
        <v>33</v>
      </c>
      <c r="B329" s="14" t="s">
        <v>94</v>
      </c>
      <c r="C329" s="15">
        <v>2.0</v>
      </c>
      <c r="D329" s="17">
        <v>13.17</v>
      </c>
      <c r="E329" s="18" t="s">
        <v>87</v>
      </c>
      <c r="F329" s="18" t="s">
        <v>112</v>
      </c>
    </row>
    <row r="330" ht="14.25" customHeight="1">
      <c r="A330" s="13" t="s">
        <v>33</v>
      </c>
      <c r="B330" s="14" t="s">
        <v>96</v>
      </c>
      <c r="C330" s="15">
        <v>2.0</v>
      </c>
      <c r="D330" s="17">
        <v>15.92</v>
      </c>
      <c r="E330" s="18" t="s">
        <v>87</v>
      </c>
      <c r="F330" s="18" t="s">
        <v>123</v>
      </c>
    </row>
    <row r="331" ht="14.25" customHeight="1">
      <c r="A331" s="13" t="s">
        <v>33</v>
      </c>
      <c r="B331" s="14" t="s">
        <v>98</v>
      </c>
      <c r="C331" s="15">
        <v>2.0</v>
      </c>
      <c r="D331" s="17">
        <v>13.17</v>
      </c>
      <c r="E331" s="18" t="s">
        <v>87</v>
      </c>
      <c r="F331" s="18" t="s">
        <v>112</v>
      </c>
    </row>
    <row r="332" ht="14.25" customHeight="1">
      <c r="A332" s="13" t="s">
        <v>33</v>
      </c>
      <c r="B332" s="14" t="s">
        <v>101</v>
      </c>
      <c r="C332" s="15">
        <v>2.0</v>
      </c>
      <c r="D332" s="17">
        <v>13.25</v>
      </c>
      <c r="E332" s="18" t="s">
        <v>87</v>
      </c>
      <c r="F332" s="18" t="s">
        <v>112</v>
      </c>
    </row>
    <row r="333" ht="14.25" customHeight="1">
      <c r="A333" s="13" t="s">
        <v>37</v>
      </c>
      <c r="B333" s="14" t="s">
        <v>40</v>
      </c>
      <c r="C333" s="15">
        <v>1.0</v>
      </c>
      <c r="D333" s="17">
        <v>3.5</v>
      </c>
      <c r="E333" s="18" t="s">
        <v>87</v>
      </c>
      <c r="F333" s="18" t="s">
        <v>121</v>
      </c>
    </row>
    <row r="334" ht="14.25" customHeight="1">
      <c r="A334" s="13" t="s">
        <v>37</v>
      </c>
      <c r="B334" s="14" t="s">
        <v>43</v>
      </c>
      <c r="C334" s="15">
        <v>0.0</v>
      </c>
      <c r="D334" s="17">
        <v>1.17</v>
      </c>
      <c r="E334" s="18" t="s">
        <v>87</v>
      </c>
      <c r="F334" s="18" t="s">
        <v>124</v>
      </c>
    </row>
    <row r="335" ht="14.25" customHeight="1">
      <c r="A335" s="13" t="s">
        <v>37</v>
      </c>
      <c r="B335" s="14" t="s">
        <v>46</v>
      </c>
      <c r="C335" s="15"/>
      <c r="D335" s="17"/>
      <c r="E335" s="18"/>
      <c r="F335" s="18"/>
    </row>
    <row r="336" ht="14.25" customHeight="1">
      <c r="A336" s="13" t="s">
        <v>37</v>
      </c>
      <c r="B336" s="14" t="s">
        <v>49</v>
      </c>
      <c r="C336" s="15">
        <v>0.0</v>
      </c>
      <c r="D336" s="17">
        <v>1.25</v>
      </c>
      <c r="E336" s="18" t="s">
        <v>87</v>
      </c>
      <c r="F336" s="18" t="s">
        <v>120</v>
      </c>
    </row>
    <row r="337" ht="14.25" customHeight="1">
      <c r="A337" s="13" t="s">
        <v>37</v>
      </c>
      <c r="B337" s="14" t="s">
        <v>52</v>
      </c>
      <c r="C337" s="15">
        <v>1.0</v>
      </c>
      <c r="D337" s="17">
        <v>3.83</v>
      </c>
      <c r="E337" s="18" t="s">
        <v>87</v>
      </c>
      <c r="F337" s="18" t="s">
        <v>120</v>
      </c>
    </row>
    <row r="338" ht="14.25" customHeight="1">
      <c r="A338" s="13" t="s">
        <v>37</v>
      </c>
      <c r="B338" s="14" t="s">
        <v>55</v>
      </c>
      <c r="C338" s="15">
        <v>1.0</v>
      </c>
      <c r="D338" s="17">
        <v>4.83</v>
      </c>
      <c r="E338" s="18" t="s">
        <v>87</v>
      </c>
      <c r="F338" s="18" t="s">
        <v>120</v>
      </c>
    </row>
    <row r="339" ht="14.25" customHeight="1">
      <c r="A339" s="13" t="s">
        <v>37</v>
      </c>
      <c r="B339" s="14" t="s">
        <v>58</v>
      </c>
      <c r="C339" s="15">
        <v>0.0</v>
      </c>
      <c r="D339" s="17">
        <v>1.5</v>
      </c>
      <c r="E339" s="18" t="s">
        <v>87</v>
      </c>
      <c r="F339" s="18" t="s">
        <v>120</v>
      </c>
    </row>
    <row r="340" ht="14.25" customHeight="1">
      <c r="A340" s="13" t="s">
        <v>37</v>
      </c>
      <c r="B340" s="14" t="s">
        <v>61</v>
      </c>
      <c r="C340" s="15">
        <v>0.0</v>
      </c>
      <c r="D340" s="17">
        <v>1.33</v>
      </c>
      <c r="E340" s="18" t="s">
        <v>87</v>
      </c>
      <c r="F340" s="18" t="s">
        <v>120</v>
      </c>
    </row>
    <row r="341" ht="14.25" customHeight="1">
      <c r="A341" s="13" t="s">
        <v>37</v>
      </c>
      <c r="B341" s="14" t="s">
        <v>64</v>
      </c>
      <c r="C341" s="15">
        <v>0.0</v>
      </c>
      <c r="D341" s="17">
        <v>1.25</v>
      </c>
      <c r="E341" s="18" t="s">
        <v>87</v>
      </c>
      <c r="F341" s="18" t="s">
        <v>125</v>
      </c>
    </row>
    <row r="342" ht="14.25" customHeight="1">
      <c r="A342" s="13" t="s">
        <v>37</v>
      </c>
      <c r="B342" s="14" t="s">
        <v>68</v>
      </c>
      <c r="C342" s="15">
        <v>0.0</v>
      </c>
      <c r="D342" s="17">
        <v>1.75</v>
      </c>
      <c r="E342" s="18" t="s">
        <v>87</v>
      </c>
      <c r="F342" s="18" t="s">
        <v>125</v>
      </c>
    </row>
    <row r="343" ht="14.25" customHeight="1">
      <c r="A343" s="13" t="s">
        <v>37</v>
      </c>
      <c r="B343" s="14" t="s">
        <v>71</v>
      </c>
      <c r="C343" s="15">
        <v>1.0</v>
      </c>
      <c r="D343" s="17">
        <v>4.083</v>
      </c>
      <c r="E343" s="18" t="s">
        <v>87</v>
      </c>
      <c r="F343" s="18" t="s">
        <v>125</v>
      </c>
    </row>
    <row r="344" ht="14.25" customHeight="1">
      <c r="A344" s="13" t="s">
        <v>37</v>
      </c>
      <c r="B344" s="14" t="s">
        <v>75</v>
      </c>
      <c r="C344" s="15">
        <v>1.0</v>
      </c>
      <c r="D344" s="17">
        <v>5.67</v>
      </c>
      <c r="E344" s="18" t="s">
        <v>87</v>
      </c>
      <c r="F344" s="18" t="s">
        <v>123</v>
      </c>
    </row>
    <row r="345" ht="14.25" customHeight="1">
      <c r="A345" s="13" t="s">
        <v>37</v>
      </c>
      <c r="B345" s="14" t="s">
        <v>78</v>
      </c>
      <c r="C345" s="15">
        <v>2.0</v>
      </c>
      <c r="D345" s="17">
        <v>6.92</v>
      </c>
      <c r="E345" s="18" t="s">
        <v>87</v>
      </c>
      <c r="F345" s="18" t="s">
        <v>121</v>
      </c>
    </row>
    <row r="346" ht="14.25" customHeight="1">
      <c r="A346" s="13" t="s">
        <v>37</v>
      </c>
      <c r="B346" s="14" t="s">
        <v>81</v>
      </c>
      <c r="C346" s="15">
        <v>0.0</v>
      </c>
      <c r="D346" s="17">
        <v>1.75</v>
      </c>
      <c r="E346" s="18" t="s">
        <v>87</v>
      </c>
      <c r="F346" s="18" t="s">
        <v>125</v>
      </c>
    </row>
    <row r="347" ht="14.25" customHeight="1">
      <c r="A347" s="13" t="s">
        <v>37</v>
      </c>
      <c r="B347" s="14" t="s">
        <v>84</v>
      </c>
      <c r="C347" s="15">
        <v>1.0</v>
      </c>
      <c r="D347" s="17">
        <v>6.33</v>
      </c>
      <c r="E347" s="18" t="s">
        <v>87</v>
      </c>
      <c r="F347" s="18" t="s">
        <v>120</v>
      </c>
    </row>
    <row r="348" ht="14.25" customHeight="1">
      <c r="A348" s="13" t="s">
        <v>37</v>
      </c>
      <c r="B348" s="14" t="s">
        <v>89</v>
      </c>
      <c r="C348" s="15">
        <v>1.0</v>
      </c>
      <c r="D348" s="17">
        <v>11.17</v>
      </c>
      <c r="E348" s="18" t="s">
        <v>87</v>
      </c>
      <c r="F348" s="18" t="s">
        <v>120</v>
      </c>
    </row>
    <row r="349" ht="14.25" customHeight="1">
      <c r="A349" s="13" t="s">
        <v>37</v>
      </c>
      <c r="B349" s="14" t="s">
        <v>92</v>
      </c>
      <c r="C349" s="15">
        <v>2.0</v>
      </c>
      <c r="D349" s="17">
        <v>7.92</v>
      </c>
      <c r="E349" s="18" t="s">
        <v>87</v>
      </c>
      <c r="F349" s="18" t="s">
        <v>121</v>
      </c>
    </row>
    <row r="350" ht="14.25" customHeight="1">
      <c r="A350" s="13" t="s">
        <v>37</v>
      </c>
      <c r="B350" s="14" t="s">
        <v>94</v>
      </c>
      <c r="C350" s="15">
        <v>1.0</v>
      </c>
      <c r="D350" s="17">
        <v>6.25</v>
      </c>
      <c r="E350" s="18" t="s">
        <v>87</v>
      </c>
      <c r="F350" s="18" t="s">
        <v>123</v>
      </c>
    </row>
    <row r="351" ht="14.25" customHeight="1">
      <c r="A351" s="13" t="s">
        <v>37</v>
      </c>
      <c r="B351" s="14" t="s">
        <v>96</v>
      </c>
      <c r="C351" s="15">
        <v>2.0</v>
      </c>
      <c r="D351" s="17">
        <v>9.92</v>
      </c>
      <c r="E351" s="18" t="s">
        <v>87</v>
      </c>
      <c r="F351" s="18" t="s">
        <v>121</v>
      </c>
    </row>
    <row r="352" ht="14.25" customHeight="1">
      <c r="A352" s="13" t="s">
        <v>37</v>
      </c>
      <c r="B352" s="14" t="s">
        <v>98</v>
      </c>
      <c r="C352" s="15">
        <v>1.0</v>
      </c>
      <c r="D352" s="17">
        <v>8.75</v>
      </c>
      <c r="E352" s="18" t="s">
        <v>87</v>
      </c>
      <c r="F352" s="18" t="s">
        <v>120</v>
      </c>
    </row>
    <row r="353" ht="14.25" customHeight="1">
      <c r="A353" s="13" t="s">
        <v>37</v>
      </c>
      <c r="B353" s="14" t="s">
        <v>101</v>
      </c>
      <c r="C353" s="15">
        <v>2.0</v>
      </c>
      <c r="D353" s="17">
        <v>9.83</v>
      </c>
      <c r="E353" s="18" t="s">
        <v>87</v>
      </c>
      <c r="F353" s="18"/>
    </row>
    <row r="354" ht="14.25" customHeight="1">
      <c r="A354" s="13" t="s">
        <v>40</v>
      </c>
      <c r="B354" s="14" t="s">
        <v>43</v>
      </c>
      <c r="C354" s="15">
        <v>1.0</v>
      </c>
      <c r="D354" s="17">
        <v>3.5</v>
      </c>
      <c r="E354" s="18" t="s">
        <v>87</v>
      </c>
      <c r="F354" s="18"/>
    </row>
    <row r="355" ht="14.25" customHeight="1">
      <c r="A355" s="13" t="s">
        <v>40</v>
      </c>
      <c r="B355" s="14" t="s">
        <v>46</v>
      </c>
      <c r="C355" s="15"/>
      <c r="D355" s="17"/>
      <c r="E355" s="18"/>
      <c r="F355" s="18"/>
    </row>
    <row r="356" ht="14.25" customHeight="1">
      <c r="A356" s="13" t="s">
        <v>40</v>
      </c>
      <c r="B356" s="14" t="s">
        <v>49</v>
      </c>
      <c r="C356" s="15">
        <v>0.0</v>
      </c>
      <c r="D356" s="17">
        <v>1.42</v>
      </c>
      <c r="E356" s="18" t="s">
        <v>87</v>
      </c>
      <c r="F356" s="18"/>
    </row>
    <row r="357" ht="14.25" customHeight="1">
      <c r="A357" s="13" t="s">
        <v>40</v>
      </c>
      <c r="B357" s="14" t="s">
        <v>52</v>
      </c>
      <c r="C357" s="15">
        <v>0.0</v>
      </c>
      <c r="D357" s="17">
        <v>1.5</v>
      </c>
      <c r="E357" s="18" t="s">
        <v>87</v>
      </c>
      <c r="F357" s="18"/>
    </row>
    <row r="358" ht="14.25" customHeight="1">
      <c r="A358" s="13" t="s">
        <v>40</v>
      </c>
      <c r="B358" s="14" t="s">
        <v>55</v>
      </c>
      <c r="C358" s="15">
        <v>1.0</v>
      </c>
      <c r="D358" s="17">
        <v>4.92</v>
      </c>
      <c r="E358" s="18" t="s">
        <v>87</v>
      </c>
      <c r="F358" s="18"/>
    </row>
    <row r="359" ht="14.25" customHeight="1">
      <c r="A359" s="13" t="s">
        <v>40</v>
      </c>
      <c r="B359" s="14" t="s">
        <v>58</v>
      </c>
      <c r="C359" s="15">
        <v>0.0</v>
      </c>
      <c r="D359" s="17">
        <v>1.83</v>
      </c>
      <c r="E359" s="18" t="s">
        <v>87</v>
      </c>
      <c r="F359" s="18"/>
    </row>
    <row r="360" ht="14.25" customHeight="1">
      <c r="A360" s="13" t="s">
        <v>40</v>
      </c>
      <c r="B360" s="14" t="s">
        <v>61</v>
      </c>
      <c r="C360" s="15">
        <v>0.0</v>
      </c>
      <c r="D360" s="17">
        <v>1.583</v>
      </c>
      <c r="E360" s="18" t="s">
        <v>87</v>
      </c>
      <c r="F360" s="18"/>
    </row>
    <row r="361" ht="14.25" customHeight="1">
      <c r="A361" s="13" t="s">
        <v>40</v>
      </c>
      <c r="B361" s="14" t="s">
        <v>64</v>
      </c>
      <c r="C361" s="15">
        <v>0.0</v>
      </c>
      <c r="D361" s="17">
        <v>1.5</v>
      </c>
      <c r="E361" s="18" t="s">
        <v>87</v>
      </c>
      <c r="F361" s="18"/>
    </row>
    <row r="362" ht="14.25" customHeight="1">
      <c r="A362" s="13" t="s">
        <v>40</v>
      </c>
      <c r="B362" s="14" t="s">
        <v>68</v>
      </c>
      <c r="C362" s="15">
        <v>0.0</v>
      </c>
      <c r="D362" s="17">
        <v>1.92</v>
      </c>
      <c r="E362" s="18" t="s">
        <v>87</v>
      </c>
      <c r="F362" s="18"/>
    </row>
    <row r="363" ht="14.25" customHeight="1">
      <c r="A363" s="13" t="s">
        <v>40</v>
      </c>
      <c r="B363" s="14" t="s">
        <v>71</v>
      </c>
      <c r="C363" s="15">
        <v>1.0</v>
      </c>
      <c r="D363" s="17">
        <v>4.75</v>
      </c>
      <c r="E363" s="18" t="s">
        <v>87</v>
      </c>
      <c r="F363" s="18"/>
    </row>
    <row r="364" ht="14.25" customHeight="1">
      <c r="A364" s="13" t="s">
        <v>40</v>
      </c>
      <c r="B364" s="14" t="s">
        <v>75</v>
      </c>
      <c r="C364" s="15">
        <v>1.0</v>
      </c>
      <c r="D364" s="17">
        <v>4.67</v>
      </c>
      <c r="E364" s="18" t="s">
        <v>87</v>
      </c>
      <c r="F364" s="18"/>
    </row>
    <row r="365" ht="14.25" customHeight="1">
      <c r="A365" s="13" t="s">
        <v>40</v>
      </c>
      <c r="B365" s="14" t="s">
        <v>78</v>
      </c>
      <c r="C365" s="15">
        <v>1.0</v>
      </c>
      <c r="D365" s="17">
        <v>3.83</v>
      </c>
      <c r="E365" s="18" t="s">
        <v>87</v>
      </c>
      <c r="F365" s="18"/>
    </row>
    <row r="366" ht="14.25" customHeight="1">
      <c r="A366" s="13" t="s">
        <v>40</v>
      </c>
      <c r="B366" s="14" t="s">
        <v>81</v>
      </c>
      <c r="C366" s="15">
        <v>0.0</v>
      </c>
      <c r="D366" s="17">
        <v>1.83</v>
      </c>
      <c r="E366" s="18" t="s">
        <v>87</v>
      </c>
      <c r="F366" s="18"/>
    </row>
    <row r="367" ht="14.25" customHeight="1">
      <c r="A367" s="13" t="s">
        <v>40</v>
      </c>
      <c r="B367" s="14" t="s">
        <v>84</v>
      </c>
      <c r="C367" s="15">
        <v>1.0</v>
      </c>
      <c r="D367" s="17">
        <v>3.583</v>
      </c>
      <c r="E367" s="18" t="s">
        <v>87</v>
      </c>
      <c r="F367" s="18"/>
    </row>
    <row r="368" ht="14.25" customHeight="1">
      <c r="A368" s="13" t="s">
        <v>40</v>
      </c>
      <c r="B368" s="14" t="s">
        <v>89</v>
      </c>
      <c r="C368" s="15">
        <v>1.0</v>
      </c>
      <c r="D368" s="17">
        <v>11.0</v>
      </c>
      <c r="E368" s="18" t="s">
        <v>87</v>
      </c>
      <c r="F368" s="18"/>
    </row>
    <row r="369" ht="14.25" customHeight="1">
      <c r="A369" s="13" t="s">
        <v>40</v>
      </c>
      <c r="B369" s="14" t="s">
        <v>92</v>
      </c>
      <c r="C369" s="15">
        <v>1.0</v>
      </c>
      <c r="D369" s="17">
        <v>4.83</v>
      </c>
      <c r="E369" s="18" t="s">
        <v>87</v>
      </c>
      <c r="F369" s="18"/>
    </row>
    <row r="370" ht="14.25" customHeight="1">
      <c r="A370" s="13" t="s">
        <v>40</v>
      </c>
      <c r="B370" s="14" t="s">
        <v>94</v>
      </c>
      <c r="C370" s="15">
        <v>1.0</v>
      </c>
      <c r="D370" s="17">
        <v>6.5</v>
      </c>
      <c r="E370" s="18" t="s">
        <v>87</v>
      </c>
      <c r="F370" s="18"/>
    </row>
    <row r="371" ht="14.25" customHeight="1">
      <c r="A371" s="13" t="s">
        <v>40</v>
      </c>
      <c r="B371" s="14" t="s">
        <v>96</v>
      </c>
      <c r="C371" s="15">
        <v>1.0</v>
      </c>
      <c r="D371" s="17">
        <v>6.83</v>
      </c>
      <c r="E371" s="18" t="s">
        <v>87</v>
      </c>
      <c r="F371" s="18"/>
    </row>
    <row r="372" ht="14.25" customHeight="1">
      <c r="A372" s="13" t="s">
        <v>40</v>
      </c>
      <c r="B372" s="14" t="s">
        <v>98</v>
      </c>
      <c r="C372" s="15">
        <v>1.0</v>
      </c>
      <c r="D372" s="17">
        <v>8.0</v>
      </c>
      <c r="E372" s="18" t="s">
        <v>87</v>
      </c>
      <c r="F372" s="18"/>
    </row>
    <row r="373" ht="14.25" customHeight="1">
      <c r="A373" s="13" t="s">
        <v>40</v>
      </c>
      <c r="B373" s="14" t="s">
        <v>101</v>
      </c>
      <c r="C373" s="15">
        <v>1.0</v>
      </c>
      <c r="D373" s="17">
        <v>8.083</v>
      </c>
      <c r="E373" s="18" t="s">
        <v>87</v>
      </c>
      <c r="F373" s="18"/>
    </row>
    <row r="374" ht="14.25" customHeight="1">
      <c r="A374" s="13" t="s">
        <v>43</v>
      </c>
      <c r="B374" s="14" t="s">
        <v>46</v>
      </c>
      <c r="C374" s="15"/>
      <c r="D374" s="17"/>
      <c r="E374" s="18"/>
      <c r="F374" s="18"/>
    </row>
    <row r="375" ht="14.25" customHeight="1">
      <c r="A375" s="13" t="s">
        <v>43</v>
      </c>
      <c r="B375" s="14" t="s">
        <v>49</v>
      </c>
      <c r="C375" s="15">
        <v>0.0</v>
      </c>
      <c r="D375" s="17">
        <v>1.0</v>
      </c>
      <c r="E375" s="18" t="s">
        <v>87</v>
      </c>
      <c r="F375" s="18"/>
    </row>
    <row r="376" ht="14.25" customHeight="1">
      <c r="A376" s="13" t="s">
        <v>43</v>
      </c>
      <c r="B376" s="14" t="s">
        <v>52</v>
      </c>
      <c r="C376" s="15">
        <v>0.0</v>
      </c>
      <c r="D376" s="17">
        <v>1.083</v>
      </c>
      <c r="E376" s="18" t="s">
        <v>87</v>
      </c>
      <c r="F376" s="18"/>
    </row>
    <row r="377" ht="14.25" customHeight="1">
      <c r="A377" s="13" t="s">
        <v>43</v>
      </c>
      <c r="B377" s="14" t="s">
        <v>55</v>
      </c>
      <c r="C377" s="15">
        <v>0.0</v>
      </c>
      <c r="D377" s="17">
        <v>1.5</v>
      </c>
      <c r="E377" s="18" t="s">
        <v>87</v>
      </c>
      <c r="F377" s="18"/>
    </row>
    <row r="378" ht="14.25" customHeight="1">
      <c r="A378" s="13" t="s">
        <v>43</v>
      </c>
      <c r="B378" s="14" t="s">
        <v>58</v>
      </c>
      <c r="C378" s="15">
        <v>0.0</v>
      </c>
      <c r="D378" s="17">
        <v>1.67</v>
      </c>
      <c r="E378" s="18" t="s">
        <v>87</v>
      </c>
      <c r="F378" s="18"/>
    </row>
    <row r="379" ht="14.25" customHeight="1">
      <c r="A379" s="13" t="s">
        <v>43</v>
      </c>
      <c r="B379" s="14" t="s">
        <v>61</v>
      </c>
      <c r="C379" s="15">
        <v>0.0</v>
      </c>
      <c r="D379" s="17">
        <v>1.25</v>
      </c>
      <c r="E379" s="18" t="s">
        <v>87</v>
      </c>
      <c r="F379" s="18"/>
    </row>
    <row r="380" ht="14.25" customHeight="1">
      <c r="A380" s="13" t="s">
        <v>43</v>
      </c>
      <c r="B380" s="14" t="s">
        <v>64</v>
      </c>
      <c r="C380" s="15">
        <v>0.0</v>
      </c>
      <c r="D380" s="17">
        <v>1.167</v>
      </c>
      <c r="E380" s="18" t="s">
        <v>87</v>
      </c>
      <c r="F380" s="18"/>
    </row>
    <row r="381" ht="14.25" customHeight="1">
      <c r="A381" s="13" t="s">
        <v>43</v>
      </c>
      <c r="B381" s="14" t="s">
        <v>68</v>
      </c>
      <c r="C381" s="15">
        <v>0.0</v>
      </c>
      <c r="D381" s="17">
        <v>1.583</v>
      </c>
      <c r="E381" s="18" t="s">
        <v>87</v>
      </c>
      <c r="F381" s="18"/>
    </row>
    <row r="382" ht="14.25" customHeight="1">
      <c r="A382" s="13" t="s">
        <v>43</v>
      </c>
      <c r="B382" s="14" t="s">
        <v>71</v>
      </c>
      <c r="C382" s="15">
        <v>0.0</v>
      </c>
      <c r="D382" s="17">
        <v>2.083</v>
      </c>
      <c r="E382" s="18" t="s">
        <v>87</v>
      </c>
      <c r="F382" s="18"/>
    </row>
    <row r="383" ht="14.25" customHeight="1">
      <c r="A383" s="13" t="s">
        <v>43</v>
      </c>
      <c r="B383" s="14" t="s">
        <v>75</v>
      </c>
      <c r="C383" s="15">
        <v>0.0</v>
      </c>
      <c r="D383" s="17">
        <v>2.67</v>
      </c>
      <c r="E383" s="18" t="s">
        <v>87</v>
      </c>
      <c r="F383" s="18"/>
    </row>
    <row r="384" ht="14.25" customHeight="1">
      <c r="A384" s="13" t="s">
        <v>43</v>
      </c>
      <c r="B384" s="14" t="s">
        <v>78</v>
      </c>
      <c r="C384" s="15">
        <v>1.0</v>
      </c>
      <c r="D384" s="17">
        <v>3.583</v>
      </c>
      <c r="E384" s="18" t="s">
        <v>87</v>
      </c>
      <c r="F384" s="18"/>
    </row>
    <row r="385" ht="14.25" customHeight="1">
      <c r="A385" s="13" t="s">
        <v>43</v>
      </c>
      <c r="B385" s="14" t="s">
        <v>81</v>
      </c>
      <c r="C385" s="15">
        <v>0.0</v>
      </c>
      <c r="D385" s="17">
        <v>1.416</v>
      </c>
      <c r="E385" s="18" t="s">
        <v>87</v>
      </c>
      <c r="F385" s="18"/>
    </row>
    <row r="386" ht="14.25" customHeight="1">
      <c r="A386" s="13" t="s">
        <v>43</v>
      </c>
      <c r="B386" s="14" t="s">
        <v>84</v>
      </c>
      <c r="C386" s="15">
        <v>0.0</v>
      </c>
      <c r="D386" s="17">
        <v>2.0</v>
      </c>
      <c r="E386" s="18" t="s">
        <v>87</v>
      </c>
      <c r="F386" s="18"/>
    </row>
    <row r="387" ht="14.25" customHeight="1">
      <c r="A387" s="13" t="s">
        <v>43</v>
      </c>
      <c r="B387" s="14" t="s">
        <v>89</v>
      </c>
      <c r="C387" s="15">
        <v>1.0</v>
      </c>
      <c r="D387" s="17">
        <v>6.416</v>
      </c>
      <c r="E387" s="18" t="s">
        <v>87</v>
      </c>
      <c r="F387" s="18"/>
    </row>
    <row r="388" ht="14.25" customHeight="1">
      <c r="A388" s="13" t="s">
        <v>43</v>
      </c>
      <c r="B388" s="14" t="s">
        <v>92</v>
      </c>
      <c r="C388" s="15">
        <v>1.0</v>
      </c>
      <c r="D388" s="17">
        <v>3.167</v>
      </c>
      <c r="E388" s="18" t="s">
        <v>87</v>
      </c>
      <c r="F388" s="18"/>
    </row>
    <row r="389" ht="14.25" customHeight="1">
      <c r="A389" s="13" t="s">
        <v>43</v>
      </c>
      <c r="B389" s="14" t="s">
        <v>94</v>
      </c>
      <c r="C389" s="15">
        <v>0.0</v>
      </c>
      <c r="D389" s="17">
        <v>2.666</v>
      </c>
      <c r="E389" s="18" t="s">
        <v>87</v>
      </c>
      <c r="F389" s="18"/>
    </row>
    <row r="390" ht="14.25" customHeight="1">
      <c r="A390" s="13" t="s">
        <v>43</v>
      </c>
      <c r="B390" s="14" t="s">
        <v>96</v>
      </c>
      <c r="C390" s="15">
        <v>0.0</v>
      </c>
      <c r="D390" s="17">
        <v>2.9166</v>
      </c>
      <c r="E390" s="18" t="s">
        <v>87</v>
      </c>
      <c r="F390" s="18"/>
    </row>
    <row r="391" ht="14.25" customHeight="1">
      <c r="A391" s="13" t="s">
        <v>43</v>
      </c>
      <c r="B391" s="14" t="s">
        <v>98</v>
      </c>
      <c r="C391" s="15">
        <v>1.0</v>
      </c>
      <c r="D391" s="17">
        <v>4.416</v>
      </c>
      <c r="E391" s="18" t="s">
        <v>87</v>
      </c>
      <c r="F391" s="18"/>
    </row>
    <row r="392" ht="14.25" customHeight="1">
      <c r="A392" s="13" t="s">
        <v>43</v>
      </c>
      <c r="B392" s="14" t="s">
        <v>101</v>
      </c>
      <c r="C392" s="15">
        <v>1.0</v>
      </c>
      <c r="D392" s="17">
        <v>7.916</v>
      </c>
      <c r="E392" s="18" t="s">
        <v>87</v>
      </c>
      <c r="F392" s="18"/>
    </row>
    <row r="393" ht="14.25" customHeight="1">
      <c r="A393" s="13" t="s">
        <v>46</v>
      </c>
      <c r="B393" s="14" t="s">
        <v>49</v>
      </c>
      <c r="C393" s="15"/>
      <c r="D393" s="17"/>
      <c r="E393" s="18" t="s">
        <v>87</v>
      </c>
      <c r="F393" s="18"/>
    </row>
    <row r="394" ht="14.25" customHeight="1">
      <c r="A394" s="13" t="s">
        <v>46</v>
      </c>
      <c r="B394" s="14" t="s">
        <v>52</v>
      </c>
      <c r="C394" s="15"/>
      <c r="D394" s="17"/>
      <c r="E394" s="18" t="s">
        <v>87</v>
      </c>
      <c r="F394" s="18"/>
    </row>
    <row r="395" ht="14.25" customHeight="1">
      <c r="A395" s="13" t="s">
        <v>46</v>
      </c>
      <c r="B395" s="14" t="s">
        <v>55</v>
      </c>
      <c r="C395" s="15"/>
      <c r="D395" s="17"/>
      <c r="E395" s="18" t="s">
        <v>87</v>
      </c>
      <c r="F395" s="18"/>
    </row>
    <row r="396" ht="14.25" customHeight="1">
      <c r="A396" s="13" t="s">
        <v>46</v>
      </c>
      <c r="B396" s="14" t="s">
        <v>58</v>
      </c>
      <c r="C396" s="15"/>
      <c r="D396" s="17"/>
      <c r="E396" s="18" t="s">
        <v>87</v>
      </c>
      <c r="F396" s="18"/>
    </row>
    <row r="397" ht="14.25" customHeight="1">
      <c r="A397" s="13" t="s">
        <v>46</v>
      </c>
      <c r="B397" s="14" t="s">
        <v>61</v>
      </c>
      <c r="C397" s="15"/>
      <c r="D397" s="17"/>
      <c r="E397" s="18" t="s">
        <v>87</v>
      </c>
      <c r="F397" s="18"/>
    </row>
    <row r="398" ht="14.25" customHeight="1">
      <c r="A398" s="13" t="s">
        <v>46</v>
      </c>
      <c r="B398" s="14" t="s">
        <v>64</v>
      </c>
      <c r="C398" s="15"/>
      <c r="D398" s="17"/>
      <c r="E398" s="18" t="s">
        <v>87</v>
      </c>
      <c r="F398" s="18"/>
    </row>
    <row r="399" ht="14.25" customHeight="1">
      <c r="A399" s="13" t="s">
        <v>46</v>
      </c>
      <c r="B399" s="14" t="s">
        <v>68</v>
      </c>
      <c r="C399" s="15"/>
      <c r="D399" s="17"/>
      <c r="E399" s="18" t="s">
        <v>87</v>
      </c>
      <c r="F399" s="18"/>
    </row>
    <row r="400" ht="14.25" customHeight="1">
      <c r="A400" s="13" t="s">
        <v>46</v>
      </c>
      <c r="B400" s="14" t="s">
        <v>71</v>
      </c>
      <c r="C400" s="15"/>
      <c r="D400" s="17"/>
      <c r="E400" s="18" t="s">
        <v>87</v>
      </c>
      <c r="F400" s="18"/>
    </row>
    <row r="401" ht="14.25" customHeight="1">
      <c r="A401" s="13" t="s">
        <v>46</v>
      </c>
      <c r="B401" s="14" t="s">
        <v>75</v>
      </c>
      <c r="C401" s="15"/>
      <c r="D401" s="17"/>
      <c r="E401" s="18" t="s">
        <v>87</v>
      </c>
      <c r="F401" s="18"/>
    </row>
    <row r="402" ht="14.25" customHeight="1">
      <c r="A402" s="13" t="s">
        <v>46</v>
      </c>
      <c r="B402" s="14" t="s">
        <v>78</v>
      </c>
      <c r="C402" s="15"/>
      <c r="D402" s="17"/>
      <c r="E402" s="18" t="s">
        <v>87</v>
      </c>
      <c r="F402" s="18"/>
    </row>
    <row r="403" ht="14.25" customHeight="1">
      <c r="A403" s="13" t="s">
        <v>46</v>
      </c>
      <c r="B403" s="14" t="s">
        <v>81</v>
      </c>
      <c r="C403" s="15"/>
      <c r="D403" s="17"/>
      <c r="E403" s="18" t="s">
        <v>87</v>
      </c>
      <c r="F403" s="18"/>
    </row>
    <row r="404" ht="14.25" customHeight="1">
      <c r="A404" s="13" t="s">
        <v>46</v>
      </c>
      <c r="B404" s="14" t="s">
        <v>84</v>
      </c>
      <c r="C404" s="15"/>
      <c r="D404" s="17"/>
      <c r="E404" s="18" t="s">
        <v>87</v>
      </c>
      <c r="F404" s="18"/>
    </row>
    <row r="405" ht="14.25" customHeight="1">
      <c r="A405" s="13" t="s">
        <v>46</v>
      </c>
      <c r="B405" s="14" t="s">
        <v>89</v>
      </c>
      <c r="C405" s="15"/>
      <c r="D405" s="17"/>
      <c r="E405" s="18" t="s">
        <v>87</v>
      </c>
      <c r="F405" s="18"/>
    </row>
    <row r="406" ht="14.25" customHeight="1">
      <c r="A406" s="13" t="s">
        <v>46</v>
      </c>
      <c r="B406" s="14" t="s">
        <v>92</v>
      </c>
      <c r="C406" s="15"/>
      <c r="D406" s="17"/>
      <c r="E406" s="18" t="s">
        <v>87</v>
      </c>
      <c r="F406" s="18"/>
    </row>
    <row r="407" ht="14.25" customHeight="1">
      <c r="A407" s="13" t="s">
        <v>46</v>
      </c>
      <c r="B407" s="14" t="s">
        <v>94</v>
      </c>
      <c r="C407" s="15"/>
      <c r="D407" s="17"/>
      <c r="E407" s="18" t="s">
        <v>87</v>
      </c>
      <c r="F407" s="18"/>
    </row>
    <row r="408" ht="14.25" customHeight="1">
      <c r="A408" s="13" t="s">
        <v>46</v>
      </c>
      <c r="B408" s="14" t="s">
        <v>96</v>
      </c>
      <c r="C408" s="15"/>
      <c r="D408" s="17"/>
      <c r="E408" s="18" t="s">
        <v>87</v>
      </c>
      <c r="F408" s="18"/>
    </row>
    <row r="409" ht="14.25" customHeight="1">
      <c r="A409" s="13" t="s">
        <v>46</v>
      </c>
      <c r="B409" s="14" t="s">
        <v>98</v>
      </c>
      <c r="C409" s="15"/>
      <c r="D409" s="17"/>
      <c r="E409" s="18" t="s">
        <v>87</v>
      </c>
      <c r="F409" s="18"/>
    </row>
    <row r="410" ht="14.25" customHeight="1">
      <c r="A410" s="13" t="s">
        <v>46</v>
      </c>
      <c r="B410" s="14" t="s">
        <v>101</v>
      </c>
      <c r="C410" s="15"/>
      <c r="D410" s="17"/>
      <c r="E410" s="18" t="s">
        <v>87</v>
      </c>
      <c r="F410" s="18"/>
    </row>
    <row r="411" ht="14.25" customHeight="1">
      <c r="A411" s="13" t="s">
        <v>49</v>
      </c>
      <c r="B411" s="14" t="s">
        <v>52</v>
      </c>
      <c r="C411" s="15">
        <v>0.0</v>
      </c>
      <c r="D411" s="17">
        <v>0.666</v>
      </c>
      <c r="E411" s="18" t="s">
        <v>87</v>
      </c>
      <c r="F411" s="18"/>
    </row>
    <row r="412" ht="14.25" customHeight="1">
      <c r="A412" s="13" t="s">
        <v>49</v>
      </c>
      <c r="B412" s="14" t="s">
        <v>55</v>
      </c>
      <c r="C412" s="15">
        <v>0.0</v>
      </c>
      <c r="D412" s="17">
        <v>1.0833</v>
      </c>
      <c r="E412" s="18" t="s">
        <v>87</v>
      </c>
      <c r="F412" s="18"/>
    </row>
    <row r="413" ht="14.25" customHeight="1">
      <c r="A413" s="13" t="s">
        <v>49</v>
      </c>
      <c r="B413" s="14" t="s">
        <v>58</v>
      </c>
      <c r="C413" s="15">
        <v>0.0</v>
      </c>
      <c r="D413" s="17">
        <v>2.083</v>
      </c>
      <c r="E413" s="18" t="s">
        <v>87</v>
      </c>
      <c r="F413" s="18"/>
    </row>
    <row r="414" ht="14.25" customHeight="1">
      <c r="A414" s="13" t="s">
        <v>49</v>
      </c>
      <c r="B414" s="14" t="s">
        <v>61</v>
      </c>
      <c r="C414" s="15">
        <v>1.0</v>
      </c>
      <c r="D414" s="17">
        <v>2.916</v>
      </c>
      <c r="E414" s="18" t="s">
        <v>87</v>
      </c>
      <c r="F414" s="18"/>
    </row>
    <row r="415" ht="14.25" customHeight="1">
      <c r="A415" s="13" t="s">
        <v>49</v>
      </c>
      <c r="B415" s="14" t="s">
        <v>64</v>
      </c>
      <c r="C415" s="15">
        <v>0.0</v>
      </c>
      <c r="D415" s="17">
        <v>1.5</v>
      </c>
      <c r="E415" s="18" t="s">
        <v>87</v>
      </c>
      <c r="F415" s="18"/>
    </row>
    <row r="416" ht="14.25" customHeight="1">
      <c r="A416" s="13" t="s">
        <v>49</v>
      </c>
      <c r="B416" s="14" t="s">
        <v>68</v>
      </c>
      <c r="C416" s="15">
        <v>0.0</v>
      </c>
      <c r="D416" s="17">
        <v>1.75</v>
      </c>
      <c r="E416" s="18" t="s">
        <v>87</v>
      </c>
      <c r="F416" s="18"/>
    </row>
    <row r="417" ht="14.25" customHeight="1">
      <c r="A417" s="13" t="s">
        <v>49</v>
      </c>
      <c r="B417" s="14" t="s">
        <v>71</v>
      </c>
      <c r="C417" s="15">
        <v>1.0</v>
      </c>
      <c r="D417" s="17">
        <v>5.916</v>
      </c>
      <c r="E417" s="18" t="s">
        <v>87</v>
      </c>
      <c r="F417" s="18"/>
    </row>
    <row r="418" ht="14.25" customHeight="1">
      <c r="A418" s="13" t="s">
        <v>49</v>
      </c>
      <c r="B418" s="14" t="s">
        <v>75</v>
      </c>
      <c r="C418" s="15">
        <v>0.0</v>
      </c>
      <c r="D418" s="17">
        <v>2.5</v>
      </c>
      <c r="E418" s="18" t="s">
        <v>87</v>
      </c>
      <c r="F418" s="18"/>
    </row>
    <row r="419" ht="14.25" customHeight="1">
      <c r="A419" s="13" t="s">
        <v>49</v>
      </c>
      <c r="B419" s="14" t="s">
        <v>78</v>
      </c>
      <c r="C419" s="15">
        <v>1.0</v>
      </c>
      <c r="D419" s="17">
        <v>4.166</v>
      </c>
      <c r="E419" s="18" t="s">
        <v>87</v>
      </c>
      <c r="F419" s="18"/>
    </row>
    <row r="420" ht="14.25" customHeight="1">
      <c r="A420" s="13" t="s">
        <v>49</v>
      </c>
      <c r="B420" s="14" t="s">
        <v>81</v>
      </c>
      <c r="C420" s="15">
        <v>0.0</v>
      </c>
      <c r="D420" s="17">
        <v>1.33</v>
      </c>
      <c r="E420" s="18" t="s">
        <v>87</v>
      </c>
      <c r="F420" s="18"/>
    </row>
    <row r="421" ht="14.25" customHeight="1">
      <c r="A421" s="13" t="s">
        <v>49</v>
      </c>
      <c r="B421" s="14" t="s">
        <v>84</v>
      </c>
      <c r="C421" s="15">
        <v>1.0</v>
      </c>
      <c r="D421" s="17">
        <v>4.833</v>
      </c>
      <c r="E421" s="18" t="s">
        <v>87</v>
      </c>
      <c r="F421" s="18"/>
    </row>
    <row r="422" ht="14.25" customHeight="1">
      <c r="A422" s="13" t="s">
        <v>49</v>
      </c>
      <c r="B422" s="14" t="s">
        <v>89</v>
      </c>
      <c r="C422" s="15">
        <v>1.0</v>
      </c>
      <c r="D422" s="17">
        <v>7.166</v>
      </c>
      <c r="E422" s="18" t="s">
        <v>87</v>
      </c>
      <c r="F422" s="18"/>
    </row>
    <row r="423" ht="14.25" customHeight="1">
      <c r="A423" s="13" t="s">
        <v>49</v>
      </c>
      <c r="B423" s="14" t="s">
        <v>92</v>
      </c>
      <c r="C423" s="15">
        <v>1.0</v>
      </c>
      <c r="D423" s="17">
        <v>5.166</v>
      </c>
      <c r="E423" s="18" t="s">
        <v>87</v>
      </c>
      <c r="F423" s="18"/>
    </row>
    <row r="424" ht="14.25" customHeight="1">
      <c r="A424" s="13" t="s">
        <v>49</v>
      </c>
      <c r="B424" s="14" t="s">
        <v>94</v>
      </c>
      <c r="C424" s="15">
        <v>1.0</v>
      </c>
      <c r="D424" s="17">
        <v>6.833</v>
      </c>
      <c r="E424" s="18" t="s">
        <v>87</v>
      </c>
      <c r="F424" s="18"/>
    </row>
    <row r="425" ht="14.25" customHeight="1">
      <c r="A425" s="13" t="s">
        <v>49</v>
      </c>
      <c r="B425" s="14" t="s">
        <v>96</v>
      </c>
      <c r="C425" s="15">
        <v>1.0</v>
      </c>
      <c r="D425" s="17">
        <v>5.833</v>
      </c>
      <c r="E425" s="18" t="s">
        <v>87</v>
      </c>
      <c r="F425" s="18"/>
    </row>
    <row r="426" ht="14.25" customHeight="1">
      <c r="A426" s="13" t="s">
        <v>49</v>
      </c>
      <c r="B426" s="14" t="s">
        <v>98</v>
      </c>
      <c r="C426" s="15">
        <v>1.0</v>
      </c>
      <c r="D426" s="17">
        <v>6.75</v>
      </c>
      <c r="E426" s="18" t="s">
        <v>87</v>
      </c>
      <c r="F426" s="18"/>
    </row>
    <row r="427" ht="14.25" customHeight="1">
      <c r="A427" s="13" t="s">
        <v>49</v>
      </c>
      <c r="B427" s="14" t="s">
        <v>101</v>
      </c>
      <c r="C427" s="15">
        <v>1.0</v>
      </c>
      <c r="D427" s="17">
        <v>5.83</v>
      </c>
      <c r="E427" s="18" t="s">
        <v>87</v>
      </c>
      <c r="F427" s="18"/>
    </row>
    <row r="428" ht="14.25" customHeight="1">
      <c r="A428" s="13" t="s">
        <v>52</v>
      </c>
      <c r="B428" s="14" t="s">
        <v>55</v>
      </c>
      <c r="C428" s="15">
        <v>0.0</v>
      </c>
      <c r="D428" s="17">
        <v>1.25</v>
      </c>
      <c r="E428" s="18" t="s">
        <v>87</v>
      </c>
      <c r="F428" s="18"/>
    </row>
    <row r="429" ht="14.25" customHeight="1">
      <c r="A429" s="13" t="s">
        <v>52</v>
      </c>
      <c r="B429" s="14" t="s">
        <v>58</v>
      </c>
      <c r="C429" s="15">
        <v>1.0</v>
      </c>
      <c r="D429" s="17">
        <v>4.916</v>
      </c>
      <c r="E429" s="18" t="s">
        <v>87</v>
      </c>
      <c r="F429" s="18"/>
    </row>
    <row r="430" ht="14.25" customHeight="1">
      <c r="A430" s="13" t="s">
        <v>52</v>
      </c>
      <c r="B430" s="14" t="s">
        <v>61</v>
      </c>
      <c r="C430" s="15">
        <v>1.0</v>
      </c>
      <c r="D430" s="17">
        <v>5.25</v>
      </c>
      <c r="E430" s="18" t="s">
        <v>87</v>
      </c>
      <c r="F430" s="18"/>
    </row>
    <row r="431" ht="14.25" customHeight="1">
      <c r="A431" s="13" t="s">
        <v>52</v>
      </c>
      <c r="B431" s="14" t="s">
        <v>64</v>
      </c>
      <c r="C431" s="15">
        <v>1.0</v>
      </c>
      <c r="D431" s="17">
        <v>2.916</v>
      </c>
      <c r="E431" s="18" t="s">
        <v>87</v>
      </c>
      <c r="F431" s="18"/>
    </row>
    <row r="432" ht="14.25" customHeight="1">
      <c r="A432" s="13" t="s">
        <v>52</v>
      </c>
      <c r="B432" s="14" t="s">
        <v>68</v>
      </c>
      <c r="C432" s="15">
        <v>0.0</v>
      </c>
      <c r="D432" s="17">
        <v>1.5833</v>
      </c>
      <c r="E432" s="18" t="s">
        <v>87</v>
      </c>
      <c r="F432" s="18"/>
    </row>
    <row r="433" ht="14.25" customHeight="1">
      <c r="A433" s="13" t="s">
        <v>52</v>
      </c>
      <c r="B433" s="14" t="s">
        <v>71</v>
      </c>
      <c r="C433" s="15">
        <v>1.0</v>
      </c>
      <c r="D433" s="17">
        <v>7.9166</v>
      </c>
      <c r="E433" s="18" t="s">
        <v>87</v>
      </c>
      <c r="F433" s="18"/>
    </row>
    <row r="434" ht="14.25" customHeight="1">
      <c r="A434" s="13" t="s">
        <v>52</v>
      </c>
      <c r="B434" s="14" t="s">
        <v>75</v>
      </c>
      <c r="C434" s="15">
        <v>1.0</v>
      </c>
      <c r="D434" s="17">
        <v>4.0</v>
      </c>
      <c r="E434" s="18" t="s">
        <v>87</v>
      </c>
      <c r="F434" s="18"/>
    </row>
    <row r="435" ht="14.25" customHeight="1">
      <c r="A435" s="13" t="s">
        <v>52</v>
      </c>
      <c r="B435" s="14" t="s">
        <v>78</v>
      </c>
      <c r="C435" s="15">
        <v>2.0</v>
      </c>
      <c r="D435" s="17">
        <v>6.75</v>
      </c>
      <c r="E435" s="18" t="s">
        <v>87</v>
      </c>
      <c r="F435" s="18"/>
    </row>
    <row r="436" ht="14.25" customHeight="1">
      <c r="A436" s="13" t="s">
        <v>52</v>
      </c>
      <c r="B436" s="14" t="s">
        <v>81</v>
      </c>
      <c r="C436" s="15">
        <v>0.0</v>
      </c>
      <c r="D436" s="17">
        <v>1.166</v>
      </c>
      <c r="E436" s="18" t="s">
        <v>87</v>
      </c>
      <c r="F436" s="18"/>
    </row>
    <row r="437" ht="14.25" customHeight="1">
      <c r="A437" s="13" t="s">
        <v>52</v>
      </c>
      <c r="B437" s="14" t="s">
        <v>84</v>
      </c>
      <c r="C437" s="15">
        <v>1.0</v>
      </c>
      <c r="D437" s="17">
        <v>6.75</v>
      </c>
      <c r="E437" s="18" t="s">
        <v>87</v>
      </c>
      <c r="F437" s="18"/>
    </row>
    <row r="438" ht="14.25" customHeight="1">
      <c r="A438" s="13" t="s">
        <v>52</v>
      </c>
      <c r="B438" s="14" t="s">
        <v>89</v>
      </c>
      <c r="C438" s="15">
        <v>2.0</v>
      </c>
      <c r="D438" s="17">
        <v>8.166</v>
      </c>
      <c r="E438" s="18" t="s">
        <v>87</v>
      </c>
      <c r="F438" s="18"/>
    </row>
    <row r="439" ht="14.25" customHeight="1">
      <c r="A439" s="13" t="s">
        <v>52</v>
      </c>
      <c r="B439" s="14" t="s">
        <v>92</v>
      </c>
      <c r="C439" s="15">
        <v>2.0</v>
      </c>
      <c r="D439" s="17">
        <v>8.5833</v>
      </c>
      <c r="E439" s="18" t="s">
        <v>87</v>
      </c>
      <c r="F439" s="18"/>
    </row>
    <row r="440" ht="14.25" customHeight="1">
      <c r="A440" s="13" t="s">
        <v>52</v>
      </c>
      <c r="B440" s="14" t="s">
        <v>94</v>
      </c>
      <c r="C440" s="15">
        <v>2.0</v>
      </c>
      <c r="D440" s="17">
        <v>9.25</v>
      </c>
      <c r="E440" s="18" t="s">
        <v>87</v>
      </c>
      <c r="F440" s="18"/>
    </row>
    <row r="441" ht="14.25" customHeight="1">
      <c r="A441" s="13" t="s">
        <v>52</v>
      </c>
      <c r="B441" s="14" t="s">
        <v>96</v>
      </c>
      <c r="C441" s="15">
        <v>2.0</v>
      </c>
      <c r="D441" s="17">
        <v>9.33</v>
      </c>
      <c r="E441" s="18" t="s">
        <v>87</v>
      </c>
      <c r="F441" s="18"/>
    </row>
    <row r="442" ht="14.25" customHeight="1">
      <c r="A442" s="13" t="s">
        <v>52</v>
      </c>
      <c r="B442" s="14" t="s">
        <v>98</v>
      </c>
      <c r="C442" s="15">
        <v>2.0</v>
      </c>
      <c r="D442" s="17">
        <v>12.0</v>
      </c>
      <c r="E442" s="18" t="s">
        <v>87</v>
      </c>
      <c r="F442" s="18"/>
    </row>
    <row r="443" ht="14.25" customHeight="1">
      <c r="A443" s="13" t="s">
        <v>52</v>
      </c>
      <c r="B443" s="14" t="s">
        <v>101</v>
      </c>
      <c r="C443" s="15">
        <v>2.0</v>
      </c>
      <c r="D443" s="17">
        <v>10.916</v>
      </c>
      <c r="E443" s="18" t="s">
        <v>87</v>
      </c>
      <c r="F443" s="18"/>
    </row>
    <row r="444" ht="14.25" customHeight="1">
      <c r="A444" s="13" t="s">
        <v>55</v>
      </c>
      <c r="B444" s="14" t="s">
        <v>58</v>
      </c>
      <c r="C444" s="15">
        <v>1.0</v>
      </c>
      <c r="D444" s="17">
        <v>4.5833</v>
      </c>
      <c r="E444" s="18" t="s">
        <v>87</v>
      </c>
      <c r="F444" s="18"/>
    </row>
    <row r="445" ht="14.25" customHeight="1">
      <c r="A445" s="13" t="s">
        <v>55</v>
      </c>
      <c r="B445" s="14" t="s">
        <v>61</v>
      </c>
      <c r="C445" s="15">
        <v>2.0</v>
      </c>
      <c r="D445" s="17">
        <v>8.4166</v>
      </c>
      <c r="E445" s="18" t="s">
        <v>87</v>
      </c>
      <c r="F445" s="18"/>
    </row>
    <row r="446" ht="14.25" customHeight="1">
      <c r="A446" s="13" t="s">
        <v>55</v>
      </c>
      <c r="B446" s="14" t="s">
        <v>64</v>
      </c>
      <c r="C446" s="15">
        <v>1.0</v>
      </c>
      <c r="D446" s="17">
        <v>5.25</v>
      </c>
      <c r="E446" s="18" t="s">
        <v>87</v>
      </c>
      <c r="F446" s="18"/>
    </row>
    <row r="447" ht="14.25" customHeight="1">
      <c r="A447" s="13" t="s">
        <v>55</v>
      </c>
      <c r="B447" s="14" t="s">
        <v>68</v>
      </c>
      <c r="C447" s="15">
        <v>1.0</v>
      </c>
      <c r="D447" s="17">
        <v>3.75</v>
      </c>
      <c r="E447" s="18" t="s">
        <v>87</v>
      </c>
      <c r="F447" s="18"/>
    </row>
    <row r="448" ht="14.25" customHeight="1">
      <c r="A448" s="13" t="s">
        <v>55</v>
      </c>
      <c r="B448" s="14" t="s">
        <v>71</v>
      </c>
      <c r="C448" s="15">
        <v>2.0</v>
      </c>
      <c r="D448" s="17">
        <v>10.0</v>
      </c>
      <c r="E448" s="18" t="s">
        <v>87</v>
      </c>
      <c r="F448" s="18"/>
    </row>
    <row r="449" ht="14.25" customHeight="1">
      <c r="A449" s="13" t="s">
        <v>55</v>
      </c>
      <c r="B449" s="14" t="s">
        <v>75</v>
      </c>
      <c r="C449" s="15">
        <v>1.0</v>
      </c>
      <c r="D449" s="17">
        <v>6.5</v>
      </c>
      <c r="E449" s="18" t="s">
        <v>87</v>
      </c>
      <c r="F449" s="18"/>
    </row>
    <row r="450" ht="14.25" customHeight="1">
      <c r="A450" s="13" t="s">
        <v>55</v>
      </c>
      <c r="B450" s="14" t="s">
        <v>78</v>
      </c>
      <c r="C450" s="15">
        <v>2.0</v>
      </c>
      <c r="D450" s="17">
        <v>12.5</v>
      </c>
      <c r="E450" s="18" t="s">
        <v>87</v>
      </c>
      <c r="F450" s="18"/>
    </row>
    <row r="451" ht="14.25" customHeight="1">
      <c r="A451" s="13" t="s">
        <v>55</v>
      </c>
      <c r="B451" s="14" t="s">
        <v>81</v>
      </c>
      <c r="C451" s="15">
        <v>0.0</v>
      </c>
      <c r="D451" s="17">
        <v>1.666</v>
      </c>
      <c r="E451" s="18" t="s">
        <v>87</v>
      </c>
      <c r="F451" s="18"/>
    </row>
    <row r="452" ht="14.25" customHeight="1">
      <c r="A452" s="13" t="s">
        <v>55</v>
      </c>
      <c r="B452" s="14" t="s">
        <v>84</v>
      </c>
      <c r="C452" s="15">
        <v>1.0</v>
      </c>
      <c r="D452" s="17">
        <v>3.33</v>
      </c>
      <c r="E452" s="18" t="s">
        <v>87</v>
      </c>
      <c r="F452" s="18"/>
    </row>
    <row r="453" ht="14.25" customHeight="1">
      <c r="A453" s="13" t="s">
        <v>55</v>
      </c>
      <c r="B453" s="14" t="s">
        <v>89</v>
      </c>
      <c r="C453" s="15">
        <v>2.0</v>
      </c>
      <c r="D453" s="17">
        <v>19.33</v>
      </c>
      <c r="E453" s="18" t="s">
        <v>87</v>
      </c>
      <c r="F453" s="18"/>
    </row>
    <row r="454" ht="14.25" customHeight="1">
      <c r="A454" s="13" t="s">
        <v>55</v>
      </c>
      <c r="B454" s="14" t="s">
        <v>92</v>
      </c>
      <c r="C454" s="15">
        <v>2.0</v>
      </c>
      <c r="D454" s="17">
        <v>19.33</v>
      </c>
      <c r="E454" s="18" t="s">
        <v>87</v>
      </c>
      <c r="F454" s="18"/>
    </row>
    <row r="455" ht="14.25" customHeight="1">
      <c r="A455" s="13" t="s">
        <v>55</v>
      </c>
      <c r="B455" s="14" t="s">
        <v>94</v>
      </c>
      <c r="C455" s="15">
        <v>2.0</v>
      </c>
      <c r="D455" s="17">
        <v>10.416</v>
      </c>
      <c r="E455" s="18" t="s">
        <v>87</v>
      </c>
      <c r="F455" s="18"/>
    </row>
    <row r="456" ht="14.25" customHeight="1">
      <c r="A456" s="13" t="s">
        <v>55</v>
      </c>
      <c r="B456" s="14" t="s">
        <v>96</v>
      </c>
      <c r="C456" s="15">
        <v>1.0</v>
      </c>
      <c r="D456" s="17">
        <v>5.25</v>
      </c>
      <c r="E456" s="18" t="s">
        <v>87</v>
      </c>
      <c r="F456" s="18"/>
    </row>
    <row r="457" ht="14.25" customHeight="1">
      <c r="A457" s="13" t="s">
        <v>55</v>
      </c>
      <c r="B457" s="14" t="s">
        <v>98</v>
      </c>
      <c r="C457" s="15">
        <v>1.0</v>
      </c>
      <c r="D457" s="17">
        <v>11.33</v>
      </c>
      <c r="E457" s="18" t="s">
        <v>87</v>
      </c>
      <c r="F457" s="18"/>
    </row>
    <row r="458" ht="14.25" customHeight="1">
      <c r="A458" s="13" t="s">
        <v>55</v>
      </c>
      <c r="B458" s="14" t="s">
        <v>101</v>
      </c>
      <c r="C458" s="15">
        <v>1.0</v>
      </c>
      <c r="D458" s="17">
        <v>11.5833</v>
      </c>
      <c r="E458" s="18" t="s">
        <v>87</v>
      </c>
      <c r="F458" s="18"/>
    </row>
    <row r="459" ht="14.25" customHeight="1">
      <c r="A459" s="13" t="s">
        <v>58</v>
      </c>
      <c r="B459" s="14" t="s">
        <v>61</v>
      </c>
      <c r="C459" s="15">
        <v>1.0</v>
      </c>
      <c r="D459" s="17">
        <v>4.0833</v>
      </c>
      <c r="E459" s="18" t="s">
        <v>87</v>
      </c>
      <c r="F459" s="18"/>
    </row>
    <row r="460" ht="14.25" customHeight="1">
      <c r="A460" s="13" t="s">
        <v>58</v>
      </c>
      <c r="B460" s="14" t="s">
        <v>64</v>
      </c>
      <c r="C460" s="15">
        <v>1.0</v>
      </c>
      <c r="D460" s="17">
        <v>4.33</v>
      </c>
      <c r="E460" s="18" t="s">
        <v>87</v>
      </c>
      <c r="F460" s="18"/>
    </row>
    <row r="461" ht="14.25" customHeight="1">
      <c r="A461" s="13" t="s">
        <v>58</v>
      </c>
      <c r="B461" s="14" t="s">
        <v>68</v>
      </c>
      <c r="C461" s="15">
        <v>0.0</v>
      </c>
      <c r="D461" s="17">
        <v>1.5833</v>
      </c>
      <c r="E461" s="18" t="s">
        <v>87</v>
      </c>
      <c r="F461" s="18"/>
    </row>
    <row r="462" ht="14.25" customHeight="1">
      <c r="A462" s="13" t="s">
        <v>58</v>
      </c>
      <c r="B462" s="14" t="s">
        <v>71</v>
      </c>
      <c r="C462" s="15">
        <v>1.0</v>
      </c>
      <c r="D462" s="17">
        <v>5.33</v>
      </c>
      <c r="E462" s="18" t="s">
        <v>87</v>
      </c>
      <c r="F462" s="18"/>
    </row>
    <row r="463" ht="14.25" customHeight="1">
      <c r="A463" s="13" t="s">
        <v>58</v>
      </c>
      <c r="B463" s="14" t="s">
        <v>75</v>
      </c>
      <c r="C463" s="15">
        <v>1.0</v>
      </c>
      <c r="D463" s="17">
        <v>7.75</v>
      </c>
      <c r="E463" s="18" t="s">
        <v>87</v>
      </c>
      <c r="F463" s="18"/>
    </row>
    <row r="464" ht="14.25" customHeight="1">
      <c r="A464" s="13" t="s">
        <v>58</v>
      </c>
      <c r="B464" s="14" t="s">
        <v>78</v>
      </c>
      <c r="C464" s="15">
        <v>2.0</v>
      </c>
      <c r="D464" s="17">
        <v>7.75</v>
      </c>
      <c r="E464" s="18" t="s">
        <v>87</v>
      </c>
      <c r="F464" s="18"/>
    </row>
    <row r="465" ht="14.25" customHeight="1">
      <c r="A465" s="13" t="s">
        <v>58</v>
      </c>
      <c r="B465" s="14" t="s">
        <v>81</v>
      </c>
      <c r="C465" s="15">
        <v>1.0</v>
      </c>
      <c r="D465" s="17">
        <v>3.4166</v>
      </c>
      <c r="E465" s="18" t="s">
        <v>87</v>
      </c>
      <c r="F465" s="18"/>
    </row>
    <row r="466" ht="14.25" customHeight="1">
      <c r="A466" s="13" t="s">
        <v>58</v>
      </c>
      <c r="B466" s="14" t="s">
        <v>84</v>
      </c>
      <c r="C466" s="15">
        <v>1.0</v>
      </c>
      <c r="D466" s="17">
        <v>11.33</v>
      </c>
      <c r="E466" s="18" t="s">
        <v>87</v>
      </c>
      <c r="F466" s="18"/>
    </row>
    <row r="467" ht="14.25" customHeight="1">
      <c r="A467" s="13" t="s">
        <v>58</v>
      </c>
      <c r="B467" s="14" t="s">
        <v>89</v>
      </c>
      <c r="C467" s="15">
        <v>1.0</v>
      </c>
      <c r="D467" s="17">
        <v>11.9166</v>
      </c>
      <c r="E467" s="18" t="s">
        <v>87</v>
      </c>
      <c r="F467" s="18"/>
    </row>
    <row r="468" ht="14.25" customHeight="1">
      <c r="A468" s="13" t="s">
        <v>58</v>
      </c>
      <c r="B468" s="14" t="s">
        <v>92</v>
      </c>
      <c r="C468" s="15">
        <v>2.0</v>
      </c>
      <c r="D468" s="17">
        <v>8.75</v>
      </c>
      <c r="E468" s="18" t="s">
        <v>87</v>
      </c>
      <c r="F468" s="18"/>
    </row>
    <row r="469" ht="14.25" customHeight="1">
      <c r="A469" s="13" t="s">
        <v>58</v>
      </c>
      <c r="B469" s="14" t="s">
        <v>94</v>
      </c>
      <c r="C469" s="15">
        <v>1.0</v>
      </c>
      <c r="D469" s="17">
        <v>7.25</v>
      </c>
      <c r="E469" s="18" t="s">
        <v>87</v>
      </c>
      <c r="F469" s="18"/>
    </row>
    <row r="470" ht="14.25" customHeight="1">
      <c r="A470" s="13" t="s">
        <v>58</v>
      </c>
      <c r="B470" s="14" t="s">
        <v>96</v>
      </c>
      <c r="C470" s="15">
        <v>2.0</v>
      </c>
      <c r="D470" s="17">
        <v>10.75</v>
      </c>
      <c r="E470" s="18" t="s">
        <v>87</v>
      </c>
      <c r="F470" s="18"/>
    </row>
    <row r="471" ht="14.25" customHeight="1">
      <c r="A471" s="13" t="s">
        <v>58</v>
      </c>
      <c r="B471" s="14" t="s">
        <v>98</v>
      </c>
      <c r="C471" s="15">
        <v>2.0</v>
      </c>
      <c r="D471" s="17">
        <v>9.666</v>
      </c>
      <c r="E471" s="18" t="s">
        <v>87</v>
      </c>
      <c r="F471" s="18"/>
    </row>
    <row r="472" ht="14.25" customHeight="1">
      <c r="A472" s="13" t="s">
        <v>58</v>
      </c>
      <c r="B472" s="14" t="s">
        <v>101</v>
      </c>
      <c r="C472" s="15">
        <v>2.0</v>
      </c>
      <c r="D472" s="17">
        <v>11.083</v>
      </c>
      <c r="E472" s="18" t="s">
        <v>87</v>
      </c>
      <c r="F472" s="18"/>
    </row>
    <row r="473" ht="14.25" customHeight="1">
      <c r="A473" s="13" t="s">
        <v>61</v>
      </c>
      <c r="B473" s="14" t="s">
        <v>64</v>
      </c>
      <c r="C473" s="15">
        <v>1.0</v>
      </c>
      <c r="D473" s="17">
        <v>5.0</v>
      </c>
      <c r="E473" s="18" t="s">
        <v>87</v>
      </c>
      <c r="F473" s="18"/>
    </row>
    <row r="474" ht="14.25" customHeight="1">
      <c r="A474" s="13" t="s">
        <v>61</v>
      </c>
      <c r="B474" s="14" t="s">
        <v>68</v>
      </c>
      <c r="C474" s="15">
        <v>0.0</v>
      </c>
      <c r="D474" s="17">
        <v>1.25</v>
      </c>
      <c r="E474" s="18" t="s">
        <v>87</v>
      </c>
      <c r="F474" s="18"/>
    </row>
    <row r="475" ht="14.25" customHeight="1">
      <c r="A475" s="13" t="s">
        <v>61</v>
      </c>
      <c r="B475" s="14" t="s">
        <v>71</v>
      </c>
      <c r="C475" s="15">
        <v>1.0</v>
      </c>
      <c r="D475" s="17">
        <v>3.1666</v>
      </c>
      <c r="E475" s="18" t="s">
        <v>87</v>
      </c>
      <c r="F475" s="18"/>
    </row>
    <row r="476" ht="14.25" customHeight="1">
      <c r="A476" s="13" t="s">
        <v>61</v>
      </c>
      <c r="B476" s="14" t="s">
        <v>75</v>
      </c>
      <c r="C476" s="15">
        <v>1.0</v>
      </c>
      <c r="D476" s="17">
        <v>8.25</v>
      </c>
      <c r="E476" s="18" t="s">
        <v>87</v>
      </c>
      <c r="F476" s="18"/>
    </row>
    <row r="477" ht="14.25" customHeight="1">
      <c r="A477" s="13" t="s">
        <v>61</v>
      </c>
      <c r="B477" s="14" t="s">
        <v>78</v>
      </c>
      <c r="C477" s="15">
        <v>2.0</v>
      </c>
      <c r="D477" s="17">
        <v>15.0833</v>
      </c>
      <c r="E477" s="18" t="s">
        <v>87</v>
      </c>
      <c r="F477" s="18"/>
    </row>
    <row r="478" ht="14.25" customHeight="1">
      <c r="A478" s="13" t="s">
        <v>61</v>
      </c>
      <c r="B478" s="14" t="s">
        <v>81</v>
      </c>
      <c r="C478" s="15">
        <v>1.0</v>
      </c>
      <c r="D478" s="17">
        <v>5.083</v>
      </c>
      <c r="E478" s="18" t="s">
        <v>87</v>
      </c>
      <c r="F478" s="18"/>
    </row>
    <row r="479" ht="14.25" customHeight="1">
      <c r="A479" s="13" t="s">
        <v>61</v>
      </c>
      <c r="B479" s="14" t="s">
        <v>84</v>
      </c>
      <c r="C479" s="15">
        <v>1.0</v>
      </c>
      <c r="D479" s="17">
        <v>8.666</v>
      </c>
      <c r="E479" s="18" t="s">
        <v>87</v>
      </c>
      <c r="F479" s="18"/>
    </row>
    <row r="480" ht="14.25" customHeight="1">
      <c r="A480" s="13" t="s">
        <v>61</v>
      </c>
      <c r="B480" s="14" t="s">
        <v>89</v>
      </c>
      <c r="C480" s="15">
        <v>2.0</v>
      </c>
      <c r="D480" s="17">
        <v>15.583</v>
      </c>
      <c r="E480" s="18" t="s">
        <v>87</v>
      </c>
      <c r="F480" s="18"/>
    </row>
    <row r="481" ht="14.25" customHeight="1">
      <c r="A481" s="13" t="s">
        <v>61</v>
      </c>
      <c r="B481" s="14" t="s">
        <v>92</v>
      </c>
      <c r="C481" s="15">
        <v>2.0</v>
      </c>
      <c r="D481" s="17">
        <v>16.916</v>
      </c>
      <c r="E481" s="18" t="s">
        <v>87</v>
      </c>
      <c r="F481" s="18"/>
    </row>
    <row r="482" ht="14.25" customHeight="1">
      <c r="A482" s="13" t="s">
        <v>61</v>
      </c>
      <c r="B482" s="14" t="s">
        <v>94</v>
      </c>
      <c r="C482" s="15">
        <v>1.0</v>
      </c>
      <c r="D482" s="17">
        <v>6.4166</v>
      </c>
      <c r="E482" s="18" t="s">
        <v>87</v>
      </c>
      <c r="F482" s="18"/>
    </row>
    <row r="483" ht="14.25" customHeight="1">
      <c r="A483" s="13" t="s">
        <v>61</v>
      </c>
      <c r="B483" s="14" t="s">
        <v>96</v>
      </c>
      <c r="C483" s="15">
        <v>2.0</v>
      </c>
      <c r="D483" s="17">
        <v>14.75</v>
      </c>
      <c r="E483" s="18" t="s">
        <v>87</v>
      </c>
      <c r="F483" s="18"/>
    </row>
    <row r="484" ht="14.25" customHeight="1">
      <c r="A484" s="13" t="s">
        <v>61</v>
      </c>
      <c r="B484" s="14" t="s">
        <v>98</v>
      </c>
      <c r="C484" s="15">
        <v>2.0</v>
      </c>
      <c r="D484" s="17">
        <v>15.166</v>
      </c>
      <c r="E484" s="18" t="s">
        <v>87</v>
      </c>
      <c r="F484" s="18"/>
    </row>
    <row r="485" ht="14.25" customHeight="1">
      <c r="A485" s="13" t="s">
        <v>61</v>
      </c>
      <c r="B485" s="14" t="s">
        <v>101</v>
      </c>
      <c r="C485" s="15">
        <v>2.0</v>
      </c>
      <c r="D485" s="17">
        <v>12.666</v>
      </c>
      <c r="E485" s="18" t="s">
        <v>87</v>
      </c>
      <c r="F485" s="18"/>
    </row>
    <row r="486" ht="14.25" customHeight="1">
      <c r="A486" s="13" t="s">
        <v>64</v>
      </c>
      <c r="B486" s="14" t="s">
        <v>68</v>
      </c>
      <c r="C486" s="15">
        <v>0.0</v>
      </c>
      <c r="D486" s="17">
        <v>1.166</v>
      </c>
      <c r="E486" s="18" t="s">
        <v>87</v>
      </c>
      <c r="F486" s="18"/>
    </row>
    <row r="487" ht="14.25" customHeight="1">
      <c r="A487" s="13" t="s">
        <v>64</v>
      </c>
      <c r="B487" s="14" t="s">
        <v>71</v>
      </c>
      <c r="C487" s="15">
        <v>1.0</v>
      </c>
      <c r="D487" s="17">
        <v>4.0</v>
      </c>
      <c r="E487" s="18" t="s">
        <v>87</v>
      </c>
      <c r="F487" s="18"/>
    </row>
    <row r="488" ht="14.25" customHeight="1">
      <c r="A488" s="13" t="s">
        <v>64</v>
      </c>
      <c r="B488" s="14" t="s">
        <v>75</v>
      </c>
      <c r="C488" s="15">
        <v>1.0</v>
      </c>
      <c r="D488" s="17">
        <v>5.4166</v>
      </c>
      <c r="E488" s="18" t="s">
        <v>87</v>
      </c>
      <c r="F488" s="18"/>
    </row>
    <row r="489" ht="14.25" customHeight="1">
      <c r="A489" s="13" t="s">
        <v>64</v>
      </c>
      <c r="B489" s="14" t="s">
        <v>78</v>
      </c>
      <c r="C489" s="15">
        <v>2.0</v>
      </c>
      <c r="D489" s="17">
        <v>7.9166</v>
      </c>
      <c r="E489" s="18" t="s">
        <v>87</v>
      </c>
      <c r="F489" s="18"/>
    </row>
    <row r="490" ht="14.25" customHeight="1">
      <c r="A490" s="13" t="s">
        <v>64</v>
      </c>
      <c r="B490" s="14" t="s">
        <v>81</v>
      </c>
      <c r="C490" s="15">
        <v>0.0</v>
      </c>
      <c r="D490" s="17">
        <v>1.25</v>
      </c>
      <c r="E490" s="18" t="s">
        <v>87</v>
      </c>
      <c r="F490" s="18"/>
    </row>
    <row r="491" ht="14.25" customHeight="1">
      <c r="A491" s="13" t="s">
        <v>64</v>
      </c>
      <c r="B491" s="14" t="s">
        <v>84</v>
      </c>
      <c r="C491" s="15">
        <v>1.0</v>
      </c>
      <c r="D491" s="17">
        <v>4.25</v>
      </c>
      <c r="E491" s="18" t="s">
        <v>87</v>
      </c>
      <c r="F491" s="18"/>
    </row>
    <row r="492" ht="14.25" customHeight="1">
      <c r="A492" s="13" t="s">
        <v>64</v>
      </c>
      <c r="B492" s="14" t="s">
        <v>89</v>
      </c>
      <c r="C492" s="15">
        <v>2.0</v>
      </c>
      <c r="D492" s="17">
        <v>8.166</v>
      </c>
      <c r="E492" s="18" t="s">
        <v>87</v>
      </c>
      <c r="F492" s="18"/>
    </row>
    <row r="493" ht="14.25" customHeight="1">
      <c r="A493" s="13" t="s">
        <v>64</v>
      </c>
      <c r="B493" s="14" t="s">
        <v>92</v>
      </c>
      <c r="C493" s="15">
        <v>1.0</v>
      </c>
      <c r="D493" s="17">
        <v>4.5</v>
      </c>
      <c r="E493" s="18" t="s">
        <v>87</v>
      </c>
      <c r="F493" s="18"/>
    </row>
    <row r="494" ht="14.25" customHeight="1">
      <c r="A494" s="13" t="s">
        <v>64</v>
      </c>
      <c r="B494" s="14" t="s">
        <v>94</v>
      </c>
      <c r="C494" s="15">
        <v>1.0</v>
      </c>
      <c r="D494" s="17">
        <v>7.583</v>
      </c>
      <c r="E494" s="18" t="s">
        <v>87</v>
      </c>
      <c r="F494" s="18"/>
    </row>
    <row r="495" ht="14.25" customHeight="1">
      <c r="A495" s="13" t="s">
        <v>64</v>
      </c>
      <c r="B495" s="14" t="s">
        <v>96</v>
      </c>
      <c r="C495" s="15">
        <v>2.0</v>
      </c>
      <c r="D495" s="17">
        <v>9.416</v>
      </c>
      <c r="E495" s="18" t="s">
        <v>87</v>
      </c>
      <c r="F495" s="18"/>
    </row>
    <row r="496" ht="14.25" customHeight="1">
      <c r="A496" s="13" t="s">
        <v>64</v>
      </c>
      <c r="B496" s="14" t="s">
        <v>98</v>
      </c>
      <c r="C496" s="15">
        <v>1.0</v>
      </c>
      <c r="D496" s="17">
        <v>7.166</v>
      </c>
      <c r="E496" s="18" t="s">
        <v>87</v>
      </c>
      <c r="F496" s="18"/>
    </row>
    <row r="497" ht="14.25" customHeight="1">
      <c r="A497" s="13" t="s">
        <v>64</v>
      </c>
      <c r="B497" s="14" t="s">
        <v>101</v>
      </c>
      <c r="C497" s="15">
        <v>1.0</v>
      </c>
      <c r="D497" s="17">
        <v>12.5833</v>
      </c>
      <c r="E497" s="18" t="s">
        <v>87</v>
      </c>
      <c r="F497" s="18"/>
    </row>
    <row r="498" ht="14.25" customHeight="1">
      <c r="A498" s="13" t="s">
        <v>68</v>
      </c>
      <c r="B498" s="14" t="s">
        <v>71</v>
      </c>
      <c r="C498" s="15">
        <v>0.0</v>
      </c>
      <c r="D498" s="17">
        <v>1.166</v>
      </c>
      <c r="E498" s="18" t="s">
        <v>87</v>
      </c>
      <c r="F498" s="18"/>
    </row>
    <row r="499" ht="14.25" customHeight="1">
      <c r="A499" s="13" t="s">
        <v>68</v>
      </c>
      <c r="B499" s="14" t="s">
        <v>75</v>
      </c>
      <c r="C499" s="15">
        <v>0.0</v>
      </c>
      <c r="D499" s="17">
        <v>1.75</v>
      </c>
      <c r="E499" s="18" t="s">
        <v>87</v>
      </c>
      <c r="F499" s="18"/>
    </row>
    <row r="500" ht="14.25" customHeight="1">
      <c r="A500" s="13" t="s">
        <v>68</v>
      </c>
      <c r="B500" s="14" t="s">
        <v>78</v>
      </c>
      <c r="C500" s="15">
        <v>1.0</v>
      </c>
      <c r="D500" s="17">
        <v>3.166</v>
      </c>
      <c r="E500" s="18" t="s">
        <v>87</v>
      </c>
      <c r="F500" s="18"/>
    </row>
    <row r="501" ht="14.25" customHeight="1">
      <c r="A501" s="13" t="s">
        <v>68</v>
      </c>
      <c r="B501" s="14" t="s">
        <v>81</v>
      </c>
      <c r="C501" s="15">
        <v>0.0</v>
      </c>
      <c r="D501" s="17">
        <v>1.166</v>
      </c>
      <c r="E501" s="18" t="s">
        <v>87</v>
      </c>
      <c r="F501" s="18"/>
    </row>
    <row r="502" ht="14.25" customHeight="1">
      <c r="A502" s="13" t="s">
        <v>68</v>
      </c>
      <c r="B502" s="14" t="s">
        <v>84</v>
      </c>
      <c r="C502" s="15">
        <v>1.0</v>
      </c>
      <c r="D502" s="17">
        <v>4.333</v>
      </c>
      <c r="E502" s="18" t="s">
        <v>87</v>
      </c>
      <c r="F502" s="18"/>
    </row>
    <row r="503" ht="14.25" customHeight="1">
      <c r="A503" s="13" t="s">
        <v>68</v>
      </c>
      <c r="B503" s="14" t="s">
        <v>89</v>
      </c>
      <c r="C503" s="15">
        <v>1.0</v>
      </c>
      <c r="D503" s="17">
        <v>7.66</v>
      </c>
      <c r="E503" s="18" t="s">
        <v>87</v>
      </c>
      <c r="F503" s="18"/>
    </row>
    <row r="504" ht="14.25" customHeight="1">
      <c r="A504" s="13" t="s">
        <v>68</v>
      </c>
      <c r="B504" s="14" t="s">
        <v>92</v>
      </c>
      <c r="C504" s="15">
        <v>0.0</v>
      </c>
      <c r="D504" s="17">
        <v>1.0</v>
      </c>
      <c r="E504" s="18" t="s">
        <v>87</v>
      </c>
      <c r="F504" s="18"/>
    </row>
    <row r="505" ht="14.25" customHeight="1">
      <c r="A505" s="13" t="s">
        <v>68</v>
      </c>
      <c r="B505" s="14" t="s">
        <v>94</v>
      </c>
      <c r="C505" s="15">
        <v>1.0</v>
      </c>
      <c r="D505" s="17">
        <v>8.25</v>
      </c>
      <c r="E505" s="18" t="s">
        <v>87</v>
      </c>
      <c r="F505" s="18"/>
    </row>
    <row r="506" ht="14.25" customHeight="1">
      <c r="A506" s="13" t="s">
        <v>68</v>
      </c>
      <c r="B506" s="14" t="s">
        <v>96</v>
      </c>
      <c r="C506" s="15">
        <v>1.0</v>
      </c>
      <c r="D506" s="17">
        <v>11.25</v>
      </c>
      <c r="E506" s="18" t="s">
        <v>87</v>
      </c>
      <c r="F506" s="18"/>
    </row>
    <row r="507" ht="14.25" customHeight="1">
      <c r="A507" s="13" t="s">
        <v>68</v>
      </c>
      <c r="B507" s="14" t="s">
        <v>98</v>
      </c>
      <c r="C507" s="15">
        <v>1.0</v>
      </c>
      <c r="D507" s="17">
        <v>7.25</v>
      </c>
      <c r="E507" s="18" t="s">
        <v>87</v>
      </c>
      <c r="F507" s="18"/>
    </row>
    <row r="508" ht="14.25" customHeight="1">
      <c r="A508" s="13" t="s">
        <v>68</v>
      </c>
      <c r="B508" s="14" t="s">
        <v>101</v>
      </c>
      <c r="C508" s="15">
        <v>1.0</v>
      </c>
      <c r="D508" s="17">
        <v>9.25</v>
      </c>
      <c r="E508" s="18" t="s">
        <v>87</v>
      </c>
      <c r="F508" s="18"/>
    </row>
    <row r="509" ht="14.25" customHeight="1">
      <c r="A509" s="13" t="s">
        <v>71</v>
      </c>
      <c r="B509" s="14" t="s">
        <v>75</v>
      </c>
      <c r="C509" s="15">
        <v>1.0</v>
      </c>
      <c r="D509" s="17">
        <v>6.75</v>
      </c>
      <c r="E509" s="18" t="s">
        <v>87</v>
      </c>
      <c r="F509" s="18"/>
    </row>
    <row r="510" ht="14.25" customHeight="1">
      <c r="A510" s="13" t="s">
        <v>71</v>
      </c>
      <c r="B510" s="14" t="s">
        <v>78</v>
      </c>
      <c r="C510" s="15">
        <v>2.0</v>
      </c>
      <c r="D510" s="17">
        <v>16.916</v>
      </c>
      <c r="E510" s="18" t="s">
        <v>87</v>
      </c>
      <c r="F510" s="18"/>
    </row>
    <row r="511" ht="14.25" customHeight="1">
      <c r="A511" s="13" t="s">
        <v>71</v>
      </c>
      <c r="B511" s="14" t="s">
        <v>81</v>
      </c>
      <c r="C511" s="15">
        <v>1.0</v>
      </c>
      <c r="D511" s="17">
        <v>3.333</v>
      </c>
      <c r="E511" s="18" t="s">
        <v>87</v>
      </c>
      <c r="F511" s="18"/>
    </row>
    <row r="512" ht="14.25" customHeight="1">
      <c r="A512" s="13" t="s">
        <v>71</v>
      </c>
      <c r="B512" s="14" t="s">
        <v>84</v>
      </c>
      <c r="C512" s="15">
        <v>2.0</v>
      </c>
      <c r="D512" s="17">
        <v>9.916</v>
      </c>
      <c r="E512" s="18" t="s">
        <v>87</v>
      </c>
      <c r="F512" s="18"/>
    </row>
    <row r="513" ht="14.25" customHeight="1">
      <c r="A513" s="13" t="s">
        <v>71</v>
      </c>
      <c r="B513" s="14" t="s">
        <v>89</v>
      </c>
      <c r="C513" s="15"/>
      <c r="D513" s="17"/>
      <c r="E513" s="18" t="s">
        <v>87</v>
      </c>
      <c r="F513" s="18"/>
    </row>
    <row r="514" ht="14.25" customHeight="1">
      <c r="A514" s="13" t="s">
        <v>71</v>
      </c>
      <c r="B514" s="14" t="s">
        <v>92</v>
      </c>
      <c r="C514" s="15">
        <v>2.0</v>
      </c>
      <c r="D514" s="17">
        <v>9.833</v>
      </c>
      <c r="E514" s="18" t="s">
        <v>87</v>
      </c>
      <c r="F514" s="18"/>
    </row>
    <row r="515" ht="14.25" customHeight="1">
      <c r="A515" s="13" t="s">
        <v>71</v>
      </c>
      <c r="B515" s="14" t="s">
        <v>94</v>
      </c>
      <c r="C515" s="15">
        <v>3.0</v>
      </c>
      <c r="D515" s="17">
        <v>15.5833</v>
      </c>
      <c r="E515" s="18" t="s">
        <v>87</v>
      </c>
      <c r="F515" s="18"/>
    </row>
    <row r="516" ht="14.25" customHeight="1">
      <c r="A516" s="13" t="s">
        <v>71</v>
      </c>
      <c r="B516" s="14" t="s">
        <v>96</v>
      </c>
      <c r="C516" s="15">
        <v>2.0</v>
      </c>
      <c r="D516" s="17">
        <v>11.833</v>
      </c>
      <c r="E516" s="18" t="s">
        <v>87</v>
      </c>
      <c r="F516" s="18"/>
    </row>
    <row r="517" ht="14.25" customHeight="1">
      <c r="A517" s="13" t="s">
        <v>71</v>
      </c>
      <c r="B517" s="14" t="s">
        <v>98</v>
      </c>
      <c r="C517" s="15">
        <v>2.0</v>
      </c>
      <c r="D517" s="17">
        <v>13.5</v>
      </c>
      <c r="E517" s="18" t="s">
        <v>87</v>
      </c>
      <c r="F517" s="18"/>
    </row>
    <row r="518" ht="14.25" customHeight="1">
      <c r="A518" s="13" t="s">
        <v>71</v>
      </c>
      <c r="B518" s="14" t="s">
        <v>101</v>
      </c>
      <c r="C518" s="15">
        <v>3.0</v>
      </c>
      <c r="D518" s="17">
        <v>17.5</v>
      </c>
      <c r="E518" s="18" t="s">
        <v>87</v>
      </c>
      <c r="F518" s="18"/>
    </row>
    <row r="519" ht="14.25" customHeight="1">
      <c r="A519" s="13" t="s">
        <v>75</v>
      </c>
      <c r="B519" s="14" t="s">
        <v>78</v>
      </c>
      <c r="C519" s="15">
        <v>1.0</v>
      </c>
      <c r="D519" s="17">
        <v>3.666</v>
      </c>
      <c r="E519" s="18" t="s">
        <v>87</v>
      </c>
      <c r="F519" s="18"/>
    </row>
    <row r="520" ht="14.25" customHeight="1">
      <c r="A520" s="13" t="s">
        <v>75</v>
      </c>
      <c r="B520" s="14" t="s">
        <v>81</v>
      </c>
      <c r="C520" s="15">
        <v>0.0</v>
      </c>
      <c r="D520" s="17">
        <v>1.75</v>
      </c>
      <c r="E520" s="18" t="s">
        <v>87</v>
      </c>
      <c r="F520" s="18"/>
    </row>
    <row r="521" ht="14.25" customHeight="1">
      <c r="A521" s="13" t="s">
        <v>75</v>
      </c>
      <c r="B521" s="14" t="s">
        <v>84</v>
      </c>
      <c r="C521" s="15">
        <v>1.0</v>
      </c>
      <c r="D521" s="17">
        <v>3.25</v>
      </c>
      <c r="E521" s="18" t="s">
        <v>87</v>
      </c>
      <c r="F521" s="18"/>
    </row>
    <row r="522" ht="14.25" customHeight="1">
      <c r="A522" s="13" t="s">
        <v>75</v>
      </c>
      <c r="B522" s="14" t="s">
        <v>89</v>
      </c>
      <c r="C522" s="15">
        <v>0.0</v>
      </c>
      <c r="D522" s="17">
        <v>1.083</v>
      </c>
      <c r="E522" s="18" t="s">
        <v>87</v>
      </c>
      <c r="F522" s="18"/>
    </row>
    <row r="523" ht="14.25" customHeight="1">
      <c r="A523" s="13" t="s">
        <v>75</v>
      </c>
      <c r="B523" s="14" t="s">
        <v>92</v>
      </c>
      <c r="C523" s="15">
        <v>1.0</v>
      </c>
      <c r="D523" s="17">
        <v>4.4166</v>
      </c>
      <c r="E523" s="18" t="s">
        <v>87</v>
      </c>
      <c r="F523" s="18"/>
    </row>
    <row r="524" ht="14.25" customHeight="1">
      <c r="A524" s="13" t="s">
        <v>75</v>
      </c>
      <c r="B524" s="14" t="s">
        <v>94</v>
      </c>
      <c r="C524" s="15">
        <v>1.0</v>
      </c>
      <c r="D524" s="17">
        <v>3.083</v>
      </c>
      <c r="E524" s="18" t="s">
        <v>87</v>
      </c>
      <c r="F524" s="18"/>
    </row>
    <row r="525" ht="14.25" customHeight="1">
      <c r="A525" s="13" t="s">
        <v>75</v>
      </c>
      <c r="B525" s="14" t="s">
        <v>96</v>
      </c>
      <c r="C525" s="15">
        <v>0.0</v>
      </c>
      <c r="D525" s="17">
        <v>0.833</v>
      </c>
      <c r="E525" s="18" t="s">
        <v>87</v>
      </c>
      <c r="F525" s="18"/>
    </row>
    <row r="526" ht="14.25" customHeight="1">
      <c r="A526" s="13" t="s">
        <v>75</v>
      </c>
      <c r="B526" s="14" t="s">
        <v>98</v>
      </c>
      <c r="C526" s="15">
        <v>0.0</v>
      </c>
      <c r="D526" s="17">
        <v>1.333</v>
      </c>
      <c r="E526" s="18" t="s">
        <v>87</v>
      </c>
      <c r="F526" s="18"/>
    </row>
    <row r="527" ht="14.25" customHeight="1">
      <c r="A527" s="13" t="s">
        <v>75</v>
      </c>
      <c r="B527" s="14" t="s">
        <v>101</v>
      </c>
      <c r="C527" s="15">
        <v>1.0</v>
      </c>
      <c r="D527" s="17">
        <v>3.9166</v>
      </c>
      <c r="E527" s="18" t="s">
        <v>87</v>
      </c>
      <c r="F527" s="18"/>
    </row>
    <row r="528" ht="14.25" customHeight="1">
      <c r="A528" s="13" t="s">
        <v>78</v>
      </c>
      <c r="B528" s="14" t="s">
        <v>81</v>
      </c>
      <c r="C528" s="15">
        <v>0.0</v>
      </c>
      <c r="D528" s="17">
        <v>1.083</v>
      </c>
      <c r="E528" s="18" t="s">
        <v>87</v>
      </c>
      <c r="F528" s="18"/>
    </row>
    <row r="529" ht="14.25" customHeight="1">
      <c r="A529" s="13" t="s">
        <v>78</v>
      </c>
      <c r="B529" s="14" t="s">
        <v>84</v>
      </c>
      <c r="C529" s="15">
        <v>1.0</v>
      </c>
      <c r="D529" s="17">
        <v>2.833</v>
      </c>
      <c r="E529" s="18" t="s">
        <v>87</v>
      </c>
      <c r="F529" s="18"/>
    </row>
    <row r="530" ht="14.25" customHeight="1">
      <c r="A530" s="13" t="s">
        <v>78</v>
      </c>
      <c r="B530" s="14" t="s">
        <v>89</v>
      </c>
      <c r="C530" s="15">
        <v>1.0</v>
      </c>
      <c r="D530" s="17">
        <v>4.083</v>
      </c>
      <c r="E530" s="18" t="s">
        <v>87</v>
      </c>
      <c r="F530" s="18"/>
    </row>
    <row r="531" ht="14.25" customHeight="1">
      <c r="A531" s="13" t="s">
        <v>78</v>
      </c>
      <c r="B531" s="14" t="s">
        <v>92</v>
      </c>
      <c r="C531" s="15">
        <v>1.0</v>
      </c>
      <c r="D531" s="17">
        <v>4.25</v>
      </c>
      <c r="E531" s="18" t="s">
        <v>87</v>
      </c>
      <c r="F531" s="18"/>
    </row>
    <row r="532" ht="14.25" customHeight="1">
      <c r="A532" s="13" t="s">
        <v>78</v>
      </c>
      <c r="B532" s="14" t="s">
        <v>94</v>
      </c>
      <c r="C532" s="15">
        <v>3.0</v>
      </c>
      <c r="D532" s="17">
        <v>28.33</v>
      </c>
      <c r="E532" s="18" t="s">
        <v>87</v>
      </c>
      <c r="F532" s="18"/>
    </row>
    <row r="533" ht="14.25" customHeight="1">
      <c r="A533" s="13" t="s">
        <v>78</v>
      </c>
      <c r="B533" s="14" t="s">
        <v>96</v>
      </c>
      <c r="C533" s="15">
        <v>1.0</v>
      </c>
      <c r="D533" s="17">
        <v>4.33</v>
      </c>
      <c r="E533" s="18" t="s">
        <v>87</v>
      </c>
      <c r="F533" s="18"/>
    </row>
    <row r="534" ht="14.25" customHeight="1">
      <c r="A534" s="13" t="s">
        <v>78</v>
      </c>
      <c r="B534" s="14" t="s">
        <v>98</v>
      </c>
      <c r="C534" s="15">
        <v>1.0</v>
      </c>
      <c r="D534" s="17">
        <v>5.83</v>
      </c>
      <c r="E534" s="18" t="s">
        <v>87</v>
      </c>
      <c r="F534" s="18"/>
    </row>
    <row r="535" ht="14.25" customHeight="1">
      <c r="A535" s="13" t="s">
        <v>78</v>
      </c>
      <c r="B535" s="14" t="s">
        <v>101</v>
      </c>
      <c r="C535" s="15">
        <v>1.0</v>
      </c>
      <c r="D535" s="17">
        <v>13.583</v>
      </c>
      <c r="E535" s="18" t="s">
        <v>87</v>
      </c>
      <c r="F535" s="18"/>
    </row>
    <row r="536" ht="14.25" customHeight="1">
      <c r="A536" s="13" t="s">
        <v>81</v>
      </c>
      <c r="B536" s="14" t="s">
        <v>84</v>
      </c>
      <c r="C536" s="15">
        <v>0.0</v>
      </c>
      <c r="D536" s="17">
        <v>1.0</v>
      </c>
      <c r="E536" s="18" t="s">
        <v>87</v>
      </c>
      <c r="F536" s="18"/>
    </row>
    <row r="537" ht="14.25" customHeight="1">
      <c r="A537" s="13" t="s">
        <v>81</v>
      </c>
      <c r="B537" s="14" t="s">
        <v>89</v>
      </c>
      <c r="C537" s="15">
        <v>0.0</v>
      </c>
      <c r="D537" s="17">
        <v>1.5</v>
      </c>
      <c r="E537" s="18" t="s">
        <v>87</v>
      </c>
      <c r="F537" s="18"/>
    </row>
    <row r="538" ht="14.25" customHeight="1">
      <c r="A538" s="13" t="s">
        <v>81</v>
      </c>
      <c r="B538" s="14" t="s">
        <v>92</v>
      </c>
      <c r="C538" s="15">
        <v>0.0</v>
      </c>
      <c r="D538" s="17">
        <v>1.166</v>
      </c>
      <c r="E538" s="18" t="s">
        <v>87</v>
      </c>
      <c r="F538" s="18"/>
    </row>
    <row r="539" ht="14.25" customHeight="1">
      <c r="A539" s="13" t="s">
        <v>81</v>
      </c>
      <c r="B539" s="14" t="s">
        <v>94</v>
      </c>
      <c r="C539" s="15">
        <v>0.0</v>
      </c>
      <c r="D539" s="17">
        <v>1.75</v>
      </c>
      <c r="E539" s="18" t="s">
        <v>87</v>
      </c>
      <c r="F539" s="18"/>
    </row>
    <row r="540" ht="14.25" customHeight="1">
      <c r="A540" s="13" t="s">
        <v>81</v>
      </c>
      <c r="B540" s="14" t="s">
        <v>96</v>
      </c>
      <c r="C540" s="15">
        <v>0.0</v>
      </c>
      <c r="D540" s="17">
        <v>1.9166</v>
      </c>
      <c r="E540" s="18" t="s">
        <v>87</v>
      </c>
      <c r="F540" s="18"/>
    </row>
    <row r="541" ht="14.25" customHeight="1">
      <c r="A541" s="13" t="s">
        <v>81</v>
      </c>
      <c r="B541" s="14" t="s">
        <v>98</v>
      </c>
      <c r="C541" s="15">
        <v>0.0</v>
      </c>
      <c r="D541" s="17">
        <v>2.25</v>
      </c>
      <c r="E541" s="18" t="s">
        <v>87</v>
      </c>
      <c r="F541" s="18"/>
    </row>
    <row r="542" ht="14.25" customHeight="1">
      <c r="A542" s="13" t="s">
        <v>81</v>
      </c>
      <c r="B542" s="14" t="s">
        <v>101</v>
      </c>
      <c r="C542" s="15">
        <v>0.0</v>
      </c>
      <c r="D542" s="17">
        <v>3.5</v>
      </c>
      <c r="E542" s="18" t="s">
        <v>87</v>
      </c>
      <c r="F542" s="18"/>
    </row>
    <row r="543" ht="14.25" customHeight="1">
      <c r="A543" s="13" t="s">
        <v>84</v>
      </c>
      <c r="B543" s="14" t="s">
        <v>89</v>
      </c>
      <c r="C543" s="15">
        <v>1.0</v>
      </c>
      <c r="D543" s="17">
        <v>3.9166</v>
      </c>
      <c r="E543" s="18" t="s">
        <v>87</v>
      </c>
      <c r="F543" s="18"/>
    </row>
    <row r="544" ht="14.25" customHeight="1">
      <c r="A544" s="13" t="s">
        <v>84</v>
      </c>
      <c r="B544" s="14" t="s">
        <v>92</v>
      </c>
      <c r="C544" s="15">
        <v>1.0</v>
      </c>
      <c r="D544" s="17">
        <v>4.083</v>
      </c>
      <c r="E544" s="18" t="s">
        <v>87</v>
      </c>
      <c r="F544" s="18"/>
    </row>
    <row r="545" ht="14.25" customHeight="1">
      <c r="A545" s="13" t="s">
        <v>84</v>
      </c>
      <c r="B545" s="14" t="s">
        <v>94</v>
      </c>
      <c r="C545" s="15">
        <v>2.0</v>
      </c>
      <c r="D545" s="17">
        <v>13.0</v>
      </c>
      <c r="E545" s="18" t="s">
        <v>87</v>
      </c>
      <c r="F545" s="18"/>
    </row>
    <row r="546" ht="14.25" customHeight="1">
      <c r="A546" s="13" t="s">
        <v>84</v>
      </c>
      <c r="B546" s="14" t="s">
        <v>96</v>
      </c>
      <c r="C546" s="15">
        <v>1.0</v>
      </c>
      <c r="D546" s="17">
        <v>3.583</v>
      </c>
      <c r="E546" s="18" t="s">
        <v>87</v>
      </c>
      <c r="F546" s="18"/>
    </row>
    <row r="547" ht="14.25" customHeight="1">
      <c r="A547" s="13" t="s">
        <v>84</v>
      </c>
      <c r="B547" s="14" t="s">
        <v>98</v>
      </c>
      <c r="C547" s="15">
        <v>1.0</v>
      </c>
      <c r="D547" s="17">
        <v>3.83</v>
      </c>
      <c r="E547" s="18" t="s">
        <v>87</v>
      </c>
      <c r="F547" s="18"/>
    </row>
    <row r="548" ht="14.25" customHeight="1">
      <c r="A548" s="13" t="s">
        <v>84</v>
      </c>
      <c r="B548" s="14" t="s">
        <v>101</v>
      </c>
      <c r="C548" s="15">
        <v>2.0</v>
      </c>
      <c r="D548" s="17">
        <v>11.75</v>
      </c>
      <c r="E548" s="18" t="s">
        <v>87</v>
      </c>
      <c r="F548" s="18"/>
    </row>
    <row r="549" ht="14.25" customHeight="1">
      <c r="A549" s="13" t="s">
        <v>89</v>
      </c>
      <c r="B549" s="14" t="s">
        <v>92</v>
      </c>
      <c r="C549" s="15"/>
      <c r="D549" s="17"/>
      <c r="E549" s="18"/>
      <c r="F549" s="18"/>
    </row>
    <row r="550" ht="14.25" customHeight="1">
      <c r="A550" s="13" t="s">
        <v>89</v>
      </c>
      <c r="B550" s="14" t="s">
        <v>94</v>
      </c>
      <c r="C550" s="15">
        <v>2.0</v>
      </c>
      <c r="D550" s="17">
        <v>17.5</v>
      </c>
      <c r="E550" s="18" t="s">
        <v>87</v>
      </c>
      <c r="F550" s="18"/>
    </row>
    <row r="551" ht="14.25" customHeight="1">
      <c r="A551" s="13" t="s">
        <v>89</v>
      </c>
      <c r="B551" s="14" t="s">
        <v>96</v>
      </c>
      <c r="C551" s="15">
        <v>1.0</v>
      </c>
      <c r="D551" s="17">
        <v>20.33</v>
      </c>
      <c r="E551" s="18" t="s">
        <v>87</v>
      </c>
      <c r="F551" s="18"/>
    </row>
    <row r="552" ht="14.25" customHeight="1">
      <c r="A552" s="13" t="s">
        <v>89</v>
      </c>
      <c r="B552" s="14" t="s">
        <v>98</v>
      </c>
      <c r="C552" s="15">
        <v>2.0</v>
      </c>
      <c r="D552" s="17">
        <v>14.33</v>
      </c>
      <c r="E552" s="18" t="s">
        <v>87</v>
      </c>
      <c r="F552" s="18"/>
    </row>
    <row r="553" ht="14.25" customHeight="1">
      <c r="A553" s="13" t="s">
        <v>89</v>
      </c>
      <c r="B553" s="14" t="s">
        <v>101</v>
      </c>
      <c r="C553" s="15">
        <v>1.0</v>
      </c>
      <c r="D553" s="17">
        <v>16.25</v>
      </c>
      <c r="E553" s="18" t="s">
        <v>87</v>
      </c>
      <c r="F553" s="18"/>
    </row>
    <row r="554" ht="14.25" customHeight="1">
      <c r="A554" s="13" t="s">
        <v>92</v>
      </c>
      <c r="B554" s="14" t="s">
        <v>94</v>
      </c>
      <c r="C554" s="15">
        <v>2.0</v>
      </c>
      <c r="D554" s="17">
        <v>12.5</v>
      </c>
      <c r="E554" s="18" t="s">
        <v>87</v>
      </c>
      <c r="F554" s="18"/>
    </row>
    <row r="555" ht="14.25" customHeight="1">
      <c r="A555" s="13" t="s">
        <v>92</v>
      </c>
      <c r="B555" s="14" t="s">
        <v>96</v>
      </c>
      <c r="C555" s="15">
        <v>1.0</v>
      </c>
      <c r="D555" s="17">
        <v>8.4166</v>
      </c>
      <c r="E555" s="18" t="s">
        <v>87</v>
      </c>
      <c r="F555" s="18"/>
    </row>
    <row r="556" ht="14.25" customHeight="1">
      <c r="A556" s="13" t="s">
        <v>92</v>
      </c>
      <c r="B556" s="14" t="s">
        <v>98</v>
      </c>
      <c r="C556" s="15">
        <v>1.0</v>
      </c>
      <c r="D556" s="17">
        <v>4.083</v>
      </c>
      <c r="E556" s="18" t="s">
        <v>87</v>
      </c>
      <c r="F556" s="18"/>
    </row>
    <row r="557" ht="14.25" customHeight="1">
      <c r="A557" s="13" t="s">
        <v>92</v>
      </c>
      <c r="B557" s="14" t="s">
        <v>101</v>
      </c>
      <c r="C557" s="15">
        <v>1.0</v>
      </c>
      <c r="D557" s="17">
        <v>12.583</v>
      </c>
      <c r="E557" s="18" t="s">
        <v>87</v>
      </c>
      <c r="F557" s="18"/>
    </row>
    <row r="558" ht="14.25" customHeight="1">
      <c r="A558" s="13" t="s">
        <v>94</v>
      </c>
      <c r="B558" s="14" t="s">
        <v>96</v>
      </c>
      <c r="C558" s="15">
        <v>0.0</v>
      </c>
      <c r="D558" s="17">
        <v>1.5</v>
      </c>
      <c r="E558" s="18" t="s">
        <v>87</v>
      </c>
      <c r="F558" s="18"/>
    </row>
    <row r="559" ht="14.25" customHeight="1">
      <c r="A559" s="13" t="s">
        <v>94</v>
      </c>
      <c r="B559" s="14" t="s">
        <v>98</v>
      </c>
      <c r="C559" s="15">
        <v>0.0</v>
      </c>
      <c r="D559" s="17">
        <v>1.083</v>
      </c>
      <c r="E559" s="18" t="s">
        <v>87</v>
      </c>
      <c r="F559" s="18"/>
    </row>
    <row r="560" ht="14.25" customHeight="1">
      <c r="A560" s="13" t="s">
        <v>94</v>
      </c>
      <c r="B560" s="14" t="s">
        <v>101</v>
      </c>
      <c r="C560" s="15">
        <v>2.0</v>
      </c>
      <c r="D560" s="17">
        <v>16.083</v>
      </c>
      <c r="E560" s="18" t="s">
        <v>87</v>
      </c>
      <c r="F560" s="18"/>
    </row>
    <row r="561" ht="14.25" customHeight="1">
      <c r="A561" s="13" t="s">
        <v>96</v>
      </c>
      <c r="B561" s="14" t="s">
        <v>98</v>
      </c>
      <c r="C561" s="15">
        <v>1.0</v>
      </c>
      <c r="D561" s="17">
        <v>20.4166</v>
      </c>
      <c r="E561" s="18" t="s">
        <v>87</v>
      </c>
      <c r="F561" s="18"/>
    </row>
    <row r="562" ht="14.25" customHeight="1">
      <c r="A562" s="13" t="s">
        <v>96</v>
      </c>
      <c r="B562" s="14" t="s">
        <v>101</v>
      </c>
      <c r="C562" s="15">
        <v>2.0</v>
      </c>
      <c r="D562" s="17">
        <v>17.5833</v>
      </c>
      <c r="E562" s="18" t="s">
        <v>87</v>
      </c>
      <c r="F562" s="18"/>
    </row>
    <row r="563" ht="14.25" customHeight="1">
      <c r="A563" s="13" t="s">
        <v>98</v>
      </c>
      <c r="B563" s="14" t="s">
        <v>101</v>
      </c>
      <c r="C563" s="15">
        <v>0.0</v>
      </c>
      <c r="D563" s="17">
        <v>1.83</v>
      </c>
      <c r="E563" s="18" t="s">
        <v>87</v>
      </c>
      <c r="F563" s="18"/>
    </row>
    <row r="564" ht="14.25" customHeight="1">
      <c r="D564" s="4"/>
    </row>
    <row r="565" ht="14.25" customHeight="1">
      <c r="D565" s="4"/>
    </row>
    <row r="566" ht="14.25" customHeight="1">
      <c r="D566" s="4"/>
    </row>
    <row r="567" ht="14.25" customHeight="1">
      <c r="D567" s="4"/>
    </row>
    <row r="568" ht="14.25" customHeight="1">
      <c r="D568" s="4"/>
    </row>
    <row r="569" ht="14.25" customHeight="1">
      <c r="D569" s="4"/>
    </row>
    <row r="570" ht="14.25" customHeight="1">
      <c r="D570" s="4"/>
    </row>
    <row r="571" ht="14.25" customHeight="1">
      <c r="D571" s="4"/>
    </row>
    <row r="572" ht="14.25" customHeight="1">
      <c r="D572" s="4"/>
    </row>
    <row r="573" ht="14.25" customHeight="1">
      <c r="D573" s="4"/>
    </row>
    <row r="574" ht="14.25" customHeight="1">
      <c r="D574" s="4"/>
    </row>
    <row r="575" ht="14.25" customHeight="1">
      <c r="D575" s="4"/>
    </row>
    <row r="576" ht="14.25" customHeight="1">
      <c r="D576" s="4"/>
    </row>
    <row r="577" ht="14.25" customHeight="1">
      <c r="D577" s="4"/>
    </row>
    <row r="578" ht="14.25" customHeight="1">
      <c r="D578" s="4"/>
    </row>
    <row r="579" ht="14.25" customHeight="1">
      <c r="D579" s="4"/>
    </row>
    <row r="580" ht="14.25" customHeight="1">
      <c r="D580" s="4"/>
    </row>
    <row r="581" ht="14.25" customHeight="1">
      <c r="D581" s="4"/>
    </row>
    <row r="582" ht="14.25" customHeight="1">
      <c r="D582" s="4"/>
    </row>
    <row r="583" ht="14.25" customHeight="1">
      <c r="D583" s="4"/>
    </row>
    <row r="584" ht="14.25" customHeight="1">
      <c r="D584" s="4"/>
    </row>
    <row r="585" ht="14.25" customHeight="1">
      <c r="D585" s="4"/>
    </row>
    <row r="586" ht="14.25" customHeight="1">
      <c r="D586" s="4"/>
    </row>
    <row r="587" ht="14.25" customHeight="1">
      <c r="D587" s="4"/>
    </row>
    <row r="588" ht="14.25" customHeight="1">
      <c r="D588" s="4"/>
    </row>
    <row r="589" ht="14.25" customHeight="1">
      <c r="D589" s="4"/>
    </row>
    <row r="590" ht="14.25" customHeight="1">
      <c r="D590" s="4"/>
    </row>
    <row r="591" ht="14.25" customHeight="1">
      <c r="D591" s="4"/>
    </row>
    <row r="592" ht="14.25" customHeight="1">
      <c r="D592" s="4"/>
    </row>
    <row r="593" ht="14.25" customHeight="1">
      <c r="D593" s="4"/>
    </row>
    <row r="594" ht="14.25" customHeight="1">
      <c r="D594" s="4"/>
    </row>
    <row r="595" ht="14.25" customHeight="1">
      <c r="D595" s="4"/>
    </row>
    <row r="596" ht="14.25" customHeight="1">
      <c r="D596" s="4"/>
    </row>
    <row r="597" ht="14.25" customHeight="1">
      <c r="D597" s="4"/>
    </row>
    <row r="598" ht="14.25" customHeight="1">
      <c r="D598" s="4"/>
    </row>
    <row r="599" ht="14.25" customHeight="1">
      <c r="D599" s="4"/>
    </row>
    <row r="600" ht="14.25" customHeight="1">
      <c r="D600" s="4"/>
    </row>
    <row r="601" ht="14.25" customHeight="1">
      <c r="D601" s="4"/>
    </row>
    <row r="602" ht="14.25" customHeight="1">
      <c r="D602" s="4"/>
    </row>
    <row r="603" ht="14.25" customHeight="1">
      <c r="D603" s="4"/>
    </row>
    <row r="604" ht="14.25" customHeight="1">
      <c r="D604" s="4"/>
    </row>
    <row r="605" ht="14.25" customHeight="1">
      <c r="D605" s="4"/>
    </row>
    <row r="606" ht="14.25" customHeight="1">
      <c r="D606" s="4"/>
    </row>
    <row r="607" ht="14.25" customHeight="1">
      <c r="D607" s="4"/>
    </row>
    <row r="608" ht="14.25" customHeight="1">
      <c r="D608" s="4"/>
    </row>
    <row r="609" ht="14.25" customHeight="1">
      <c r="D609" s="4"/>
    </row>
    <row r="610" ht="14.25" customHeight="1">
      <c r="D610" s="4"/>
    </row>
    <row r="611" ht="14.25" customHeight="1">
      <c r="D611" s="4"/>
    </row>
    <row r="612" ht="14.25" customHeight="1">
      <c r="D612" s="4"/>
    </row>
    <row r="613" ht="14.25" customHeight="1">
      <c r="D613" s="4"/>
    </row>
    <row r="614" ht="14.25" customHeight="1">
      <c r="D614" s="4"/>
    </row>
    <row r="615" ht="14.25" customHeight="1">
      <c r="D615" s="4"/>
    </row>
    <row r="616" ht="14.25" customHeight="1">
      <c r="D616" s="4"/>
    </row>
    <row r="617" ht="14.25" customHeight="1">
      <c r="D617" s="4"/>
    </row>
    <row r="618" ht="14.25" customHeight="1">
      <c r="D618" s="4"/>
    </row>
    <row r="619" ht="14.25" customHeight="1">
      <c r="D619" s="4"/>
    </row>
    <row r="620" ht="14.25" customHeight="1">
      <c r="D620" s="4"/>
    </row>
    <row r="621" ht="14.25" customHeight="1">
      <c r="D621" s="4"/>
    </row>
    <row r="622" ht="14.25" customHeight="1">
      <c r="D622" s="4"/>
    </row>
    <row r="623" ht="14.25" customHeight="1">
      <c r="D623" s="4"/>
    </row>
    <row r="624" ht="14.25" customHeight="1">
      <c r="D624" s="4"/>
    </row>
    <row r="625" ht="14.25" customHeight="1">
      <c r="D625" s="4"/>
    </row>
    <row r="626" ht="14.25" customHeight="1">
      <c r="D626" s="4"/>
    </row>
    <row r="627" ht="14.25" customHeight="1">
      <c r="D627" s="4"/>
    </row>
    <row r="628" ht="14.25" customHeight="1">
      <c r="D628" s="4"/>
    </row>
    <row r="629" ht="14.25" customHeight="1">
      <c r="D629" s="4"/>
    </row>
    <row r="630" ht="14.25" customHeight="1">
      <c r="D630" s="4"/>
    </row>
    <row r="631" ht="14.25" customHeight="1">
      <c r="D631" s="4"/>
    </row>
    <row r="632" ht="14.25" customHeight="1">
      <c r="D632" s="4"/>
    </row>
    <row r="633" ht="14.25" customHeight="1">
      <c r="D633" s="4"/>
    </row>
    <row r="634" ht="14.25" customHeight="1">
      <c r="D634" s="4"/>
    </row>
    <row r="635" ht="14.25" customHeight="1">
      <c r="D635" s="4"/>
    </row>
    <row r="636" ht="14.25" customHeight="1">
      <c r="D636" s="4"/>
    </row>
    <row r="637" ht="14.25" customHeight="1">
      <c r="D637" s="4"/>
    </row>
    <row r="638" ht="14.25" customHeight="1">
      <c r="D638" s="4"/>
    </row>
    <row r="639" ht="14.25" customHeight="1">
      <c r="D639" s="4"/>
    </row>
    <row r="640" ht="14.25" customHeight="1">
      <c r="D640" s="4"/>
    </row>
    <row r="641" ht="14.25" customHeight="1">
      <c r="D641" s="4"/>
    </row>
    <row r="642" ht="14.25" customHeight="1">
      <c r="D642" s="4"/>
    </row>
    <row r="643" ht="14.25" customHeight="1">
      <c r="D643" s="4"/>
    </row>
    <row r="644" ht="14.25" customHeight="1">
      <c r="D644" s="4"/>
    </row>
    <row r="645" ht="14.25" customHeight="1">
      <c r="D645" s="4"/>
    </row>
    <row r="646" ht="14.25" customHeight="1">
      <c r="D646" s="4"/>
    </row>
    <row r="647" ht="14.25" customHeight="1">
      <c r="D647" s="4"/>
    </row>
    <row r="648" ht="14.25" customHeight="1">
      <c r="D648" s="4"/>
    </row>
    <row r="649" ht="14.25" customHeight="1">
      <c r="D649" s="4"/>
    </row>
    <row r="650" ht="14.25" customHeight="1">
      <c r="D650" s="4"/>
    </row>
    <row r="651" ht="14.25" customHeight="1">
      <c r="D651" s="4"/>
    </row>
    <row r="652" ht="14.25" customHeight="1">
      <c r="D652" s="4"/>
    </row>
    <row r="653" ht="14.25" customHeight="1">
      <c r="D653" s="4"/>
    </row>
    <row r="654" ht="14.25" customHeight="1">
      <c r="D654" s="4"/>
    </row>
    <row r="655" ht="14.25" customHeight="1">
      <c r="D655" s="4"/>
    </row>
    <row r="656" ht="14.25" customHeight="1">
      <c r="D656" s="4"/>
    </row>
    <row r="657" ht="14.25" customHeight="1">
      <c r="D657" s="4"/>
    </row>
    <row r="658" ht="14.25" customHeight="1">
      <c r="D658" s="4"/>
    </row>
    <row r="659" ht="14.25" customHeight="1">
      <c r="D659" s="4"/>
    </row>
    <row r="660" ht="14.25" customHeight="1">
      <c r="D660" s="4"/>
    </row>
    <row r="661" ht="14.25" customHeight="1">
      <c r="D661" s="4"/>
    </row>
    <row r="662" ht="14.25" customHeight="1">
      <c r="D662" s="4"/>
    </row>
    <row r="663" ht="14.25" customHeight="1">
      <c r="D663" s="4"/>
    </row>
    <row r="664" ht="14.25" customHeight="1">
      <c r="D664" s="4"/>
    </row>
    <row r="665" ht="14.25" customHeight="1">
      <c r="D665" s="4"/>
    </row>
    <row r="666" ht="14.25" customHeight="1">
      <c r="D666" s="4"/>
    </row>
    <row r="667" ht="14.25" customHeight="1">
      <c r="D667" s="4"/>
    </row>
    <row r="668" ht="14.25" customHeight="1">
      <c r="D668" s="4"/>
    </row>
    <row r="669" ht="14.25" customHeight="1">
      <c r="D669" s="4"/>
    </row>
    <row r="670" ht="14.25" customHeight="1">
      <c r="D670" s="4"/>
    </row>
    <row r="671" ht="14.25" customHeight="1">
      <c r="D671" s="4"/>
    </row>
    <row r="672" ht="14.25" customHeight="1">
      <c r="D672" s="4"/>
    </row>
    <row r="673" ht="14.25" customHeight="1">
      <c r="D673" s="4"/>
    </row>
    <row r="674" ht="14.25" customHeight="1">
      <c r="D674" s="4"/>
    </row>
    <row r="675" ht="14.25" customHeight="1">
      <c r="D675" s="4"/>
    </row>
    <row r="676" ht="14.25" customHeight="1">
      <c r="D676" s="4"/>
    </row>
    <row r="677" ht="14.25" customHeight="1">
      <c r="D677" s="4"/>
    </row>
    <row r="678" ht="14.25" customHeight="1">
      <c r="D678" s="4"/>
    </row>
    <row r="679" ht="14.25" customHeight="1">
      <c r="D679" s="4"/>
    </row>
    <row r="680" ht="14.25" customHeight="1">
      <c r="D680" s="4"/>
    </row>
    <row r="681" ht="14.25" customHeight="1">
      <c r="D681" s="4"/>
    </row>
    <row r="682" ht="14.25" customHeight="1">
      <c r="D682" s="4"/>
    </row>
    <row r="683" ht="14.25" customHeight="1">
      <c r="D683" s="4"/>
    </row>
    <row r="684" ht="14.25" customHeight="1">
      <c r="D684" s="4"/>
    </row>
    <row r="685" ht="14.25" customHeight="1">
      <c r="D685" s="4"/>
    </row>
    <row r="686" ht="14.25" customHeight="1">
      <c r="D686" s="4"/>
    </row>
    <row r="687" ht="14.25" customHeight="1">
      <c r="D687" s="4"/>
    </row>
    <row r="688" ht="14.25" customHeight="1">
      <c r="D688" s="4"/>
    </row>
    <row r="689" ht="14.25" customHeight="1">
      <c r="D689" s="4"/>
    </row>
    <row r="690" ht="14.25" customHeight="1">
      <c r="D690" s="4"/>
    </row>
    <row r="691" ht="14.25" customHeight="1">
      <c r="D691" s="4"/>
    </row>
    <row r="692" ht="14.25" customHeight="1">
      <c r="D692" s="4"/>
    </row>
    <row r="693" ht="14.25" customHeight="1">
      <c r="D693" s="4"/>
    </row>
    <row r="694" ht="14.25" customHeight="1">
      <c r="D694" s="4"/>
    </row>
    <row r="695" ht="14.25" customHeight="1">
      <c r="D695" s="4"/>
    </row>
    <row r="696" ht="14.25" customHeight="1">
      <c r="D696" s="4"/>
    </row>
    <row r="697" ht="14.25" customHeight="1">
      <c r="D697" s="4"/>
    </row>
    <row r="698" ht="14.25" customHeight="1">
      <c r="D698" s="4"/>
    </row>
    <row r="699" ht="14.25" customHeight="1">
      <c r="D699" s="4"/>
    </row>
    <row r="700" ht="14.25" customHeight="1">
      <c r="D700" s="4"/>
    </row>
    <row r="701" ht="14.25" customHeight="1">
      <c r="D701" s="4"/>
    </row>
    <row r="702" ht="14.25" customHeight="1">
      <c r="D702" s="4"/>
    </row>
    <row r="703" ht="14.25" customHeight="1">
      <c r="D703" s="4"/>
    </row>
    <row r="704" ht="14.25" customHeight="1">
      <c r="D704" s="4"/>
    </row>
    <row r="705" ht="14.25" customHeight="1">
      <c r="D705" s="4"/>
    </row>
    <row r="706" ht="14.25" customHeight="1">
      <c r="D706" s="4"/>
    </row>
    <row r="707" ht="14.25" customHeight="1">
      <c r="D707" s="4"/>
    </row>
    <row r="708" ht="14.25" customHeight="1">
      <c r="D708" s="4"/>
    </row>
    <row r="709" ht="14.25" customHeight="1">
      <c r="D709" s="4"/>
    </row>
    <row r="710" ht="14.25" customHeight="1">
      <c r="D710" s="4"/>
    </row>
    <row r="711" ht="14.25" customHeight="1">
      <c r="D711" s="4"/>
    </row>
    <row r="712" ht="14.25" customHeight="1">
      <c r="D712" s="4"/>
    </row>
    <row r="713" ht="14.25" customHeight="1">
      <c r="D713" s="4"/>
    </row>
    <row r="714" ht="14.25" customHeight="1">
      <c r="D714" s="4"/>
    </row>
    <row r="715" ht="14.25" customHeight="1">
      <c r="D715" s="4"/>
    </row>
    <row r="716" ht="14.25" customHeight="1">
      <c r="D716" s="4"/>
    </row>
    <row r="717" ht="14.25" customHeight="1">
      <c r="D717" s="4"/>
    </row>
    <row r="718" ht="14.25" customHeight="1">
      <c r="D718" s="4"/>
    </row>
    <row r="719" ht="14.25" customHeight="1">
      <c r="D719" s="4"/>
    </row>
    <row r="720" ht="14.25" customHeight="1">
      <c r="D720" s="4"/>
    </row>
    <row r="721" ht="14.25" customHeight="1">
      <c r="D721" s="4"/>
    </row>
    <row r="722" ht="14.25" customHeight="1">
      <c r="D722" s="4"/>
    </row>
    <row r="723" ht="14.25" customHeight="1">
      <c r="D723" s="4"/>
    </row>
    <row r="724" ht="14.25" customHeight="1">
      <c r="D724" s="4"/>
    </row>
    <row r="725" ht="14.25" customHeight="1">
      <c r="D725" s="4"/>
    </row>
    <row r="726" ht="14.25" customHeight="1">
      <c r="D726" s="4"/>
    </row>
    <row r="727" ht="14.25" customHeight="1">
      <c r="D727" s="4"/>
    </row>
    <row r="728" ht="14.25" customHeight="1">
      <c r="D728" s="4"/>
    </row>
    <row r="729" ht="14.25" customHeight="1">
      <c r="D729" s="4"/>
    </row>
    <row r="730" ht="14.25" customHeight="1">
      <c r="D730" s="4"/>
    </row>
    <row r="731" ht="14.25" customHeight="1">
      <c r="D731" s="4"/>
    </row>
    <row r="732" ht="14.25" customHeight="1">
      <c r="D732" s="4"/>
    </row>
    <row r="733" ht="14.25" customHeight="1">
      <c r="D733" s="4"/>
    </row>
    <row r="734" ht="14.25" customHeight="1">
      <c r="D734" s="4"/>
    </row>
    <row r="735" ht="14.25" customHeight="1">
      <c r="D735" s="4"/>
    </row>
    <row r="736" ht="14.25" customHeight="1">
      <c r="D736" s="4"/>
    </row>
    <row r="737" ht="14.25" customHeight="1">
      <c r="D737" s="4"/>
    </row>
    <row r="738" ht="14.25" customHeight="1">
      <c r="D738" s="4"/>
    </row>
    <row r="739" ht="14.25" customHeight="1">
      <c r="D739" s="4"/>
    </row>
    <row r="740" ht="14.25" customHeight="1">
      <c r="D740" s="4"/>
    </row>
    <row r="741" ht="14.25" customHeight="1">
      <c r="D741" s="4"/>
    </row>
    <row r="742" ht="14.25" customHeight="1">
      <c r="D742" s="4"/>
    </row>
    <row r="743" ht="14.25" customHeight="1">
      <c r="D743" s="4"/>
    </row>
    <row r="744" ht="14.25" customHeight="1">
      <c r="D744" s="4"/>
    </row>
    <row r="745" ht="14.25" customHeight="1">
      <c r="D745" s="4"/>
    </row>
    <row r="746" ht="14.25" customHeight="1">
      <c r="D746" s="4"/>
    </row>
    <row r="747" ht="14.25" customHeight="1">
      <c r="D747" s="4"/>
    </row>
    <row r="748" ht="14.25" customHeight="1">
      <c r="D748" s="4"/>
    </row>
    <row r="749" ht="14.25" customHeight="1">
      <c r="D749" s="4"/>
    </row>
    <row r="750" ht="14.25" customHeight="1">
      <c r="D750" s="4"/>
    </row>
    <row r="751" ht="14.25" customHeight="1">
      <c r="D751" s="4"/>
    </row>
    <row r="752" ht="14.25" customHeight="1">
      <c r="D752" s="4"/>
    </row>
    <row r="753" ht="14.25" customHeight="1">
      <c r="D753" s="4"/>
    </row>
    <row r="754" ht="14.25" customHeight="1">
      <c r="D754" s="4"/>
    </row>
    <row r="755" ht="14.25" customHeight="1">
      <c r="D755" s="4"/>
    </row>
    <row r="756" ht="14.25" customHeight="1">
      <c r="D756" s="4"/>
    </row>
    <row r="757" ht="14.25" customHeight="1">
      <c r="D757" s="4"/>
    </row>
    <row r="758" ht="14.25" customHeight="1">
      <c r="D758" s="4"/>
    </row>
    <row r="759" ht="14.25" customHeight="1">
      <c r="D759" s="4"/>
    </row>
    <row r="760" ht="14.25" customHeight="1">
      <c r="D760" s="4"/>
    </row>
    <row r="761" ht="14.25" customHeight="1">
      <c r="D761" s="4"/>
    </row>
    <row r="762" ht="14.25" customHeight="1">
      <c r="D762" s="4"/>
    </row>
    <row r="763" ht="14.25" customHeight="1">
      <c r="D763" s="4"/>
    </row>
    <row r="764" ht="14.25" customHeight="1">
      <c r="D764" s="4"/>
    </row>
    <row r="765" ht="14.25" customHeight="1">
      <c r="D765" s="4"/>
    </row>
    <row r="766" ht="14.25" customHeight="1">
      <c r="D766" s="4"/>
    </row>
    <row r="767" ht="14.25" customHeight="1">
      <c r="D767" s="4"/>
    </row>
    <row r="768" ht="14.25" customHeight="1">
      <c r="D768" s="4"/>
    </row>
    <row r="769" ht="14.25" customHeight="1">
      <c r="D769" s="4"/>
    </row>
    <row r="770" ht="14.25" customHeight="1">
      <c r="D770" s="4"/>
    </row>
    <row r="771" ht="14.25" customHeight="1">
      <c r="D771" s="4"/>
    </row>
    <row r="772" ht="14.25" customHeight="1">
      <c r="D772" s="4"/>
    </row>
    <row r="773" ht="14.25" customHeight="1">
      <c r="D773" s="4"/>
    </row>
    <row r="774" ht="14.25" customHeight="1">
      <c r="D774" s="4"/>
    </row>
    <row r="775" ht="14.25" customHeight="1">
      <c r="D775" s="4"/>
    </row>
    <row r="776" ht="14.25" customHeight="1">
      <c r="D776" s="4"/>
    </row>
    <row r="777" ht="14.25" customHeight="1">
      <c r="D777" s="4"/>
    </row>
    <row r="778" ht="14.25" customHeight="1">
      <c r="D778" s="4"/>
    </row>
    <row r="779" ht="14.25" customHeight="1">
      <c r="D779" s="4"/>
    </row>
    <row r="780" ht="14.25" customHeight="1">
      <c r="D780" s="4"/>
    </row>
    <row r="781" ht="14.25" customHeight="1">
      <c r="D781" s="4"/>
    </row>
    <row r="782" ht="14.25" customHeight="1">
      <c r="D782" s="4"/>
    </row>
    <row r="783" ht="14.25" customHeight="1">
      <c r="D783" s="4"/>
    </row>
    <row r="784" ht="14.25" customHeight="1">
      <c r="D784" s="4"/>
    </row>
    <row r="785" ht="14.25" customHeight="1">
      <c r="D785" s="4"/>
    </row>
    <row r="786" ht="14.25" customHeight="1">
      <c r="D786" s="4"/>
    </row>
    <row r="787" ht="14.25" customHeight="1">
      <c r="D787" s="4"/>
    </row>
    <row r="788" ht="14.25" customHeight="1">
      <c r="D788" s="4"/>
    </row>
    <row r="789" ht="14.25" customHeight="1">
      <c r="D789" s="4"/>
    </row>
    <row r="790" ht="14.25" customHeight="1">
      <c r="D790" s="4"/>
    </row>
    <row r="791" ht="14.25" customHeight="1">
      <c r="D791" s="4"/>
    </row>
    <row r="792" ht="14.25" customHeight="1">
      <c r="D792" s="4"/>
    </row>
    <row r="793" ht="14.25" customHeight="1">
      <c r="D793" s="4"/>
    </row>
    <row r="794" ht="14.25" customHeight="1">
      <c r="D794" s="4"/>
    </row>
    <row r="795" ht="14.25" customHeight="1">
      <c r="D795" s="4"/>
    </row>
    <row r="796" ht="14.25" customHeight="1">
      <c r="D796" s="4"/>
    </row>
    <row r="797" ht="14.25" customHeight="1">
      <c r="D797" s="4"/>
    </row>
    <row r="798" ht="14.25" customHeight="1">
      <c r="D798" s="4"/>
    </row>
    <row r="799" ht="14.25" customHeight="1">
      <c r="D799" s="4"/>
    </row>
    <row r="800" ht="14.25" customHeight="1">
      <c r="D800" s="4"/>
    </row>
    <row r="801" ht="14.25" customHeight="1">
      <c r="D801" s="4"/>
    </row>
    <row r="802" ht="14.25" customHeight="1">
      <c r="D802" s="4"/>
    </row>
    <row r="803" ht="14.25" customHeight="1">
      <c r="D803" s="4"/>
    </row>
    <row r="804" ht="14.25" customHeight="1">
      <c r="D804" s="4"/>
    </row>
    <row r="805" ht="14.25" customHeight="1">
      <c r="D805" s="4"/>
    </row>
    <row r="806" ht="14.25" customHeight="1">
      <c r="D806" s="4"/>
    </row>
    <row r="807" ht="14.25" customHeight="1">
      <c r="D807" s="4"/>
    </row>
    <row r="808" ht="14.25" customHeight="1">
      <c r="D808" s="4"/>
    </row>
    <row r="809" ht="14.25" customHeight="1">
      <c r="D809" s="4"/>
    </row>
    <row r="810" ht="14.25" customHeight="1">
      <c r="D810" s="4"/>
    </row>
    <row r="811" ht="14.25" customHeight="1">
      <c r="D811" s="4"/>
    </row>
    <row r="812" ht="14.25" customHeight="1">
      <c r="D812" s="4"/>
    </row>
    <row r="813" ht="14.25" customHeight="1">
      <c r="D813" s="4"/>
    </row>
    <row r="814" ht="14.25" customHeight="1">
      <c r="D814" s="4"/>
    </row>
    <row r="815" ht="14.25" customHeight="1">
      <c r="D815" s="4"/>
    </row>
    <row r="816" ht="14.25" customHeight="1">
      <c r="D816" s="4"/>
    </row>
    <row r="817" ht="14.25" customHeight="1">
      <c r="D817" s="4"/>
    </row>
    <row r="818" ht="14.25" customHeight="1">
      <c r="D818" s="4"/>
    </row>
    <row r="819" ht="14.25" customHeight="1">
      <c r="D819" s="4"/>
    </row>
    <row r="820" ht="14.25" customHeight="1">
      <c r="D820" s="4"/>
    </row>
    <row r="821" ht="14.25" customHeight="1">
      <c r="D821" s="4"/>
    </row>
    <row r="822" ht="14.25" customHeight="1">
      <c r="D822" s="4"/>
    </row>
    <row r="823" ht="14.25" customHeight="1">
      <c r="D823" s="4"/>
    </row>
    <row r="824" ht="14.25" customHeight="1">
      <c r="D824" s="4"/>
    </row>
    <row r="825" ht="14.25" customHeight="1">
      <c r="D825" s="4"/>
    </row>
    <row r="826" ht="14.25" customHeight="1">
      <c r="D826" s="4"/>
    </row>
    <row r="827" ht="14.25" customHeight="1">
      <c r="D827" s="4"/>
    </row>
    <row r="828" ht="14.25" customHeight="1">
      <c r="D828" s="4"/>
    </row>
    <row r="829" ht="14.25" customHeight="1">
      <c r="D829" s="4"/>
    </row>
    <row r="830" ht="14.25" customHeight="1">
      <c r="D830" s="4"/>
    </row>
    <row r="831" ht="14.25" customHeight="1">
      <c r="D831" s="4"/>
    </row>
    <row r="832" ht="14.25" customHeight="1">
      <c r="D832" s="4"/>
    </row>
    <row r="833" ht="14.25" customHeight="1">
      <c r="D833" s="4"/>
    </row>
    <row r="834" ht="14.25" customHeight="1">
      <c r="D834" s="4"/>
    </row>
    <row r="835" ht="14.25" customHeight="1">
      <c r="D835" s="4"/>
    </row>
    <row r="836" ht="14.25" customHeight="1">
      <c r="D836" s="4"/>
    </row>
    <row r="837" ht="14.25" customHeight="1">
      <c r="D837" s="4"/>
    </row>
    <row r="838" ht="14.25" customHeight="1">
      <c r="D838" s="4"/>
    </row>
    <row r="839" ht="14.25" customHeight="1">
      <c r="D839" s="4"/>
    </row>
    <row r="840" ht="14.25" customHeight="1">
      <c r="D840" s="4"/>
    </row>
    <row r="841" ht="14.25" customHeight="1">
      <c r="D841" s="4"/>
    </row>
    <row r="842" ht="14.25" customHeight="1">
      <c r="D842" s="4"/>
    </row>
    <row r="843" ht="14.25" customHeight="1">
      <c r="D843" s="4"/>
    </row>
    <row r="844" ht="14.25" customHeight="1">
      <c r="D844" s="4"/>
    </row>
    <row r="845" ht="14.25" customHeight="1">
      <c r="D845" s="4"/>
    </row>
    <row r="846" ht="14.25" customHeight="1">
      <c r="D846" s="4"/>
    </row>
    <row r="847" ht="14.25" customHeight="1">
      <c r="D847" s="4"/>
    </row>
    <row r="848" ht="14.25" customHeight="1">
      <c r="D848" s="4"/>
    </row>
    <row r="849" ht="14.25" customHeight="1">
      <c r="D849" s="4"/>
    </row>
    <row r="850" ht="14.25" customHeight="1">
      <c r="D850" s="4"/>
    </row>
    <row r="851" ht="14.25" customHeight="1">
      <c r="D851" s="4"/>
    </row>
    <row r="852" ht="14.25" customHeight="1">
      <c r="D852" s="4"/>
    </row>
    <row r="853" ht="14.25" customHeight="1">
      <c r="D853" s="4"/>
    </row>
    <row r="854" ht="14.25" customHeight="1">
      <c r="D854" s="4"/>
    </row>
    <row r="855" ht="14.25" customHeight="1">
      <c r="D855" s="4"/>
    </row>
    <row r="856" ht="14.25" customHeight="1">
      <c r="D856" s="4"/>
    </row>
    <row r="857" ht="14.25" customHeight="1">
      <c r="D857" s="4"/>
    </row>
    <row r="858" ht="14.25" customHeight="1">
      <c r="D858" s="4"/>
    </row>
    <row r="859" ht="14.25" customHeight="1">
      <c r="D859" s="4"/>
    </row>
    <row r="860" ht="14.25" customHeight="1">
      <c r="D860" s="4"/>
    </row>
    <row r="861" ht="14.25" customHeight="1">
      <c r="D861" s="4"/>
    </row>
    <row r="862" ht="14.25" customHeight="1">
      <c r="D862" s="4"/>
    </row>
    <row r="863" ht="14.25" customHeight="1">
      <c r="D863" s="4"/>
    </row>
    <row r="864" ht="14.25" customHeight="1">
      <c r="D864" s="4"/>
    </row>
    <row r="865" ht="14.25" customHeight="1">
      <c r="D865" s="4"/>
    </row>
    <row r="866" ht="14.25" customHeight="1">
      <c r="D866" s="4"/>
    </row>
    <row r="867" ht="14.25" customHeight="1">
      <c r="D867" s="4"/>
    </row>
    <row r="868" ht="14.25" customHeight="1">
      <c r="D868" s="4"/>
    </row>
    <row r="869" ht="14.25" customHeight="1">
      <c r="D869" s="4"/>
    </row>
    <row r="870" ht="14.25" customHeight="1">
      <c r="D870" s="4"/>
    </row>
    <row r="871" ht="14.25" customHeight="1">
      <c r="D871" s="4"/>
    </row>
    <row r="872" ht="14.25" customHeight="1">
      <c r="D872" s="4"/>
    </row>
    <row r="873" ht="14.25" customHeight="1">
      <c r="D873" s="4"/>
    </row>
    <row r="874" ht="14.25" customHeight="1">
      <c r="D874" s="4"/>
    </row>
    <row r="875" ht="14.25" customHeight="1">
      <c r="D875" s="4"/>
    </row>
    <row r="876" ht="14.25" customHeight="1">
      <c r="D876" s="4"/>
    </row>
    <row r="877" ht="14.25" customHeight="1">
      <c r="D877" s="4"/>
    </row>
    <row r="878" ht="14.25" customHeight="1">
      <c r="D878" s="4"/>
    </row>
    <row r="879" ht="14.25" customHeight="1">
      <c r="D879" s="4"/>
    </row>
    <row r="880" ht="14.25" customHeight="1">
      <c r="D880" s="4"/>
    </row>
    <row r="881" ht="14.25" customHeight="1">
      <c r="D881" s="4"/>
    </row>
    <row r="882" ht="14.25" customHeight="1">
      <c r="D882" s="4"/>
    </row>
    <row r="883" ht="14.25" customHeight="1">
      <c r="D883" s="4"/>
    </row>
    <row r="884" ht="14.25" customHeight="1">
      <c r="D884" s="4"/>
    </row>
    <row r="885" ht="14.25" customHeight="1">
      <c r="D885" s="4"/>
    </row>
    <row r="886" ht="14.25" customHeight="1">
      <c r="D886" s="4"/>
    </row>
    <row r="887" ht="14.25" customHeight="1">
      <c r="D887" s="4"/>
    </row>
    <row r="888" ht="14.25" customHeight="1">
      <c r="D888" s="4"/>
    </row>
    <row r="889" ht="14.25" customHeight="1">
      <c r="D889" s="4"/>
    </row>
    <row r="890" ht="14.25" customHeight="1">
      <c r="D890" s="4"/>
    </row>
    <row r="891" ht="14.25" customHeight="1">
      <c r="D891" s="4"/>
    </row>
    <row r="892" ht="14.25" customHeight="1">
      <c r="D892" s="4"/>
    </row>
    <row r="893" ht="14.25" customHeight="1">
      <c r="D893" s="4"/>
    </row>
    <row r="894" ht="14.25" customHeight="1">
      <c r="D894" s="4"/>
    </row>
    <row r="895" ht="14.25" customHeight="1">
      <c r="D895" s="4"/>
    </row>
    <row r="896" ht="14.25" customHeight="1">
      <c r="D896" s="4"/>
    </row>
    <row r="897" ht="14.25" customHeight="1">
      <c r="D897" s="4"/>
    </row>
    <row r="898" ht="14.25" customHeight="1">
      <c r="D898" s="4"/>
    </row>
    <row r="899" ht="14.25" customHeight="1">
      <c r="D899" s="4"/>
    </row>
    <row r="900" ht="14.25" customHeight="1">
      <c r="D900" s="4"/>
    </row>
    <row r="901" ht="14.25" customHeight="1">
      <c r="D901" s="4"/>
    </row>
    <row r="902" ht="14.25" customHeight="1">
      <c r="D902" s="4"/>
    </row>
    <row r="903" ht="14.25" customHeight="1">
      <c r="D903" s="4"/>
    </row>
    <row r="904" ht="14.25" customHeight="1">
      <c r="D904" s="4"/>
    </row>
    <row r="905" ht="14.25" customHeight="1">
      <c r="D905" s="4"/>
    </row>
    <row r="906" ht="14.25" customHeight="1">
      <c r="D906" s="4"/>
    </row>
    <row r="907" ht="14.25" customHeight="1">
      <c r="D907" s="4"/>
    </row>
    <row r="908" ht="14.25" customHeight="1">
      <c r="D908" s="4"/>
    </row>
    <row r="909" ht="14.25" customHeight="1">
      <c r="D909" s="4"/>
    </row>
    <row r="910" ht="14.25" customHeight="1">
      <c r="D910" s="4"/>
    </row>
    <row r="911" ht="14.25" customHeight="1">
      <c r="D911" s="4"/>
    </row>
    <row r="912" ht="14.25" customHeight="1">
      <c r="D912" s="4"/>
    </row>
    <row r="913" ht="14.25" customHeight="1">
      <c r="D913" s="4"/>
    </row>
    <row r="914" ht="14.25" customHeight="1">
      <c r="D914" s="4"/>
    </row>
    <row r="915" ht="14.25" customHeight="1">
      <c r="D915" s="4"/>
    </row>
    <row r="916" ht="14.25" customHeight="1">
      <c r="D916" s="4"/>
    </row>
    <row r="917" ht="14.25" customHeight="1">
      <c r="D917" s="4"/>
    </row>
    <row r="918" ht="14.25" customHeight="1">
      <c r="D918" s="4"/>
    </row>
    <row r="919" ht="14.25" customHeight="1">
      <c r="D919" s="4"/>
    </row>
    <row r="920" ht="14.25" customHeight="1">
      <c r="D920" s="4"/>
    </row>
    <row r="921" ht="14.25" customHeight="1">
      <c r="D921" s="4"/>
    </row>
    <row r="922" ht="14.25" customHeight="1">
      <c r="D922" s="4"/>
    </row>
    <row r="923" ht="14.25" customHeight="1">
      <c r="D923" s="4"/>
    </row>
    <row r="924" ht="14.25" customHeight="1">
      <c r="D924" s="4"/>
    </row>
    <row r="925" ht="14.25" customHeight="1">
      <c r="D925" s="4"/>
    </row>
    <row r="926" ht="14.25" customHeight="1">
      <c r="D926" s="4"/>
    </row>
    <row r="927" ht="14.25" customHeight="1">
      <c r="D927" s="4"/>
    </row>
    <row r="928" ht="14.25" customHeight="1">
      <c r="D928" s="4"/>
    </row>
    <row r="929" ht="14.25" customHeight="1">
      <c r="D929" s="4"/>
    </row>
    <row r="930" ht="14.25" customHeight="1">
      <c r="D930" s="4"/>
    </row>
    <row r="931" ht="14.25" customHeight="1">
      <c r="D931" s="4"/>
    </row>
    <row r="932" ht="14.25" customHeight="1">
      <c r="D932" s="4"/>
    </row>
    <row r="933" ht="14.25" customHeight="1">
      <c r="D933" s="4"/>
    </row>
    <row r="934" ht="14.25" customHeight="1">
      <c r="D934" s="4"/>
    </row>
    <row r="935" ht="14.25" customHeight="1">
      <c r="D935" s="4"/>
    </row>
    <row r="936" ht="14.25" customHeight="1">
      <c r="D936" s="4"/>
    </row>
    <row r="937" ht="14.25" customHeight="1">
      <c r="D937" s="4"/>
    </row>
    <row r="938" ht="14.25" customHeight="1">
      <c r="D938" s="4"/>
    </row>
    <row r="939" ht="14.25" customHeight="1">
      <c r="D939" s="4"/>
    </row>
    <row r="940" ht="14.25" customHeight="1">
      <c r="D940" s="4"/>
    </row>
    <row r="941" ht="14.25" customHeight="1">
      <c r="D941" s="4"/>
    </row>
    <row r="942" ht="14.25" customHeight="1">
      <c r="D942" s="4"/>
    </row>
    <row r="943" ht="14.25" customHeight="1">
      <c r="D943" s="4"/>
    </row>
    <row r="944" ht="14.25" customHeight="1">
      <c r="D944" s="4"/>
    </row>
    <row r="945" ht="14.25" customHeight="1">
      <c r="D945" s="4"/>
    </row>
    <row r="946" ht="14.25" customHeight="1">
      <c r="D946" s="4"/>
    </row>
    <row r="947" ht="14.25" customHeight="1">
      <c r="D947" s="4"/>
    </row>
    <row r="948" ht="14.25" customHeight="1">
      <c r="D948" s="4"/>
    </row>
    <row r="949" ht="14.25" customHeight="1">
      <c r="D949" s="4"/>
    </row>
    <row r="950" ht="14.25" customHeight="1">
      <c r="D950" s="4"/>
    </row>
    <row r="951" ht="14.25" customHeight="1">
      <c r="D951" s="4"/>
    </row>
    <row r="952" ht="14.25" customHeight="1">
      <c r="D952" s="4"/>
    </row>
    <row r="953" ht="14.25" customHeight="1">
      <c r="D953" s="4"/>
    </row>
    <row r="954" ht="14.25" customHeight="1">
      <c r="D954" s="4"/>
    </row>
    <row r="955" ht="14.25" customHeight="1">
      <c r="D955" s="4"/>
    </row>
    <row r="956" ht="14.25" customHeight="1">
      <c r="D956" s="4"/>
    </row>
    <row r="957" ht="14.25" customHeight="1">
      <c r="D957" s="4"/>
    </row>
    <row r="958" ht="14.25" customHeight="1">
      <c r="D958" s="4"/>
    </row>
    <row r="959" ht="14.25" customHeight="1">
      <c r="D959" s="4"/>
    </row>
    <row r="960" ht="14.25" customHeight="1">
      <c r="D960" s="4"/>
    </row>
    <row r="961" ht="14.25" customHeight="1">
      <c r="D961" s="4"/>
    </row>
    <row r="962" ht="14.25" customHeight="1">
      <c r="D962" s="4"/>
    </row>
    <row r="963" ht="14.25" customHeight="1">
      <c r="D963" s="4"/>
    </row>
    <row r="964" ht="14.25" customHeight="1">
      <c r="D964" s="4"/>
    </row>
    <row r="965" ht="14.25" customHeight="1">
      <c r="D965" s="4"/>
    </row>
    <row r="966" ht="14.25" customHeight="1">
      <c r="D966" s="4"/>
    </row>
    <row r="967" ht="14.25" customHeight="1">
      <c r="D967" s="4"/>
    </row>
    <row r="968" ht="14.25" customHeight="1">
      <c r="D968" s="4"/>
    </row>
    <row r="969" ht="14.25" customHeight="1">
      <c r="D969" s="4"/>
    </row>
    <row r="970" ht="14.25" customHeight="1">
      <c r="D970" s="4"/>
    </row>
    <row r="971" ht="14.25" customHeight="1">
      <c r="D971" s="4"/>
    </row>
    <row r="972" ht="14.25" customHeight="1">
      <c r="D972" s="4"/>
    </row>
    <row r="973" ht="14.25" customHeight="1">
      <c r="D973" s="4"/>
    </row>
    <row r="974" ht="14.25" customHeight="1">
      <c r="D974" s="4"/>
    </row>
    <row r="975" ht="14.25" customHeight="1">
      <c r="D975" s="4"/>
    </row>
    <row r="976" ht="14.25" customHeight="1">
      <c r="D976" s="4"/>
    </row>
    <row r="977" ht="14.25" customHeight="1">
      <c r="D977" s="4"/>
    </row>
    <row r="978" ht="14.25" customHeight="1">
      <c r="D978" s="4"/>
    </row>
    <row r="979" ht="14.25" customHeight="1">
      <c r="D979" s="4"/>
    </row>
    <row r="980" ht="14.25" customHeight="1">
      <c r="D980" s="4"/>
    </row>
    <row r="981" ht="14.25" customHeight="1">
      <c r="D981" s="4"/>
    </row>
    <row r="982" ht="14.25" customHeight="1">
      <c r="D982" s="4"/>
    </row>
    <row r="983" ht="14.25" customHeight="1">
      <c r="D983" s="4"/>
    </row>
    <row r="984" ht="14.25" customHeight="1">
      <c r="D984" s="4"/>
    </row>
    <row r="985" ht="14.25" customHeight="1">
      <c r="D985" s="4"/>
    </row>
    <row r="986" ht="14.25" customHeight="1">
      <c r="D986" s="4"/>
    </row>
    <row r="987" ht="14.25" customHeight="1">
      <c r="D987" s="4"/>
    </row>
    <row r="988" ht="14.25" customHeight="1">
      <c r="D988" s="4"/>
    </row>
    <row r="989" ht="14.25" customHeight="1">
      <c r="D989" s="4"/>
    </row>
    <row r="990" ht="14.25" customHeight="1">
      <c r="D990" s="4"/>
    </row>
    <row r="991" ht="14.25" customHeight="1">
      <c r="D991" s="4"/>
    </row>
    <row r="992" ht="14.25" customHeight="1">
      <c r="D992" s="4"/>
    </row>
    <row r="993" ht="14.25" customHeight="1">
      <c r="D993" s="4"/>
    </row>
    <row r="994" ht="14.25" customHeight="1">
      <c r="D994" s="4"/>
    </row>
    <row r="995" ht="14.25" customHeight="1">
      <c r="D995" s="4"/>
    </row>
    <row r="996" ht="14.25" customHeight="1">
      <c r="D996" s="4"/>
    </row>
    <row r="997" ht="14.25" customHeight="1">
      <c r="D997" s="4"/>
    </row>
    <row r="998" ht="14.25" customHeight="1">
      <c r="D998" s="4"/>
    </row>
    <row r="999" ht="14.25" customHeight="1">
      <c r="D999" s="4"/>
    </row>
    <row r="1000" ht="14.25" customHeight="1">
      <c r="D1000" s="4"/>
    </row>
  </sheetData>
  <dataValidations>
    <dataValidation type="decimal" allowBlank="1" showInputMessage="1" showErrorMessage="1" prompt="Jumlah transit - Isi 0 (langsung), 1, 2, atau 3." sqref="C3:C563">
      <formula1>0.0</formula1>
      <formula2>3.0</formula2>
    </dataValidation>
    <dataValidation type="decimal" allowBlank="1" showInputMessage="1" showErrorMessage="1" prompt="Waktu tempuh - Isi jam desimal antara 0,1 dan 48." sqref="D3:D563">
      <formula1>0.1</formula1>
      <formula2>48.0</formula2>
    </dataValidation>
  </dataValidations>
  <printOptions/>
  <pageMargins bottom="1.0" footer="0.0" header="0.0" left="0.75" right="0.75" top="1.0"/>
  <pageSetup paperSize="9" orientation="portrait"/>
  <drawing r:id="rId2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1.0" ySplit="3.0" topLeftCell="B4" activePane="bottomRight" state="frozen"/>
      <selection activeCell="B1" sqref="B1" pane="topRight"/>
      <selection activeCell="A4" sqref="A4" pane="bottomLeft"/>
      <selection activeCell="B4" sqref="B4" pane="bottomRight"/>
    </sheetView>
  </sheetViews>
  <sheetFormatPr customHeight="1" defaultColWidth="14.43" defaultRowHeight="15.0"/>
  <cols>
    <col customWidth="1" min="1" max="1" width="22.0"/>
    <col customWidth="1" min="2" max="35" width="5.57"/>
  </cols>
  <sheetData>
    <row r="1" ht="14.25" customHeight="1">
      <c r="A1" s="16" t="s">
        <v>67</v>
      </c>
    </row>
    <row r="2" ht="14.25" customHeight="1">
      <c r="A2" s="19" t="s">
        <v>91</v>
      </c>
    </row>
    <row r="3" ht="94.5" customHeight="1">
      <c r="A3" s="20" t="s">
        <v>100</v>
      </c>
      <c r="B3" s="21" t="s">
        <v>5</v>
      </c>
      <c r="C3" s="21" t="s">
        <v>8</v>
      </c>
      <c r="D3" s="21" t="s">
        <v>10</v>
      </c>
      <c r="E3" s="21" t="s">
        <v>12</v>
      </c>
      <c r="F3" s="21" t="s">
        <v>15</v>
      </c>
      <c r="G3" s="21" t="s">
        <v>17</v>
      </c>
      <c r="H3" s="21" t="s">
        <v>20</v>
      </c>
      <c r="I3" s="21" t="s">
        <v>22</v>
      </c>
      <c r="J3" s="21" t="s">
        <v>25</v>
      </c>
      <c r="K3" s="21" t="s">
        <v>28</v>
      </c>
      <c r="L3" s="21" t="s">
        <v>31</v>
      </c>
      <c r="M3" s="21" t="s">
        <v>33</v>
      </c>
      <c r="N3" s="21" t="s">
        <v>37</v>
      </c>
      <c r="O3" s="21" t="s">
        <v>40</v>
      </c>
      <c r="P3" s="21" t="s">
        <v>43</v>
      </c>
      <c r="Q3" s="21" t="s">
        <v>46</v>
      </c>
      <c r="R3" s="21" t="s">
        <v>49</v>
      </c>
      <c r="S3" s="21" t="s">
        <v>52</v>
      </c>
      <c r="T3" s="21" t="s">
        <v>55</v>
      </c>
      <c r="U3" s="21" t="s">
        <v>58</v>
      </c>
      <c r="V3" s="21" t="s">
        <v>61</v>
      </c>
      <c r="W3" s="21" t="s">
        <v>64</v>
      </c>
      <c r="X3" s="21" t="s">
        <v>68</v>
      </c>
      <c r="Y3" s="21" t="s">
        <v>71</v>
      </c>
      <c r="Z3" s="21" t="s">
        <v>75</v>
      </c>
      <c r="AA3" s="21" t="s">
        <v>78</v>
      </c>
      <c r="AB3" s="21" t="s">
        <v>81</v>
      </c>
      <c r="AC3" s="21" t="s">
        <v>84</v>
      </c>
      <c r="AD3" s="21" t="s">
        <v>89</v>
      </c>
      <c r="AE3" s="21" t="s">
        <v>92</v>
      </c>
      <c r="AF3" s="21" t="s">
        <v>94</v>
      </c>
      <c r="AG3" s="21" t="s">
        <v>96</v>
      </c>
      <c r="AH3" s="21" t="s">
        <v>98</v>
      </c>
      <c r="AI3" s="21" t="s">
        <v>101</v>
      </c>
    </row>
    <row r="4" ht="14.25" customHeight="1">
      <c r="A4" s="22" t="s">
        <v>5</v>
      </c>
      <c r="B4" s="23">
        <v>0.0</v>
      </c>
      <c r="C4" s="27">
        <f>IF((COUNTIFS(Input_Konektivitas!$A$3:$A$563,$A4,Input_Konektivitas!$B$3:$B$563,C$3,Input_Konektivitas!$D$3:$D$563,"&gt;0")+COUNTIFS(Input_Konektivitas!$A$3:$A$563,C$3,Input_Konektivitas!$B$3:$B$563,$A4,Input_Konektivitas!$D$3:$D$563,"&gt;0"))=0,"",SUMIFS(Input_Konektivitas!$D$3:$D$563,Input_Konektivitas!$A$3:$A$563,$A4,Input_Konektivitas!$B$3:$B$563,C$3)+SUMIFS(Input_Konektivitas!$D$3:$D$563,Input_Konektivitas!$A$3:$A$563,C$3,Input_Konektivitas!$B$3:$B$563,$A4))</f>
        <v>1.583</v>
      </c>
      <c r="D4" s="27">
        <f>IF((COUNTIFS(Input_Konektivitas!$A$3:$A$563,$A4,Input_Konektivitas!$B$3:$B$563,D$3,Input_Konektivitas!$D$3:$D$563,"&gt;0")+COUNTIFS(Input_Konektivitas!$A$3:$A$563,D$3,Input_Konektivitas!$B$3:$B$563,$A4,Input_Konektivitas!$D$3:$D$563,"&gt;0"))=0,"",SUMIFS(Input_Konektivitas!$D$3:$D$563,Input_Konektivitas!$A$3:$A$563,$A4,Input_Konektivitas!$B$3:$B$563,D$3)+SUMIFS(Input_Konektivitas!$D$3:$D$563,Input_Konektivitas!$A$3:$A$563,D$3,Input_Konektivitas!$B$3:$B$563,$A4))</f>
        <v>6.5</v>
      </c>
      <c r="E4" s="27">
        <f>IF((COUNTIFS(Input_Konektivitas!$A$3:$A$563,$A4,Input_Konektivitas!$B$3:$B$563,E$3,Input_Konektivitas!$D$3:$D$563,"&gt;0")+COUNTIFS(Input_Konektivitas!$A$3:$A$563,E$3,Input_Konektivitas!$B$3:$B$563,$A4,Input_Konektivitas!$D$3:$D$563,"&gt;0"))=0,"",SUMIFS(Input_Konektivitas!$D$3:$D$563,Input_Konektivitas!$A$3:$A$563,$A4,Input_Konektivitas!$B$3:$B$563,E$3)+SUMIFS(Input_Konektivitas!$D$3:$D$563,Input_Konektivitas!$A$3:$A$563,E$3,Input_Konektivitas!$B$3:$B$563,$A4))</f>
        <v>3.5</v>
      </c>
      <c r="F4" s="27">
        <f>IF((COUNTIFS(Input_Konektivitas!$A$3:$A$563,$A4,Input_Konektivitas!$B$3:$B$563,F$3,Input_Konektivitas!$D$3:$D$563,"&gt;0")+COUNTIFS(Input_Konektivitas!$A$3:$A$563,F$3,Input_Konektivitas!$B$3:$B$563,$A4,Input_Konektivitas!$D$3:$D$563,"&gt;0"))=0,"",SUMIFS(Input_Konektivitas!$D$3:$D$563,Input_Konektivitas!$A$3:$A$563,$A4,Input_Konektivitas!$B$3:$B$563,F$3)+SUMIFS(Input_Konektivitas!$D$3:$D$563,Input_Konektivitas!$A$3:$A$563,F$3,Input_Konektivitas!$B$3:$B$563,$A4))</f>
        <v>6.5</v>
      </c>
      <c r="G4" s="27">
        <f>IF((COUNTIFS(Input_Konektivitas!$A$3:$A$563,$A4,Input_Konektivitas!$B$3:$B$563,G$3,Input_Konektivitas!$D$3:$D$563,"&gt;0")+COUNTIFS(Input_Konektivitas!$A$3:$A$563,G$3,Input_Konektivitas!$B$3:$B$563,$A4,Input_Konektivitas!$D$3:$D$563,"&gt;0"))=0,"",SUMIFS(Input_Konektivitas!$D$3:$D$563,Input_Konektivitas!$A$3:$A$563,$A4,Input_Konektivitas!$B$3:$B$563,G$3)+SUMIFS(Input_Konektivitas!$D$3:$D$563,Input_Konektivitas!$A$3:$A$563,G$3,Input_Konektivitas!$B$3:$B$563,$A4))</f>
        <v>4.8333</v>
      </c>
      <c r="H4" s="27">
        <f>IF((COUNTIFS(Input_Konektivitas!$A$3:$A$563,$A4,Input_Konektivitas!$B$3:$B$563,H$3,Input_Konektivitas!$D$3:$D$563,"&gt;0")+COUNTIFS(Input_Konektivitas!$A$3:$A$563,H$3,Input_Konektivitas!$B$3:$B$563,$A4,Input_Konektivitas!$D$3:$D$563,"&gt;0"))=0,"",SUMIFS(Input_Konektivitas!$D$3:$D$563,Input_Konektivitas!$A$3:$A$563,$A4,Input_Konektivitas!$B$3:$B$563,H$3)+SUMIFS(Input_Konektivitas!$D$3:$D$563,Input_Konektivitas!$A$3:$A$563,H$3,Input_Konektivitas!$B$3:$B$563,$A4))</f>
        <v>6.92</v>
      </c>
      <c r="I4" s="27">
        <f>IF((COUNTIFS(Input_Konektivitas!$A$3:$A$563,$A4,Input_Konektivitas!$B$3:$B$563,I$3,Input_Konektivitas!$D$3:$D$563,"&gt;0")+COUNTIFS(Input_Konektivitas!$A$3:$A$563,I$3,Input_Konektivitas!$B$3:$B$563,$A4,Input_Konektivitas!$D$3:$D$563,"&gt;0"))=0,"",SUMIFS(Input_Konektivitas!$D$3:$D$563,Input_Konektivitas!$A$3:$A$563,$A4,Input_Konektivitas!$B$3:$B$563,I$3)+SUMIFS(Input_Konektivitas!$D$3:$D$563,Input_Konektivitas!$A$3:$A$563,I$3,Input_Konektivitas!$B$3:$B$563,$A4))</f>
        <v>5.58</v>
      </c>
      <c r="J4" s="27">
        <f>IF((COUNTIFS(Input_Konektivitas!$A$3:$A$563,$A4,Input_Konektivitas!$B$3:$B$563,J$3,Input_Konektivitas!$D$3:$D$563,"&gt;0")+COUNTIFS(Input_Konektivitas!$A$3:$A$563,J$3,Input_Konektivitas!$B$3:$B$563,$A4,Input_Konektivitas!$D$3:$D$563,"&gt;0"))=0,"",SUMIFS(Input_Konektivitas!$D$3:$D$563,Input_Konektivitas!$A$3:$A$563,$A4,Input_Konektivitas!$B$3:$B$563,J$3)+SUMIFS(Input_Konektivitas!$D$3:$D$563,Input_Konektivitas!$A$3:$A$563,J$3,Input_Konektivitas!$B$3:$B$563,$A4))</f>
        <v>9.4167</v>
      </c>
      <c r="K4" s="27">
        <f>IF((COUNTIFS(Input_Konektivitas!$A$3:$A$563,$A4,Input_Konektivitas!$B$3:$B$563,K$3,Input_Konektivitas!$D$3:$D$563,"&gt;0")+COUNTIFS(Input_Konektivitas!$A$3:$A$563,K$3,Input_Konektivitas!$B$3:$B$563,$A4,Input_Konektivitas!$D$3:$D$563,"&gt;0"))=0,"",SUMIFS(Input_Konektivitas!$D$3:$D$563,Input_Konektivitas!$A$3:$A$563,$A4,Input_Konektivitas!$B$3:$B$563,K$3)+SUMIFS(Input_Konektivitas!$D$3:$D$563,Input_Konektivitas!$A$3:$A$563,K$3,Input_Konektivitas!$B$3:$B$563,$A4))</f>
        <v>24</v>
      </c>
      <c r="L4" s="27">
        <f>IF((COUNTIFS(Input_Konektivitas!$A$3:$A$563,$A4,Input_Konektivitas!$B$3:$B$563,L$3,Input_Konektivitas!$D$3:$D$563,"&gt;0")+COUNTIFS(Input_Konektivitas!$A$3:$A$563,L$3,Input_Konektivitas!$B$3:$B$563,$A4,Input_Konektivitas!$D$3:$D$563,"&gt;0"))=0,"",SUMIFS(Input_Konektivitas!$D$3:$D$563,Input_Konektivitas!$A$3:$A$563,$A4,Input_Konektivitas!$B$3:$B$563,L$3)+SUMIFS(Input_Konektivitas!$D$3:$D$563,Input_Konektivitas!$A$3:$A$563,L$3,Input_Konektivitas!$B$3:$B$563,$A4))</f>
        <v>2.91777</v>
      </c>
      <c r="M4" s="27">
        <f>IF((COUNTIFS(Input_Konektivitas!$A$3:$A$563,$A4,Input_Konektivitas!$B$3:$B$563,M$3,Input_Konektivitas!$D$3:$D$563,"&gt;0")+COUNTIFS(Input_Konektivitas!$A$3:$A$563,M$3,Input_Konektivitas!$B$3:$B$563,$A4,Input_Konektivitas!$D$3:$D$563,"&gt;0"))=0,"",SUMIFS(Input_Konektivitas!$D$3:$D$563,Input_Konektivitas!$A$3:$A$563,$A4,Input_Konektivitas!$B$3:$B$563,M$3)+SUMIFS(Input_Konektivitas!$D$3:$D$563,Input_Konektivitas!$A$3:$A$563,M$3,Input_Konektivitas!$B$3:$B$563,$A4))</f>
        <v>20.75</v>
      </c>
      <c r="N4" s="27">
        <f>IF((COUNTIFS(Input_Konektivitas!$A$3:$A$563,$A4,Input_Konektivitas!$B$3:$B$563,N$3,Input_Konektivitas!$D$3:$D$563,"&gt;0")+COUNTIFS(Input_Konektivitas!$A$3:$A$563,N$3,Input_Konektivitas!$B$3:$B$563,$A4,Input_Konektivitas!$D$3:$D$563,"&gt;0"))=0,"",SUMIFS(Input_Konektivitas!$D$3:$D$563,Input_Konektivitas!$A$3:$A$563,$A4,Input_Konektivitas!$B$3:$B$563,N$3)+SUMIFS(Input_Konektivitas!$D$3:$D$563,Input_Konektivitas!$A$3:$A$563,N$3,Input_Konektivitas!$B$3:$B$563,$A4))</f>
        <v>5.08333</v>
      </c>
      <c r="O4" s="27">
        <f>IF((COUNTIFS(Input_Konektivitas!$A$3:$A$563,$A4,Input_Konektivitas!$B$3:$B$563,O$3,Input_Konektivitas!$D$3:$D$563,"&gt;0")+COUNTIFS(Input_Konektivitas!$A$3:$A$563,O$3,Input_Konektivitas!$B$3:$B$563,$A4,Input_Konektivitas!$D$3:$D$563,"&gt;0"))=0,"",SUMIFS(Input_Konektivitas!$D$3:$D$563,Input_Konektivitas!$A$3:$A$563,$A4,Input_Konektivitas!$B$3:$B$563,O$3)+SUMIFS(Input_Konektivitas!$D$3:$D$563,Input_Konektivitas!$A$3:$A$563,O$3,Input_Konektivitas!$B$3:$B$563,$A4))</f>
        <v>5.16667</v>
      </c>
      <c r="P4" s="27">
        <f>IF((COUNTIFS(Input_Konektivitas!$A$3:$A$563,$A4,Input_Konektivitas!$B$3:$B$563,P$3,Input_Konektivitas!$D$3:$D$563,"&gt;0")+COUNTIFS(Input_Konektivitas!$A$3:$A$563,P$3,Input_Konektivitas!$B$3:$B$563,$A4,Input_Konektivitas!$D$3:$D$563,"&gt;0"))=0,"",SUMIFS(Input_Konektivitas!$D$3:$D$563,Input_Konektivitas!$A$3:$A$563,$A4,Input_Konektivitas!$B$3:$B$563,P$3)+SUMIFS(Input_Konektivitas!$D$3:$D$563,Input_Konektivitas!$A$3:$A$563,P$3,Input_Konektivitas!$B$3:$B$563,$A4))</f>
        <v>5.9167</v>
      </c>
      <c r="Q4" s="27" t="str">
        <f>IF((COUNTIFS(Input_Konektivitas!$A$3:$A$563,$A4,Input_Konektivitas!$B$3:$B$563,Q$3,Input_Konektivitas!$D$3:$D$563,"&gt;0")+COUNTIFS(Input_Konektivitas!$A$3:$A$563,Q$3,Input_Konektivitas!$B$3:$B$563,$A4,Input_Konektivitas!$D$3:$D$563,"&gt;0"))=0,"",SUMIFS(Input_Konektivitas!$D$3:$D$563,Input_Konektivitas!$A$3:$A$563,$A4,Input_Konektivitas!$B$3:$B$563,Q$3)+SUMIFS(Input_Konektivitas!$D$3:$D$563,Input_Konektivitas!$A$3:$A$563,Q$3,Input_Konektivitas!$B$3:$B$563,$A4))</f>
        <v/>
      </c>
      <c r="R4" s="27">
        <f>IF((COUNTIFS(Input_Konektivitas!$A$3:$A$563,$A4,Input_Konektivitas!$B$3:$B$563,R$3,Input_Konektivitas!$D$3:$D$563,"&gt;0")+COUNTIFS(Input_Konektivitas!$A$3:$A$563,R$3,Input_Konektivitas!$B$3:$B$563,$A4,Input_Konektivitas!$D$3:$D$563,"&gt;0"))=0,"",SUMIFS(Input_Konektivitas!$D$3:$D$563,Input_Konektivitas!$A$3:$A$563,$A4,Input_Konektivitas!$B$3:$B$563,R$3)+SUMIFS(Input_Konektivitas!$D$3:$D$563,Input_Konektivitas!$A$3:$A$563,R$3,Input_Konektivitas!$B$3:$B$563,$A4))</f>
        <v>6.08333</v>
      </c>
      <c r="S4" s="27">
        <f>IF((COUNTIFS(Input_Konektivitas!$A$3:$A$563,$A4,Input_Konektivitas!$B$3:$B$563,S$3,Input_Konektivitas!$D$3:$D$563,"&gt;0")+COUNTIFS(Input_Konektivitas!$A$3:$A$563,S$3,Input_Konektivitas!$B$3:$B$563,$A4,Input_Konektivitas!$D$3:$D$563,"&gt;0"))=0,"",SUMIFS(Input_Konektivitas!$D$3:$D$563,Input_Konektivitas!$A$3:$A$563,$A4,Input_Konektivitas!$B$3:$B$563,S$3)+SUMIFS(Input_Konektivitas!$D$3:$D$563,Input_Konektivitas!$A$3:$A$563,S$3,Input_Konektivitas!$B$3:$B$563,$A4))</f>
        <v>7.75</v>
      </c>
      <c r="T4" s="27">
        <f>IF((COUNTIFS(Input_Konektivitas!$A$3:$A$563,$A4,Input_Konektivitas!$B$3:$B$563,T$3,Input_Konektivitas!$D$3:$D$563,"&gt;0")+COUNTIFS(Input_Konektivitas!$A$3:$A$563,T$3,Input_Konektivitas!$B$3:$B$563,$A4,Input_Konektivitas!$D$3:$D$563,"&gt;0"))=0,"",SUMIFS(Input_Konektivitas!$D$3:$D$563,Input_Konektivitas!$A$3:$A$563,$A4,Input_Konektivitas!$B$3:$B$563,T$3)+SUMIFS(Input_Konektivitas!$D$3:$D$563,Input_Konektivitas!$A$3:$A$563,T$3,Input_Konektivitas!$B$3:$B$563,$A4))</f>
        <v>12.25</v>
      </c>
      <c r="U4" s="27">
        <f>IF((COUNTIFS(Input_Konektivitas!$A$3:$A$563,$A4,Input_Konektivitas!$B$3:$B$563,U$3,Input_Konektivitas!$D$3:$D$563,"&gt;0")+COUNTIFS(Input_Konektivitas!$A$3:$A$563,U$3,Input_Konektivitas!$B$3:$B$563,$A4,Input_Konektivitas!$D$3:$D$563,"&gt;0"))=0,"",SUMIFS(Input_Konektivitas!$D$3:$D$563,Input_Konektivitas!$A$3:$A$563,$A4,Input_Konektivitas!$B$3:$B$563,U$3)+SUMIFS(Input_Konektivitas!$D$3:$D$563,Input_Konektivitas!$A$3:$A$563,U$3,Input_Konektivitas!$B$3:$B$563,$A4))</f>
        <v>5.5</v>
      </c>
      <c r="V4" s="27">
        <f>IF((COUNTIFS(Input_Konektivitas!$A$3:$A$563,$A4,Input_Konektivitas!$B$3:$B$563,V$3,Input_Konektivitas!$D$3:$D$563,"&gt;0")+COUNTIFS(Input_Konektivitas!$A$3:$A$563,V$3,Input_Konektivitas!$B$3:$B$563,$A4,Input_Konektivitas!$D$3:$D$563,"&gt;0"))=0,"",SUMIFS(Input_Konektivitas!$D$3:$D$563,Input_Konektivitas!$A$3:$A$563,$A4,Input_Konektivitas!$B$3:$B$563,V$3)+SUMIFS(Input_Konektivitas!$D$3:$D$563,Input_Konektivitas!$A$3:$A$563,V$3,Input_Konektivitas!$B$3:$B$563,$A4))</f>
        <v>5.6667</v>
      </c>
      <c r="W4" s="27">
        <f>IF((COUNTIFS(Input_Konektivitas!$A$3:$A$563,$A4,Input_Konektivitas!$B$3:$B$563,W$3,Input_Konektivitas!$D$3:$D$563,"&gt;0")+COUNTIFS(Input_Konektivitas!$A$3:$A$563,W$3,Input_Konektivitas!$B$3:$B$563,$A4,Input_Konektivitas!$D$3:$D$563,"&gt;0"))=0,"",SUMIFS(Input_Konektivitas!$D$3:$D$563,Input_Konektivitas!$A$3:$A$563,$A4,Input_Konektivitas!$B$3:$B$563,W$3)+SUMIFS(Input_Konektivitas!$D$3:$D$563,Input_Konektivitas!$A$3:$A$563,W$3,Input_Konektivitas!$B$3:$B$563,$A4))</f>
        <v>7.25</v>
      </c>
      <c r="X4" s="27">
        <f>IF((COUNTIFS(Input_Konektivitas!$A$3:$A$563,$A4,Input_Konektivitas!$B$3:$B$563,X$3,Input_Konektivitas!$D$3:$D$563,"&gt;0")+COUNTIFS(Input_Konektivitas!$A$3:$A$563,X$3,Input_Konektivitas!$B$3:$B$563,$A4,Input_Konektivitas!$D$3:$D$563,"&gt;0"))=0,"",SUMIFS(Input_Konektivitas!$D$3:$D$563,Input_Konektivitas!$A$3:$A$563,$A4,Input_Konektivitas!$B$3:$B$563,X$3)+SUMIFS(Input_Konektivitas!$D$3:$D$563,Input_Konektivitas!$A$3:$A$563,X$3,Input_Konektivitas!$B$3:$B$563,$A4))</f>
        <v>8.916677</v>
      </c>
      <c r="Y4" s="27">
        <f>IF((COUNTIFS(Input_Konektivitas!$A$3:$A$563,$A4,Input_Konektivitas!$B$3:$B$563,Y$3,Input_Konektivitas!$D$3:$D$563,"&gt;0")+COUNTIFS(Input_Konektivitas!$A$3:$A$563,Y$3,Input_Konektivitas!$B$3:$B$563,$A4,Input_Konektivitas!$D$3:$D$563,"&gt;0"))=0,"",SUMIFS(Input_Konektivitas!$D$3:$D$563,Input_Konektivitas!$A$3:$A$563,$A4,Input_Konektivitas!$B$3:$B$563,Y$3)+SUMIFS(Input_Konektivitas!$D$3:$D$563,Input_Konektivitas!$A$3:$A$563,Y$3,Input_Konektivitas!$B$3:$B$563,$A4))</f>
        <v>21.75</v>
      </c>
      <c r="Z4" s="27">
        <f>IF((COUNTIFS(Input_Konektivitas!$A$3:$A$563,$A4,Input_Konektivitas!$B$3:$B$563,Z$3,Input_Konektivitas!$D$3:$D$563,"&gt;0")+COUNTIFS(Input_Konektivitas!$A$3:$A$563,Z$3,Input_Konektivitas!$B$3:$B$563,$A4,Input_Konektivitas!$D$3:$D$563,"&gt;0"))=0,"",SUMIFS(Input_Konektivitas!$D$3:$D$563,Input_Konektivitas!$A$3:$A$563,$A4,Input_Konektivitas!$B$3:$B$563,Z$3)+SUMIFS(Input_Konektivitas!$D$3:$D$563,Input_Konektivitas!$A$3:$A$563,Z$3,Input_Konektivitas!$B$3:$B$563,$A4))</f>
        <v>19.8333</v>
      </c>
      <c r="AA4" s="27">
        <f>IF((COUNTIFS(Input_Konektivitas!$A$3:$A$563,$A4,Input_Konektivitas!$B$3:$B$563,AA$3,Input_Konektivitas!$D$3:$D$563,"&gt;0")+COUNTIFS(Input_Konektivitas!$A$3:$A$563,AA$3,Input_Konektivitas!$B$3:$B$563,$A4,Input_Konektivitas!$D$3:$D$563,"&gt;0"))=0,"",SUMIFS(Input_Konektivitas!$D$3:$D$563,Input_Konektivitas!$A$3:$A$563,$A4,Input_Konektivitas!$B$3:$B$563,AA$3)+SUMIFS(Input_Konektivitas!$D$3:$D$563,Input_Konektivitas!$A$3:$A$563,AA$3,Input_Konektivitas!$B$3:$B$563,$A4))</f>
        <v>13.5</v>
      </c>
      <c r="AB4" s="27">
        <f>IF((COUNTIFS(Input_Konektivitas!$A$3:$A$563,$A4,Input_Konektivitas!$B$3:$B$563,AB$3,Input_Konektivitas!$D$3:$D$563,"&gt;0")+COUNTIFS(Input_Konektivitas!$A$3:$A$563,AB$3,Input_Konektivitas!$B$3:$B$563,$A4,Input_Konektivitas!$D$3:$D$563,"&gt;0"))=0,"",SUMIFS(Input_Konektivitas!$D$3:$D$563,Input_Konektivitas!$A$3:$A$563,$A4,Input_Konektivitas!$B$3:$B$563,AB$3)+SUMIFS(Input_Konektivitas!$D$3:$D$563,Input_Konektivitas!$A$3:$A$563,AB$3,Input_Konektivitas!$B$3:$B$563,$A4))</f>
        <v>6.92</v>
      </c>
      <c r="AC4" s="27">
        <f>IF((COUNTIFS(Input_Konektivitas!$A$3:$A$563,$A4,Input_Konektivitas!$B$3:$B$563,AC$3,Input_Konektivitas!$D$3:$D$563,"&gt;0")+COUNTIFS(Input_Konektivitas!$A$3:$A$563,AC$3,Input_Konektivitas!$B$3:$B$563,$A4,Input_Konektivitas!$D$3:$D$563,"&gt;0"))=0,"",SUMIFS(Input_Konektivitas!$D$3:$D$563,Input_Konektivitas!$A$3:$A$563,$A4,Input_Konektivitas!$B$3:$B$563,AC$3)+SUMIFS(Input_Konektivitas!$D$3:$D$563,Input_Konektivitas!$A$3:$A$563,AC$3,Input_Konektivitas!$B$3:$B$563,$A4))</f>
        <v>8.67</v>
      </c>
      <c r="AD4" s="27">
        <f>IF((COUNTIFS(Input_Konektivitas!$A$3:$A$563,$A4,Input_Konektivitas!$B$3:$B$563,AD$3,Input_Konektivitas!$D$3:$D$563,"&gt;0")+COUNTIFS(Input_Konektivitas!$A$3:$A$563,AD$3,Input_Konektivitas!$B$3:$B$563,$A4,Input_Konektivitas!$D$3:$D$563,"&gt;0"))=0,"",SUMIFS(Input_Konektivitas!$D$3:$D$563,Input_Konektivitas!$A$3:$A$563,$A4,Input_Konektivitas!$B$3:$B$563,AD$3)+SUMIFS(Input_Konektivitas!$D$3:$D$563,Input_Konektivitas!$A$3:$A$563,AD$3,Input_Konektivitas!$B$3:$B$563,$A4))</f>
        <v>16.33</v>
      </c>
      <c r="AE4" s="27">
        <f>IF((COUNTIFS(Input_Konektivitas!$A$3:$A$563,$A4,Input_Konektivitas!$B$3:$B$563,AE$3,Input_Konektivitas!$D$3:$D$563,"&gt;0")+COUNTIFS(Input_Konektivitas!$A$3:$A$563,AE$3,Input_Konektivitas!$B$3:$B$563,$A4,Input_Konektivitas!$D$3:$D$563,"&gt;0"))=0,"",SUMIFS(Input_Konektivitas!$D$3:$D$563,Input_Konektivitas!$A$3:$A$563,$A4,Input_Konektivitas!$B$3:$B$563,AE$3)+SUMIFS(Input_Konektivitas!$D$3:$D$563,Input_Konektivitas!$A$3:$A$563,AE$3,Input_Konektivitas!$B$3:$B$563,$A4))</f>
        <v>18.1667</v>
      </c>
      <c r="AF4" s="27">
        <f>IF((COUNTIFS(Input_Konektivitas!$A$3:$A$563,$A4,Input_Konektivitas!$B$3:$B$563,AF$3,Input_Konektivitas!$D$3:$D$563,"&gt;0")+COUNTIFS(Input_Konektivitas!$A$3:$A$563,AF$3,Input_Konektivitas!$B$3:$B$563,$A4,Input_Konektivitas!$D$3:$D$563,"&gt;0"))=0,"",SUMIFS(Input_Konektivitas!$D$3:$D$563,Input_Konektivitas!$A$3:$A$563,$A4,Input_Konektivitas!$B$3:$B$563,AF$3)+SUMIFS(Input_Konektivitas!$D$3:$D$563,Input_Konektivitas!$A$3:$A$563,AF$3,Input_Konektivitas!$B$3:$B$563,$A4))</f>
        <v>13.92</v>
      </c>
      <c r="AG4" s="27">
        <f>IF((COUNTIFS(Input_Konektivitas!$A$3:$A$563,$A4,Input_Konektivitas!$B$3:$B$563,AG$3,Input_Konektivitas!$D$3:$D$563,"&gt;0")+COUNTIFS(Input_Konektivitas!$A$3:$A$563,AG$3,Input_Konektivitas!$B$3:$B$563,$A4,Input_Konektivitas!$D$3:$D$563,"&gt;0"))=0,"",SUMIFS(Input_Konektivitas!$D$3:$D$563,Input_Konektivitas!$A$3:$A$563,$A4,Input_Konektivitas!$B$3:$B$563,AG$3)+SUMIFS(Input_Konektivitas!$D$3:$D$563,Input_Konektivitas!$A$3:$A$563,AG$3,Input_Konektivitas!$B$3:$B$563,$A4))</f>
        <v>13.41667</v>
      </c>
      <c r="AH4" s="27">
        <f>IF((COUNTIFS(Input_Konektivitas!$A$3:$A$563,$A4,Input_Konektivitas!$B$3:$B$563,AH$3,Input_Konektivitas!$D$3:$D$563,"&gt;0")+COUNTIFS(Input_Konektivitas!$A$3:$A$563,AH$3,Input_Konektivitas!$B$3:$B$563,$A4,Input_Konektivitas!$D$3:$D$563,"&gt;0"))=0,"",SUMIFS(Input_Konektivitas!$D$3:$D$563,Input_Konektivitas!$A$3:$A$563,$A4,Input_Konektivitas!$B$3:$B$563,AH$3)+SUMIFS(Input_Konektivitas!$D$3:$D$563,Input_Konektivitas!$A$3:$A$563,AH$3,Input_Konektivitas!$B$3:$B$563,$A4))</f>
        <v>12.42</v>
      </c>
      <c r="AI4" s="27">
        <f>IF((COUNTIFS(Input_Konektivitas!$A$3:$A$563,$A4,Input_Konektivitas!$B$3:$B$563,AI$3,Input_Konektivitas!$D$3:$D$563,"&gt;0")+COUNTIFS(Input_Konektivitas!$A$3:$A$563,AI$3,Input_Konektivitas!$B$3:$B$563,$A4,Input_Konektivitas!$D$3:$D$563,"&gt;0"))=0,"",SUMIFS(Input_Konektivitas!$D$3:$D$563,Input_Konektivitas!$A$3:$A$563,$A4,Input_Konektivitas!$B$3:$B$563,AI$3)+SUMIFS(Input_Konektivitas!$D$3:$D$563,Input_Konektivitas!$A$3:$A$563,AI$3,Input_Konektivitas!$B$3:$B$563,$A4))</f>
        <v>12.92</v>
      </c>
    </row>
    <row r="5" ht="14.25" customHeight="1">
      <c r="A5" s="22" t="s">
        <v>8</v>
      </c>
      <c r="B5" s="27">
        <f>IF((COUNTIFS(Input_Konektivitas!$A$3:$A$563,$A5,Input_Konektivitas!$B$3:$B$563,B$3,Input_Konektivitas!$D$3:$D$563,"&gt;0")+COUNTIFS(Input_Konektivitas!$A$3:$A$563,B$3,Input_Konektivitas!$B$3:$B$563,$A5,Input_Konektivitas!$D$3:$D$563,"&gt;0"))=0,"",SUMIFS(Input_Konektivitas!$D$3:$D$563,Input_Konektivitas!$A$3:$A$563,$A5,Input_Konektivitas!$B$3:$B$563,B$3)+SUMIFS(Input_Konektivitas!$D$3:$D$563,Input_Konektivitas!$A$3:$A$563,B$3,Input_Konektivitas!$B$3:$B$563,$A5))</f>
        <v>1.583</v>
      </c>
      <c r="C5" s="23">
        <v>0.0</v>
      </c>
      <c r="D5" s="27">
        <f>IF((COUNTIFS(Input_Konektivitas!$A$3:$A$563,$A5,Input_Konektivitas!$B$3:$B$563,D$3,Input_Konektivitas!$D$3:$D$563,"&gt;0")+COUNTIFS(Input_Konektivitas!$A$3:$A$563,D$3,Input_Konektivitas!$B$3:$B$563,$A5,Input_Konektivitas!$D$3:$D$563,"&gt;0"))=0,"",SUMIFS(Input_Konektivitas!$D$3:$D$563,Input_Konektivitas!$A$3:$A$563,$A5,Input_Konektivitas!$B$3:$B$563,D$3)+SUMIFS(Input_Konektivitas!$D$3:$D$563,Input_Konektivitas!$A$3:$A$563,D$3,Input_Konektivitas!$B$3:$B$563,$A5))</f>
        <v>1.33</v>
      </c>
      <c r="E5" s="27">
        <f>IF((COUNTIFS(Input_Konektivitas!$A$3:$A$563,$A5,Input_Konektivitas!$B$3:$B$563,E$3,Input_Konektivitas!$D$3:$D$563,"&gt;0")+COUNTIFS(Input_Konektivitas!$A$3:$A$563,E$3,Input_Konektivitas!$B$3:$B$563,$A5,Input_Konektivitas!$D$3:$D$563,"&gt;0"))=0,"",SUMIFS(Input_Konektivitas!$D$3:$D$563,Input_Konektivitas!$A$3:$A$563,$A5,Input_Konektivitas!$B$3:$B$563,E$3)+SUMIFS(Input_Konektivitas!$D$3:$D$563,Input_Konektivitas!$A$3:$A$563,E$3,Input_Konektivitas!$B$3:$B$563,$A5))</f>
        <v>1.1667</v>
      </c>
      <c r="F5" s="27">
        <f>IF((COUNTIFS(Input_Konektivitas!$A$3:$A$563,$A5,Input_Konektivitas!$B$3:$B$563,F$3,Input_Konektivitas!$D$3:$D$563,"&gt;0")+COUNTIFS(Input_Konektivitas!$A$3:$A$563,F$3,Input_Konektivitas!$B$3:$B$563,$A5,Input_Konektivitas!$D$3:$D$563,"&gt;0"))=0,"",SUMIFS(Input_Konektivitas!$D$3:$D$563,Input_Konektivitas!$A$3:$A$563,$A5,Input_Konektivitas!$B$3:$B$563,F$3)+SUMIFS(Input_Konektivitas!$D$3:$D$563,Input_Konektivitas!$A$3:$A$563,F$3,Input_Konektivitas!$B$3:$B$563,$A5))</f>
        <v>4.42</v>
      </c>
      <c r="G5" s="27">
        <f>IF((COUNTIFS(Input_Konektivitas!$A$3:$A$563,$A5,Input_Konektivitas!$B$3:$B$563,G$3,Input_Konektivitas!$D$3:$D$563,"&gt;0")+COUNTIFS(Input_Konektivitas!$A$3:$A$563,G$3,Input_Konektivitas!$B$3:$B$563,$A5,Input_Konektivitas!$D$3:$D$563,"&gt;0"))=0,"",SUMIFS(Input_Konektivitas!$D$3:$D$563,Input_Konektivitas!$A$3:$A$563,$A5,Input_Konektivitas!$B$3:$B$563,G$3)+SUMIFS(Input_Konektivitas!$D$3:$D$563,Input_Konektivitas!$A$3:$A$563,G$3,Input_Konektivitas!$B$3:$B$563,$A5))</f>
        <v>1.833</v>
      </c>
      <c r="H5" s="27">
        <f>IF((COUNTIFS(Input_Konektivitas!$A$3:$A$563,$A5,Input_Konektivitas!$B$3:$B$563,H$3,Input_Konektivitas!$D$3:$D$563,"&gt;0")+COUNTIFS(Input_Konektivitas!$A$3:$A$563,H$3,Input_Konektivitas!$B$3:$B$563,$A5,Input_Konektivitas!$D$3:$D$563,"&gt;0"))=0,"",SUMIFS(Input_Konektivitas!$D$3:$D$563,Input_Konektivitas!$A$3:$A$563,$A5,Input_Konektivitas!$B$3:$B$563,H$3)+SUMIFS(Input_Konektivitas!$D$3:$D$563,Input_Konektivitas!$A$3:$A$563,H$3,Input_Konektivitas!$B$3:$B$563,$A5))</f>
        <v>5.1667</v>
      </c>
      <c r="I5" s="27">
        <f>IF((COUNTIFS(Input_Konektivitas!$A$3:$A$563,$A5,Input_Konektivitas!$B$3:$B$563,I$3,Input_Konektivitas!$D$3:$D$563,"&gt;0")+COUNTIFS(Input_Konektivitas!$A$3:$A$563,I$3,Input_Konektivitas!$B$3:$B$563,$A5,Input_Konektivitas!$D$3:$D$563,"&gt;0"))=0,"",SUMIFS(Input_Konektivitas!$D$3:$D$563,Input_Konektivitas!$A$3:$A$563,$A5,Input_Konektivitas!$B$3:$B$563,I$3)+SUMIFS(Input_Konektivitas!$D$3:$D$563,Input_Konektivitas!$A$3:$A$563,I$3,Input_Konektivitas!$B$3:$B$563,$A5))</f>
        <v>4.167</v>
      </c>
      <c r="J5" s="27">
        <f>IF((COUNTIFS(Input_Konektivitas!$A$3:$A$563,$A5,Input_Konektivitas!$B$3:$B$563,J$3,Input_Konektivitas!$D$3:$D$563,"&gt;0")+COUNTIFS(Input_Konektivitas!$A$3:$A$563,J$3,Input_Konektivitas!$B$3:$B$563,$A5,Input_Konektivitas!$D$3:$D$563,"&gt;0"))=0,"",SUMIFS(Input_Konektivitas!$D$3:$D$563,Input_Konektivitas!$A$3:$A$563,$A5,Input_Konektivitas!$B$3:$B$563,J$3)+SUMIFS(Input_Konektivitas!$D$3:$D$563,Input_Konektivitas!$A$3:$A$563,J$3,Input_Konektivitas!$B$3:$B$563,$A5))</f>
        <v>5.5</v>
      </c>
      <c r="K5" s="27">
        <f>IF((COUNTIFS(Input_Konektivitas!$A$3:$A$563,$A5,Input_Konektivitas!$B$3:$B$563,K$3,Input_Konektivitas!$D$3:$D$563,"&gt;0")+COUNTIFS(Input_Konektivitas!$A$3:$A$563,K$3,Input_Konektivitas!$B$3:$B$563,$A5,Input_Konektivitas!$D$3:$D$563,"&gt;0"))=0,"",SUMIFS(Input_Konektivitas!$D$3:$D$563,Input_Konektivitas!$A$3:$A$563,$A5,Input_Konektivitas!$B$3:$B$563,K$3)+SUMIFS(Input_Konektivitas!$D$3:$D$563,Input_Konektivitas!$A$3:$A$563,K$3,Input_Konektivitas!$B$3:$B$563,$A5))</f>
        <v>5.92</v>
      </c>
      <c r="L5" s="27">
        <f>IF((COUNTIFS(Input_Konektivitas!$A$3:$A$563,$A5,Input_Konektivitas!$B$3:$B$563,L$3,Input_Konektivitas!$D$3:$D$563,"&gt;0")+COUNTIFS(Input_Konektivitas!$A$3:$A$563,L$3,Input_Konektivitas!$B$3:$B$563,$A5,Input_Konektivitas!$D$3:$D$563,"&gt;0"))=0,"",SUMIFS(Input_Konektivitas!$D$3:$D$563,Input_Konektivitas!$A$3:$A$563,$A5,Input_Konektivitas!$B$3:$B$563,L$3)+SUMIFS(Input_Konektivitas!$D$3:$D$563,Input_Konektivitas!$A$3:$A$563,L$3,Input_Konektivitas!$B$3:$B$563,$A5))</f>
        <v>2.42</v>
      </c>
      <c r="M5" s="27">
        <f>IF((COUNTIFS(Input_Konektivitas!$A$3:$A$563,$A5,Input_Konektivitas!$B$3:$B$563,M$3,Input_Konektivitas!$D$3:$D$563,"&gt;0")+COUNTIFS(Input_Konektivitas!$A$3:$A$563,M$3,Input_Konektivitas!$B$3:$B$563,$A5,Input_Konektivitas!$D$3:$D$563,"&gt;0"))=0,"",SUMIFS(Input_Konektivitas!$D$3:$D$563,Input_Konektivitas!$A$3:$A$563,$A5,Input_Konektivitas!$B$3:$B$563,M$3)+SUMIFS(Input_Konektivitas!$D$3:$D$563,Input_Konektivitas!$A$3:$A$563,M$3,Input_Konektivitas!$B$3:$B$563,$A5))</f>
        <v>2.667</v>
      </c>
      <c r="N5" s="27">
        <f>IF((COUNTIFS(Input_Konektivitas!$A$3:$A$563,$A5,Input_Konektivitas!$B$3:$B$563,N$3,Input_Konektivitas!$D$3:$D$563,"&gt;0")+COUNTIFS(Input_Konektivitas!$A$3:$A$563,N$3,Input_Konektivitas!$B$3:$B$563,$A5,Input_Konektivitas!$D$3:$D$563,"&gt;0"))=0,"",SUMIFS(Input_Konektivitas!$D$3:$D$563,Input_Konektivitas!$A$3:$A$563,$A5,Input_Konektivitas!$B$3:$B$563,N$3)+SUMIFS(Input_Konektivitas!$D$3:$D$563,Input_Konektivitas!$A$3:$A$563,N$3,Input_Konektivitas!$B$3:$B$563,$A5))</f>
        <v>5</v>
      </c>
      <c r="O5" s="27">
        <f>IF((COUNTIFS(Input_Konektivitas!$A$3:$A$563,$A5,Input_Konektivitas!$B$3:$B$563,O$3,Input_Konektivitas!$D$3:$D$563,"&gt;0")+COUNTIFS(Input_Konektivitas!$A$3:$A$563,O$3,Input_Konektivitas!$B$3:$B$563,$A5,Input_Konektivitas!$D$3:$D$563,"&gt;0"))=0,"",SUMIFS(Input_Konektivitas!$D$3:$D$563,Input_Konektivitas!$A$3:$A$563,$A5,Input_Konektivitas!$B$3:$B$563,O$3)+SUMIFS(Input_Konektivitas!$D$3:$D$563,Input_Konektivitas!$A$3:$A$563,O$3,Input_Konektivitas!$B$3:$B$563,$A5))</f>
        <v>2.83</v>
      </c>
      <c r="P5" s="27">
        <f>IF((COUNTIFS(Input_Konektivitas!$A$3:$A$563,$A5,Input_Konektivitas!$B$3:$B$563,P$3,Input_Konektivitas!$D$3:$D$563,"&gt;0")+COUNTIFS(Input_Konektivitas!$A$3:$A$563,P$3,Input_Konektivitas!$B$3:$B$563,$A5,Input_Konektivitas!$D$3:$D$563,"&gt;0"))=0,"",SUMIFS(Input_Konektivitas!$D$3:$D$563,Input_Konektivitas!$A$3:$A$563,$A5,Input_Konektivitas!$B$3:$B$563,P$3)+SUMIFS(Input_Konektivitas!$D$3:$D$563,Input_Konektivitas!$A$3:$A$563,P$3,Input_Konektivitas!$B$3:$B$563,$A5))</f>
        <v>3.17</v>
      </c>
      <c r="Q5" s="27" t="str">
        <f>IF((COUNTIFS(Input_Konektivitas!$A$3:$A$563,$A5,Input_Konektivitas!$B$3:$B$563,Q$3,Input_Konektivitas!$D$3:$D$563,"&gt;0")+COUNTIFS(Input_Konektivitas!$A$3:$A$563,Q$3,Input_Konektivitas!$B$3:$B$563,$A5,Input_Konektivitas!$D$3:$D$563,"&gt;0"))=0,"",SUMIFS(Input_Konektivitas!$D$3:$D$563,Input_Konektivitas!$A$3:$A$563,$A5,Input_Konektivitas!$B$3:$B$563,Q$3)+SUMIFS(Input_Konektivitas!$D$3:$D$563,Input_Konektivitas!$A$3:$A$563,Q$3,Input_Konektivitas!$B$3:$B$563,$A5))</f>
        <v/>
      </c>
      <c r="R5" s="27">
        <f>IF((COUNTIFS(Input_Konektivitas!$A$3:$A$563,$A5,Input_Konektivitas!$B$3:$B$563,R$3,Input_Konektivitas!$D$3:$D$563,"&gt;0")+COUNTIFS(Input_Konektivitas!$A$3:$A$563,R$3,Input_Konektivitas!$B$3:$B$563,$A5,Input_Konektivitas!$D$3:$D$563,"&gt;0"))=0,"",SUMIFS(Input_Konektivitas!$D$3:$D$563,Input_Konektivitas!$A$3:$A$563,$A5,Input_Konektivitas!$B$3:$B$563,R$3)+SUMIFS(Input_Konektivitas!$D$3:$D$563,Input_Konektivitas!$A$3:$A$563,R$3,Input_Konektivitas!$B$3:$B$563,$A5))</f>
        <v>5.17</v>
      </c>
      <c r="S5" s="27">
        <f>IF((COUNTIFS(Input_Konektivitas!$A$3:$A$563,$A5,Input_Konektivitas!$B$3:$B$563,S$3,Input_Konektivitas!$D$3:$D$563,"&gt;0")+COUNTIFS(Input_Konektivitas!$A$3:$A$563,S$3,Input_Konektivitas!$B$3:$B$563,$A5,Input_Konektivitas!$D$3:$D$563,"&gt;0"))=0,"",SUMIFS(Input_Konektivitas!$D$3:$D$563,Input_Konektivitas!$A$3:$A$563,$A5,Input_Konektivitas!$B$3:$B$563,S$3)+SUMIFS(Input_Konektivitas!$D$3:$D$563,Input_Konektivitas!$A$3:$A$563,S$3,Input_Konektivitas!$B$3:$B$563,$A5))</f>
        <v>5.5</v>
      </c>
      <c r="T5" s="27">
        <f>IF((COUNTIFS(Input_Konektivitas!$A$3:$A$563,$A5,Input_Konektivitas!$B$3:$B$563,T$3,Input_Konektivitas!$D$3:$D$563,"&gt;0")+COUNTIFS(Input_Konektivitas!$A$3:$A$563,T$3,Input_Konektivitas!$B$3:$B$563,$A5,Input_Konektivitas!$D$3:$D$563,"&gt;0"))=0,"",SUMIFS(Input_Konektivitas!$D$3:$D$563,Input_Konektivitas!$A$3:$A$563,$A5,Input_Konektivitas!$B$3:$B$563,T$3)+SUMIFS(Input_Konektivitas!$D$3:$D$563,Input_Konektivitas!$A$3:$A$563,T$3,Input_Konektivitas!$B$3:$B$563,$A5))</f>
        <v>10.17</v>
      </c>
      <c r="U5" s="27">
        <f>IF((COUNTIFS(Input_Konektivitas!$A$3:$A$563,$A5,Input_Konektivitas!$B$3:$B$563,U$3,Input_Konektivitas!$D$3:$D$563,"&gt;0")+COUNTIFS(Input_Konektivitas!$A$3:$A$563,U$3,Input_Konektivitas!$B$3:$B$563,$A5,Input_Konektivitas!$D$3:$D$563,"&gt;0"))=0,"",SUMIFS(Input_Konektivitas!$D$3:$D$563,Input_Konektivitas!$A$3:$A$563,$A5,Input_Konektivitas!$B$3:$B$563,U$3)+SUMIFS(Input_Konektivitas!$D$3:$D$563,Input_Konektivitas!$A$3:$A$563,U$3,Input_Konektivitas!$B$3:$B$563,$A5))</f>
        <v>4.33</v>
      </c>
      <c r="V5" s="27">
        <f>IF((COUNTIFS(Input_Konektivitas!$A$3:$A$563,$A5,Input_Konektivitas!$B$3:$B$563,V$3,Input_Konektivitas!$D$3:$D$563,"&gt;0")+COUNTIFS(Input_Konektivitas!$A$3:$A$563,V$3,Input_Konektivitas!$B$3:$B$563,$A5,Input_Konektivitas!$D$3:$D$563,"&gt;0"))=0,"",SUMIFS(Input_Konektivitas!$D$3:$D$563,Input_Konektivitas!$A$3:$A$563,$A5,Input_Konektivitas!$B$3:$B$563,V$3)+SUMIFS(Input_Konektivitas!$D$3:$D$563,Input_Konektivitas!$A$3:$A$563,V$3,Input_Konektivitas!$B$3:$B$563,$A5))</f>
        <v>5.25</v>
      </c>
      <c r="W5" s="27">
        <f>IF((COUNTIFS(Input_Konektivitas!$A$3:$A$563,$A5,Input_Konektivitas!$B$3:$B$563,W$3,Input_Konektivitas!$D$3:$D$563,"&gt;0")+COUNTIFS(Input_Konektivitas!$A$3:$A$563,W$3,Input_Konektivitas!$B$3:$B$563,$A5,Input_Konektivitas!$D$3:$D$563,"&gt;0"))=0,"",SUMIFS(Input_Konektivitas!$D$3:$D$563,Input_Konektivitas!$A$3:$A$563,$A5,Input_Konektivitas!$B$3:$B$563,W$3)+SUMIFS(Input_Konektivitas!$D$3:$D$563,Input_Konektivitas!$A$3:$A$563,W$3,Input_Konektivitas!$B$3:$B$563,$A5))</f>
        <v>6.33</v>
      </c>
      <c r="X5" s="27">
        <f>IF((COUNTIFS(Input_Konektivitas!$A$3:$A$563,$A5,Input_Konektivitas!$B$3:$B$563,X$3,Input_Konektivitas!$D$3:$D$563,"&gt;0")+COUNTIFS(Input_Konektivitas!$A$3:$A$563,X$3,Input_Konektivitas!$B$3:$B$563,$A5,Input_Konektivitas!$D$3:$D$563,"&gt;0"))=0,"",SUMIFS(Input_Konektivitas!$D$3:$D$563,Input_Konektivitas!$A$3:$A$563,$A5,Input_Konektivitas!$B$3:$B$563,X$3)+SUMIFS(Input_Konektivitas!$D$3:$D$563,Input_Konektivitas!$A$3:$A$563,X$3,Input_Konektivitas!$B$3:$B$563,$A5))</f>
        <v>6.67</v>
      </c>
      <c r="Y5" s="27">
        <f>IF((COUNTIFS(Input_Konektivitas!$A$3:$A$563,$A5,Input_Konektivitas!$B$3:$B$563,Y$3,Input_Konektivitas!$D$3:$D$563,"&gt;0")+COUNTIFS(Input_Konektivitas!$A$3:$A$563,Y$3,Input_Konektivitas!$B$3:$B$563,$A5,Input_Konektivitas!$D$3:$D$563,"&gt;0"))=0,"",SUMIFS(Input_Konektivitas!$D$3:$D$563,Input_Konektivitas!$A$3:$A$563,$A5,Input_Konektivitas!$B$3:$B$563,Y$3)+SUMIFS(Input_Konektivitas!$D$3:$D$563,Input_Konektivitas!$A$3:$A$563,Y$3,Input_Konektivitas!$B$3:$B$563,$A5))</f>
        <v>7.42</v>
      </c>
      <c r="Z5" s="27">
        <f>IF((COUNTIFS(Input_Konektivitas!$A$3:$A$563,$A5,Input_Konektivitas!$B$3:$B$563,Z$3,Input_Konektivitas!$D$3:$D$563,"&gt;0")+COUNTIFS(Input_Konektivitas!$A$3:$A$563,Z$3,Input_Konektivitas!$B$3:$B$563,$A5,Input_Konektivitas!$D$3:$D$563,"&gt;0"))=0,"",SUMIFS(Input_Konektivitas!$D$3:$D$563,Input_Konektivitas!$A$3:$A$563,$A5,Input_Konektivitas!$B$3:$B$563,Z$3)+SUMIFS(Input_Konektivitas!$D$3:$D$563,Input_Konektivitas!$A$3:$A$563,Z$3,Input_Konektivitas!$B$3:$B$563,$A5))</f>
        <v>8.33</v>
      </c>
      <c r="AA5" s="27">
        <f>IF((COUNTIFS(Input_Konektivitas!$A$3:$A$563,$A5,Input_Konektivitas!$B$3:$B$563,AA$3,Input_Konektivitas!$D$3:$D$563,"&gt;0")+COUNTIFS(Input_Konektivitas!$A$3:$A$563,AA$3,Input_Konektivitas!$B$3:$B$563,$A5,Input_Konektivitas!$D$3:$D$563,"&gt;0"))=0,"",SUMIFS(Input_Konektivitas!$D$3:$D$563,Input_Konektivitas!$A$3:$A$563,$A5,Input_Konektivitas!$B$3:$B$563,AA$3)+SUMIFS(Input_Konektivitas!$D$3:$D$563,Input_Konektivitas!$A$3:$A$563,AA$3,Input_Konektivitas!$B$3:$B$563,$A5))</f>
        <v>9.33</v>
      </c>
      <c r="AB5" s="27">
        <f>IF((COUNTIFS(Input_Konektivitas!$A$3:$A$563,$A5,Input_Konektivitas!$B$3:$B$563,AB$3,Input_Konektivitas!$D$3:$D$563,"&gt;0")+COUNTIFS(Input_Konektivitas!$A$3:$A$563,AB$3,Input_Konektivitas!$B$3:$B$563,$A5,Input_Konektivitas!$D$3:$D$563,"&gt;0"))=0,"",SUMIFS(Input_Konektivitas!$D$3:$D$563,Input_Konektivitas!$A$3:$A$563,$A5,Input_Konektivitas!$B$3:$B$563,AB$3)+SUMIFS(Input_Konektivitas!$D$3:$D$563,Input_Konektivitas!$A$3:$A$563,AB$3,Input_Konektivitas!$B$3:$B$563,$A5))</f>
        <v>5.92</v>
      </c>
      <c r="AC5" s="27">
        <f>IF((COUNTIFS(Input_Konektivitas!$A$3:$A$563,$A5,Input_Konektivitas!$B$3:$B$563,AC$3,Input_Konektivitas!$D$3:$D$563,"&gt;0")+COUNTIFS(Input_Konektivitas!$A$3:$A$563,AC$3,Input_Konektivitas!$B$3:$B$563,$A5,Input_Konektivitas!$D$3:$D$563,"&gt;0"))=0,"",SUMIFS(Input_Konektivitas!$D$3:$D$563,Input_Konektivitas!$A$3:$A$563,$A5,Input_Konektivitas!$B$3:$B$563,AC$3)+SUMIFS(Input_Konektivitas!$D$3:$D$563,Input_Konektivitas!$A$3:$A$563,AC$3,Input_Konektivitas!$B$3:$B$563,$A5))</f>
        <v>7.33</v>
      </c>
      <c r="AD5" s="27">
        <f>IF((COUNTIFS(Input_Konektivitas!$A$3:$A$563,$A5,Input_Konektivitas!$B$3:$B$563,AD$3,Input_Konektivitas!$D$3:$D$563,"&gt;0")+COUNTIFS(Input_Konektivitas!$A$3:$A$563,AD$3,Input_Konektivitas!$B$3:$B$563,$A5,Input_Konektivitas!$D$3:$D$563,"&gt;0"))=0,"",SUMIFS(Input_Konektivitas!$D$3:$D$563,Input_Konektivitas!$A$3:$A$563,$A5,Input_Konektivitas!$B$3:$B$563,AD$3)+SUMIFS(Input_Konektivitas!$D$3:$D$563,Input_Konektivitas!$A$3:$A$563,AD$3,Input_Konektivitas!$B$3:$B$563,$A5))</f>
        <v>10.33</v>
      </c>
      <c r="AE5" s="27">
        <f>IF((COUNTIFS(Input_Konektivitas!$A$3:$A$563,$A5,Input_Konektivitas!$B$3:$B$563,AE$3,Input_Konektivitas!$D$3:$D$563,"&gt;0")+COUNTIFS(Input_Konektivitas!$A$3:$A$563,AE$3,Input_Konektivitas!$B$3:$B$563,$A5,Input_Konektivitas!$D$3:$D$563,"&gt;0"))=0,"",SUMIFS(Input_Konektivitas!$D$3:$D$563,Input_Konektivitas!$A$3:$A$563,$A5,Input_Konektivitas!$B$3:$B$563,AE$3)+SUMIFS(Input_Konektivitas!$D$3:$D$563,Input_Konektivitas!$A$3:$A$563,AE$3,Input_Konektivitas!$B$3:$B$563,$A5))</f>
        <v>9.58</v>
      </c>
      <c r="AF5" s="27">
        <f>IF((COUNTIFS(Input_Konektivitas!$A$3:$A$563,$A5,Input_Konektivitas!$B$3:$B$563,AF$3,Input_Konektivitas!$D$3:$D$563,"&gt;0")+COUNTIFS(Input_Konektivitas!$A$3:$A$563,AF$3,Input_Konektivitas!$B$3:$B$563,$A5,Input_Konektivitas!$D$3:$D$563,"&gt;0"))=0,"",SUMIFS(Input_Konektivitas!$D$3:$D$563,Input_Konektivitas!$A$3:$A$563,$A5,Input_Konektivitas!$B$3:$B$563,AF$3)+SUMIFS(Input_Konektivitas!$D$3:$D$563,Input_Konektivitas!$A$3:$A$563,AF$3,Input_Konektivitas!$B$3:$B$563,$A5))</f>
        <v>7.33</v>
      </c>
      <c r="AG5" s="27">
        <f>IF((COUNTIFS(Input_Konektivitas!$A$3:$A$563,$A5,Input_Konektivitas!$B$3:$B$563,AG$3,Input_Konektivitas!$D$3:$D$563,"&gt;0")+COUNTIFS(Input_Konektivitas!$A$3:$A$563,AG$3,Input_Konektivitas!$B$3:$B$563,$A5,Input_Konektivitas!$D$3:$D$563,"&gt;0"))=0,"",SUMIFS(Input_Konektivitas!$D$3:$D$563,Input_Konektivitas!$A$3:$A$563,$A5,Input_Konektivitas!$B$3:$B$563,AG$3)+SUMIFS(Input_Konektivitas!$D$3:$D$563,Input_Konektivitas!$A$3:$A$563,AG$3,Input_Konektivitas!$B$3:$B$563,$A5))</f>
        <v>9.25</v>
      </c>
      <c r="AH5" s="27">
        <f>IF((COUNTIFS(Input_Konektivitas!$A$3:$A$563,$A5,Input_Konektivitas!$B$3:$B$563,AH$3,Input_Konektivitas!$D$3:$D$563,"&gt;0")+COUNTIFS(Input_Konektivitas!$A$3:$A$563,AH$3,Input_Konektivitas!$B$3:$B$563,$A5,Input_Konektivitas!$D$3:$D$563,"&gt;0"))=0,"",SUMIFS(Input_Konektivitas!$D$3:$D$563,Input_Konektivitas!$A$3:$A$563,$A5,Input_Konektivitas!$B$3:$B$563,AH$3)+SUMIFS(Input_Konektivitas!$D$3:$D$563,Input_Konektivitas!$A$3:$A$563,AH$3,Input_Konektivitas!$B$3:$B$563,$A5))</f>
        <v>8.5</v>
      </c>
      <c r="AI5" s="27">
        <f>IF((COUNTIFS(Input_Konektivitas!$A$3:$A$563,$A5,Input_Konektivitas!$B$3:$B$563,AI$3,Input_Konektivitas!$D$3:$D$563,"&gt;0")+COUNTIFS(Input_Konektivitas!$A$3:$A$563,AI$3,Input_Konektivitas!$B$3:$B$563,$A5,Input_Konektivitas!$D$3:$D$563,"&gt;0"))=0,"",SUMIFS(Input_Konektivitas!$D$3:$D$563,Input_Konektivitas!$A$3:$A$563,$A5,Input_Konektivitas!$B$3:$B$563,AI$3)+SUMIFS(Input_Konektivitas!$D$3:$D$563,Input_Konektivitas!$A$3:$A$563,AI$3,Input_Konektivitas!$B$3:$B$563,$A5))</f>
        <v>8.75</v>
      </c>
    </row>
    <row r="6" ht="14.25" customHeight="1">
      <c r="A6" s="22" t="s">
        <v>10</v>
      </c>
      <c r="B6" s="27">
        <f>IF((COUNTIFS(Input_Konektivitas!$A$3:$A$563,$A6,Input_Konektivitas!$B$3:$B$563,B$3,Input_Konektivitas!$D$3:$D$563,"&gt;0")+COUNTIFS(Input_Konektivitas!$A$3:$A$563,B$3,Input_Konektivitas!$B$3:$B$563,$A6,Input_Konektivitas!$D$3:$D$563,"&gt;0"))=0,"",SUMIFS(Input_Konektivitas!$D$3:$D$563,Input_Konektivitas!$A$3:$A$563,$A6,Input_Konektivitas!$B$3:$B$563,B$3)+SUMIFS(Input_Konektivitas!$D$3:$D$563,Input_Konektivitas!$A$3:$A$563,B$3,Input_Konektivitas!$B$3:$B$563,$A6))</f>
        <v>6.5</v>
      </c>
      <c r="C6" s="27">
        <f>IF((COUNTIFS(Input_Konektivitas!$A$3:$A$563,$A6,Input_Konektivitas!$B$3:$B$563,C$3,Input_Konektivitas!$D$3:$D$563,"&gt;0")+COUNTIFS(Input_Konektivitas!$A$3:$A$563,C$3,Input_Konektivitas!$B$3:$B$563,$A6,Input_Konektivitas!$D$3:$D$563,"&gt;0"))=0,"",SUMIFS(Input_Konektivitas!$D$3:$D$563,Input_Konektivitas!$A$3:$A$563,$A6,Input_Konektivitas!$B$3:$B$563,C$3)+SUMIFS(Input_Konektivitas!$D$3:$D$563,Input_Konektivitas!$A$3:$A$563,C$3,Input_Konektivitas!$B$3:$B$563,$A6))</f>
        <v>1.33</v>
      </c>
      <c r="D6" s="23">
        <v>0.0</v>
      </c>
      <c r="E6" s="27">
        <f>IF((COUNTIFS(Input_Konektivitas!$A$3:$A$563,$A6,Input_Konektivitas!$B$3:$B$563,E$3,Input_Konektivitas!$D$3:$D$563,"&gt;0")+COUNTIFS(Input_Konektivitas!$A$3:$A$563,E$3,Input_Konektivitas!$B$3:$B$563,$A6,Input_Konektivitas!$D$3:$D$563,"&gt;0"))=0,"",SUMIFS(Input_Konektivitas!$D$3:$D$563,Input_Konektivitas!$A$3:$A$563,$A6,Input_Konektivitas!$B$3:$B$563,E$3)+SUMIFS(Input_Konektivitas!$D$3:$D$563,Input_Konektivitas!$A$3:$A$563,E$3,Input_Konektivitas!$B$3:$B$563,$A6))</f>
        <v>11.75</v>
      </c>
      <c r="F6" s="27">
        <f>IF((COUNTIFS(Input_Konektivitas!$A$3:$A$563,$A6,Input_Konektivitas!$B$3:$B$563,F$3,Input_Konektivitas!$D$3:$D$563,"&gt;0")+COUNTIFS(Input_Konektivitas!$A$3:$A$563,F$3,Input_Konektivitas!$B$3:$B$563,$A6,Input_Konektivitas!$D$3:$D$563,"&gt;0"))=0,"",SUMIFS(Input_Konektivitas!$D$3:$D$563,Input_Konektivitas!$A$3:$A$563,$A6,Input_Konektivitas!$B$3:$B$563,F$3)+SUMIFS(Input_Konektivitas!$D$3:$D$563,Input_Konektivitas!$A$3:$A$563,F$3,Input_Konektivitas!$B$3:$B$563,$A6))</f>
        <v>4.42</v>
      </c>
      <c r="G6" s="27">
        <f>IF((COUNTIFS(Input_Konektivitas!$A$3:$A$563,$A6,Input_Konektivitas!$B$3:$B$563,G$3,Input_Konektivitas!$D$3:$D$563,"&gt;0")+COUNTIFS(Input_Konektivitas!$A$3:$A$563,G$3,Input_Konektivitas!$B$3:$B$563,$A6,Input_Konektivitas!$D$3:$D$563,"&gt;0"))=0,"",SUMIFS(Input_Konektivitas!$D$3:$D$563,Input_Konektivitas!$A$3:$A$563,$A6,Input_Konektivitas!$B$3:$B$563,G$3)+SUMIFS(Input_Konektivitas!$D$3:$D$563,Input_Konektivitas!$A$3:$A$563,G$3,Input_Konektivitas!$B$3:$B$563,$A6))</f>
        <v>4</v>
      </c>
      <c r="H6" s="27">
        <f>IF((COUNTIFS(Input_Konektivitas!$A$3:$A$563,$A6,Input_Konektivitas!$B$3:$B$563,H$3,Input_Konektivitas!$D$3:$D$563,"&gt;0")+COUNTIFS(Input_Konektivitas!$A$3:$A$563,H$3,Input_Konektivitas!$B$3:$B$563,$A6,Input_Konektivitas!$D$3:$D$563,"&gt;0"))=0,"",SUMIFS(Input_Konektivitas!$D$3:$D$563,Input_Konektivitas!$A$3:$A$563,$A6,Input_Konektivitas!$B$3:$B$563,H$3)+SUMIFS(Input_Konektivitas!$D$3:$D$563,Input_Konektivitas!$A$3:$A$563,H$3,Input_Konektivitas!$B$3:$B$563,$A6))</f>
        <v>5.33</v>
      </c>
      <c r="I6" s="27">
        <f>IF((COUNTIFS(Input_Konektivitas!$A$3:$A$563,$A6,Input_Konektivitas!$B$3:$B$563,I$3,Input_Konektivitas!$D$3:$D$563,"&gt;0")+COUNTIFS(Input_Konektivitas!$A$3:$A$563,I$3,Input_Konektivitas!$B$3:$B$563,$A6,Input_Konektivitas!$D$3:$D$563,"&gt;0"))=0,"",SUMIFS(Input_Konektivitas!$D$3:$D$563,Input_Konektivitas!$A$3:$A$563,$A6,Input_Konektivitas!$B$3:$B$563,I$3)+SUMIFS(Input_Konektivitas!$D$3:$D$563,Input_Konektivitas!$A$3:$A$563,I$3,Input_Konektivitas!$B$3:$B$563,$A6))</f>
        <v>4.833</v>
      </c>
      <c r="J6" s="27">
        <f>IF((COUNTIFS(Input_Konektivitas!$A$3:$A$563,$A6,Input_Konektivitas!$B$3:$B$563,J$3,Input_Konektivitas!$D$3:$D$563,"&gt;0")+COUNTIFS(Input_Konektivitas!$A$3:$A$563,J$3,Input_Konektivitas!$B$3:$B$563,$A6,Input_Konektivitas!$D$3:$D$563,"&gt;0"))=0,"",SUMIFS(Input_Konektivitas!$D$3:$D$563,Input_Konektivitas!$A$3:$A$563,$A6,Input_Konektivitas!$B$3:$B$563,J$3)+SUMIFS(Input_Konektivitas!$D$3:$D$563,Input_Konektivitas!$A$3:$A$563,J$3,Input_Konektivitas!$B$3:$B$563,$A6))</f>
        <v>4.833</v>
      </c>
      <c r="K6" s="27">
        <f>IF((COUNTIFS(Input_Konektivitas!$A$3:$A$563,$A6,Input_Konektivitas!$B$3:$B$563,K$3,Input_Konektivitas!$D$3:$D$563,"&gt;0")+COUNTIFS(Input_Konektivitas!$A$3:$A$563,K$3,Input_Konektivitas!$B$3:$B$563,$A6,Input_Konektivitas!$D$3:$D$563,"&gt;0"))=0,"",SUMIFS(Input_Konektivitas!$D$3:$D$563,Input_Konektivitas!$A$3:$A$563,$A6,Input_Konektivitas!$B$3:$B$563,K$3)+SUMIFS(Input_Konektivitas!$D$3:$D$563,Input_Konektivitas!$A$3:$A$563,K$3,Input_Konektivitas!$B$3:$B$563,$A6))</f>
        <v>5</v>
      </c>
      <c r="L6" s="27">
        <f>IF((COUNTIFS(Input_Konektivitas!$A$3:$A$563,$A6,Input_Konektivitas!$B$3:$B$563,L$3,Input_Konektivitas!$D$3:$D$563,"&gt;0")+COUNTIFS(Input_Konektivitas!$A$3:$A$563,L$3,Input_Konektivitas!$B$3:$B$563,$A6,Input_Konektivitas!$D$3:$D$563,"&gt;0"))=0,"",SUMIFS(Input_Konektivitas!$D$3:$D$563,Input_Konektivitas!$A$3:$A$563,$A6,Input_Konektivitas!$B$3:$B$563,L$3)+SUMIFS(Input_Konektivitas!$D$3:$D$563,Input_Konektivitas!$A$3:$A$563,L$3,Input_Konektivitas!$B$3:$B$563,$A6))</f>
        <v>1.83</v>
      </c>
      <c r="M6" s="27">
        <f>IF((COUNTIFS(Input_Konektivitas!$A$3:$A$563,$A6,Input_Konektivitas!$B$3:$B$563,M$3,Input_Konektivitas!$D$3:$D$563,"&gt;0")+COUNTIFS(Input_Konektivitas!$A$3:$A$563,M$3,Input_Konektivitas!$B$3:$B$563,$A6,Input_Konektivitas!$D$3:$D$563,"&gt;0"))=0,"",SUMIFS(Input_Konektivitas!$D$3:$D$563,Input_Konektivitas!$A$3:$A$563,$A6,Input_Konektivitas!$B$3:$B$563,M$3)+SUMIFS(Input_Konektivitas!$D$3:$D$563,Input_Konektivitas!$A$3:$A$563,M$3,Input_Konektivitas!$B$3:$B$563,$A6))</f>
        <v>19.167</v>
      </c>
      <c r="N6" s="27">
        <f>IF((COUNTIFS(Input_Konektivitas!$A$3:$A$563,$A6,Input_Konektivitas!$B$3:$B$563,N$3,Input_Konektivitas!$D$3:$D$563,"&gt;0")+COUNTIFS(Input_Konektivitas!$A$3:$A$563,N$3,Input_Konektivitas!$B$3:$B$563,$A6,Input_Konektivitas!$D$3:$D$563,"&gt;0"))=0,"",SUMIFS(Input_Konektivitas!$D$3:$D$563,Input_Konektivitas!$A$3:$A$563,$A6,Input_Konektivitas!$B$3:$B$563,N$3)+SUMIFS(Input_Konektivitas!$D$3:$D$563,Input_Konektivitas!$A$3:$A$563,N$3,Input_Konektivitas!$B$3:$B$563,$A6))</f>
        <v>3.833</v>
      </c>
      <c r="O6" s="27">
        <f>IF((COUNTIFS(Input_Konektivitas!$A$3:$A$563,$A6,Input_Konektivitas!$B$3:$B$563,O$3,Input_Konektivitas!$D$3:$D$563,"&gt;0")+COUNTIFS(Input_Konektivitas!$A$3:$A$563,O$3,Input_Konektivitas!$B$3:$B$563,$A6,Input_Konektivitas!$D$3:$D$563,"&gt;0"))=0,"",SUMIFS(Input_Konektivitas!$D$3:$D$563,Input_Konektivitas!$A$3:$A$563,$A6,Input_Konektivitas!$B$3:$B$563,O$3)+SUMIFS(Input_Konektivitas!$D$3:$D$563,Input_Konektivitas!$A$3:$A$563,O$3,Input_Konektivitas!$B$3:$B$563,$A6))</f>
        <v>2.25</v>
      </c>
      <c r="P6" s="27">
        <f>IF((COUNTIFS(Input_Konektivitas!$A$3:$A$563,$A6,Input_Konektivitas!$B$3:$B$563,P$3,Input_Konektivitas!$D$3:$D$563,"&gt;0")+COUNTIFS(Input_Konektivitas!$A$3:$A$563,P$3,Input_Konektivitas!$B$3:$B$563,$A6,Input_Konektivitas!$D$3:$D$563,"&gt;0"))=0,"",SUMIFS(Input_Konektivitas!$D$3:$D$563,Input_Konektivitas!$A$3:$A$563,$A6,Input_Konektivitas!$B$3:$B$563,P$3)+SUMIFS(Input_Konektivitas!$D$3:$D$563,Input_Konektivitas!$A$3:$A$563,P$3,Input_Konektivitas!$B$3:$B$563,$A6))</f>
        <v>4.58</v>
      </c>
      <c r="Q6" s="27" t="str">
        <f>IF((COUNTIFS(Input_Konektivitas!$A$3:$A$563,$A6,Input_Konektivitas!$B$3:$B$563,Q$3,Input_Konektivitas!$D$3:$D$563,"&gt;0")+COUNTIFS(Input_Konektivitas!$A$3:$A$563,Q$3,Input_Konektivitas!$B$3:$B$563,$A6,Input_Konektivitas!$D$3:$D$563,"&gt;0"))=0,"",SUMIFS(Input_Konektivitas!$D$3:$D$563,Input_Konektivitas!$A$3:$A$563,$A6,Input_Konektivitas!$B$3:$B$563,Q$3)+SUMIFS(Input_Konektivitas!$D$3:$D$563,Input_Konektivitas!$A$3:$A$563,Q$3,Input_Konektivitas!$B$3:$B$563,$A6))</f>
        <v/>
      </c>
      <c r="R6" s="27">
        <f>IF((COUNTIFS(Input_Konektivitas!$A$3:$A$563,$A6,Input_Konektivitas!$B$3:$B$563,R$3,Input_Konektivitas!$D$3:$D$563,"&gt;0")+COUNTIFS(Input_Konektivitas!$A$3:$A$563,R$3,Input_Konektivitas!$B$3:$B$563,$A6,Input_Konektivitas!$D$3:$D$563,"&gt;0"))=0,"",SUMIFS(Input_Konektivitas!$D$3:$D$563,Input_Konektivitas!$A$3:$A$563,$A6,Input_Konektivitas!$B$3:$B$563,R$3)+SUMIFS(Input_Konektivitas!$D$3:$D$563,Input_Konektivitas!$A$3:$A$563,R$3,Input_Konektivitas!$B$3:$B$563,$A6))</f>
        <v>4.92</v>
      </c>
      <c r="S6" s="27">
        <f>IF((COUNTIFS(Input_Konektivitas!$A$3:$A$563,$A6,Input_Konektivitas!$B$3:$B$563,S$3,Input_Konektivitas!$D$3:$D$563,"&gt;0")+COUNTIFS(Input_Konektivitas!$A$3:$A$563,S$3,Input_Konektivitas!$B$3:$B$563,$A6,Input_Konektivitas!$D$3:$D$563,"&gt;0"))=0,"",SUMIFS(Input_Konektivitas!$D$3:$D$563,Input_Konektivitas!$A$3:$A$563,$A6,Input_Konektivitas!$B$3:$B$563,S$3)+SUMIFS(Input_Konektivitas!$D$3:$D$563,Input_Konektivitas!$A$3:$A$563,S$3,Input_Konektivitas!$B$3:$B$563,$A6))</f>
        <v>5.33</v>
      </c>
      <c r="T6" s="27">
        <f>IF((COUNTIFS(Input_Konektivitas!$A$3:$A$563,$A6,Input_Konektivitas!$B$3:$B$563,T$3,Input_Konektivitas!$D$3:$D$563,"&gt;0")+COUNTIFS(Input_Konektivitas!$A$3:$A$563,T$3,Input_Konektivitas!$B$3:$B$563,$A6,Input_Konektivitas!$D$3:$D$563,"&gt;0"))=0,"",SUMIFS(Input_Konektivitas!$D$3:$D$563,Input_Konektivitas!$A$3:$A$563,$A6,Input_Konektivitas!$B$3:$B$563,T$3)+SUMIFS(Input_Konektivitas!$D$3:$D$563,Input_Konektivitas!$A$3:$A$563,T$3,Input_Konektivitas!$B$3:$B$563,$A6))</f>
        <v>8.92</v>
      </c>
      <c r="U6" s="27">
        <f>IF((COUNTIFS(Input_Konektivitas!$A$3:$A$563,$A6,Input_Konektivitas!$B$3:$B$563,U$3,Input_Konektivitas!$D$3:$D$563,"&gt;0")+COUNTIFS(Input_Konektivitas!$A$3:$A$563,U$3,Input_Konektivitas!$B$3:$B$563,$A6,Input_Konektivitas!$D$3:$D$563,"&gt;0"))=0,"",SUMIFS(Input_Konektivitas!$D$3:$D$563,Input_Konektivitas!$A$3:$A$563,$A6,Input_Konektivitas!$B$3:$B$563,U$3)+SUMIFS(Input_Konektivitas!$D$3:$D$563,Input_Konektivitas!$A$3:$A$563,U$3,Input_Konektivitas!$B$3:$B$563,$A6))</f>
        <v>4.25</v>
      </c>
      <c r="V6" s="27">
        <f>IF((COUNTIFS(Input_Konektivitas!$A$3:$A$563,$A6,Input_Konektivitas!$B$3:$B$563,V$3,Input_Konektivitas!$D$3:$D$563,"&gt;0")+COUNTIFS(Input_Konektivitas!$A$3:$A$563,V$3,Input_Konektivitas!$B$3:$B$563,$A6,Input_Konektivitas!$D$3:$D$563,"&gt;0"))=0,"",SUMIFS(Input_Konektivitas!$D$3:$D$563,Input_Konektivitas!$A$3:$A$563,$A6,Input_Konektivitas!$B$3:$B$563,V$3)+SUMIFS(Input_Konektivitas!$D$3:$D$563,Input_Konektivitas!$A$3:$A$563,V$3,Input_Konektivitas!$B$3:$B$563,$A6))</f>
        <v>4.42</v>
      </c>
      <c r="W6" s="27">
        <f>IF((COUNTIFS(Input_Konektivitas!$A$3:$A$563,$A6,Input_Konektivitas!$B$3:$B$563,W$3,Input_Konektivitas!$D$3:$D$563,"&gt;0")+COUNTIFS(Input_Konektivitas!$A$3:$A$563,W$3,Input_Konektivitas!$B$3:$B$563,$A6,Input_Konektivitas!$D$3:$D$563,"&gt;0"))=0,"",SUMIFS(Input_Konektivitas!$D$3:$D$563,Input_Konektivitas!$A$3:$A$563,$A6,Input_Konektivitas!$B$3:$B$563,W$3)+SUMIFS(Input_Konektivitas!$D$3:$D$563,Input_Konektivitas!$A$3:$A$563,W$3,Input_Konektivitas!$B$3:$B$563,$A6))</f>
        <v>4.75</v>
      </c>
      <c r="X6" s="27">
        <f>IF((COUNTIFS(Input_Konektivitas!$A$3:$A$563,$A6,Input_Konektivitas!$B$3:$B$563,X$3,Input_Konektivitas!$D$3:$D$563,"&gt;0")+COUNTIFS(Input_Konektivitas!$A$3:$A$563,X$3,Input_Konektivitas!$B$3:$B$563,$A6,Input_Konektivitas!$D$3:$D$563,"&gt;0"))=0,"",SUMIFS(Input_Konektivitas!$D$3:$D$563,Input_Konektivitas!$A$3:$A$563,$A6,Input_Konektivitas!$B$3:$B$563,X$3)+SUMIFS(Input_Konektivitas!$D$3:$D$563,Input_Konektivitas!$A$3:$A$563,X$3,Input_Konektivitas!$B$3:$B$563,$A6))</f>
        <v>5.38</v>
      </c>
      <c r="Y6" s="27">
        <f>IF((COUNTIFS(Input_Konektivitas!$A$3:$A$563,$A6,Input_Konektivitas!$B$3:$B$563,Y$3,Input_Konektivitas!$D$3:$D$563,"&gt;0")+COUNTIFS(Input_Konektivitas!$A$3:$A$563,Y$3,Input_Konektivitas!$B$3:$B$563,$A6,Input_Konektivitas!$D$3:$D$563,"&gt;0"))=0,"",SUMIFS(Input_Konektivitas!$D$3:$D$563,Input_Konektivitas!$A$3:$A$563,$A6,Input_Konektivitas!$B$3:$B$563,Y$3)+SUMIFS(Input_Konektivitas!$D$3:$D$563,Input_Konektivitas!$A$3:$A$563,Y$3,Input_Konektivitas!$B$3:$B$563,$A6))</f>
        <v>5.25</v>
      </c>
      <c r="Z6" s="27">
        <f>IF((COUNTIFS(Input_Konektivitas!$A$3:$A$563,$A6,Input_Konektivitas!$B$3:$B$563,Z$3,Input_Konektivitas!$D$3:$D$563,"&gt;0")+COUNTIFS(Input_Konektivitas!$A$3:$A$563,Z$3,Input_Konektivitas!$B$3:$B$563,$A6,Input_Konektivitas!$D$3:$D$563,"&gt;0"))=0,"",SUMIFS(Input_Konektivitas!$D$3:$D$563,Input_Konektivitas!$A$3:$A$563,$A6,Input_Konektivitas!$B$3:$B$563,Z$3)+SUMIFS(Input_Konektivitas!$D$3:$D$563,Input_Konektivitas!$A$3:$A$563,Z$3,Input_Konektivitas!$B$3:$B$563,$A6))</f>
        <v>7.5</v>
      </c>
      <c r="AA6" s="27">
        <f>IF((COUNTIFS(Input_Konektivitas!$A$3:$A$563,$A6,Input_Konektivitas!$B$3:$B$563,AA$3,Input_Konektivitas!$D$3:$D$563,"&gt;0")+COUNTIFS(Input_Konektivitas!$A$3:$A$563,AA$3,Input_Konektivitas!$B$3:$B$563,$A6,Input_Konektivitas!$D$3:$D$563,"&gt;0"))=0,"",SUMIFS(Input_Konektivitas!$D$3:$D$563,Input_Konektivitas!$A$3:$A$563,$A6,Input_Konektivitas!$B$3:$B$563,AA$3)+SUMIFS(Input_Konektivitas!$D$3:$D$563,Input_Konektivitas!$A$3:$A$563,AA$3,Input_Konektivitas!$B$3:$B$563,$A6))</f>
        <v>9.67</v>
      </c>
      <c r="AB6" s="27">
        <f>IF((COUNTIFS(Input_Konektivitas!$A$3:$A$563,$A6,Input_Konektivitas!$B$3:$B$563,AB$3,Input_Konektivitas!$D$3:$D$563,"&gt;0")+COUNTIFS(Input_Konektivitas!$A$3:$A$563,AB$3,Input_Konektivitas!$B$3:$B$563,$A6,Input_Konektivitas!$D$3:$D$563,"&gt;0"))=0,"",SUMIFS(Input_Konektivitas!$D$3:$D$563,Input_Konektivitas!$A$3:$A$563,$A6,Input_Konektivitas!$B$3:$B$563,AB$3)+SUMIFS(Input_Konektivitas!$D$3:$D$563,Input_Konektivitas!$A$3:$A$563,AB$3,Input_Konektivitas!$B$3:$B$563,$A6))</f>
        <v>5.42</v>
      </c>
      <c r="AC6" s="27">
        <f>IF((COUNTIFS(Input_Konektivitas!$A$3:$A$563,$A6,Input_Konektivitas!$B$3:$B$563,AC$3,Input_Konektivitas!$D$3:$D$563,"&gt;0")+COUNTIFS(Input_Konektivitas!$A$3:$A$563,AC$3,Input_Konektivitas!$B$3:$B$563,$A6,Input_Konektivitas!$D$3:$D$563,"&gt;0"))=0,"",SUMIFS(Input_Konektivitas!$D$3:$D$563,Input_Konektivitas!$A$3:$A$563,$A6,Input_Konektivitas!$B$3:$B$563,AC$3)+SUMIFS(Input_Konektivitas!$D$3:$D$563,Input_Konektivitas!$A$3:$A$563,AC$3,Input_Konektivitas!$B$3:$B$563,$A6))</f>
        <v>6.75</v>
      </c>
      <c r="AD6" s="27">
        <f>IF((COUNTIFS(Input_Konektivitas!$A$3:$A$563,$A6,Input_Konektivitas!$B$3:$B$563,AD$3,Input_Konektivitas!$D$3:$D$563,"&gt;0")+COUNTIFS(Input_Konektivitas!$A$3:$A$563,AD$3,Input_Konektivitas!$B$3:$B$563,$A6,Input_Konektivitas!$D$3:$D$563,"&gt;0"))=0,"",SUMIFS(Input_Konektivitas!$D$3:$D$563,Input_Konektivitas!$A$3:$A$563,$A6,Input_Konektivitas!$B$3:$B$563,AD$3)+SUMIFS(Input_Konektivitas!$D$3:$D$563,Input_Konektivitas!$A$3:$A$563,AD$3,Input_Konektivitas!$B$3:$B$563,$A6))</f>
        <v>11.33</v>
      </c>
      <c r="AE6" s="27">
        <f>IF((COUNTIFS(Input_Konektivitas!$A$3:$A$563,$A6,Input_Konektivitas!$B$3:$B$563,AE$3,Input_Konektivitas!$D$3:$D$563,"&gt;0")+COUNTIFS(Input_Konektivitas!$A$3:$A$563,AE$3,Input_Konektivitas!$B$3:$B$563,$A6,Input_Konektivitas!$D$3:$D$563,"&gt;0"))=0,"",SUMIFS(Input_Konektivitas!$D$3:$D$563,Input_Konektivitas!$A$3:$A$563,$A6,Input_Konektivitas!$B$3:$B$563,AE$3)+SUMIFS(Input_Konektivitas!$D$3:$D$563,Input_Konektivitas!$A$3:$A$563,AE$3,Input_Konektivitas!$B$3:$B$563,$A6))</f>
        <v>13.35</v>
      </c>
      <c r="AF6" s="27">
        <f>IF((COUNTIFS(Input_Konektivitas!$A$3:$A$563,$A6,Input_Konektivitas!$B$3:$B$563,AF$3,Input_Konektivitas!$D$3:$D$563,"&gt;0")+COUNTIFS(Input_Konektivitas!$A$3:$A$563,AF$3,Input_Konektivitas!$B$3:$B$563,$A6,Input_Konektivitas!$D$3:$D$563,"&gt;0"))=0,"",SUMIFS(Input_Konektivitas!$D$3:$D$563,Input_Konektivitas!$A$3:$A$563,$A6,Input_Konektivitas!$B$3:$B$563,AF$3)+SUMIFS(Input_Konektivitas!$D$3:$D$563,Input_Konektivitas!$A$3:$A$563,AF$3,Input_Konektivitas!$B$3:$B$563,$A6))</f>
        <v>9.5</v>
      </c>
      <c r="AG6" s="27">
        <f>IF((COUNTIFS(Input_Konektivitas!$A$3:$A$563,$A6,Input_Konektivitas!$B$3:$B$563,AG$3,Input_Konektivitas!$D$3:$D$563,"&gt;0")+COUNTIFS(Input_Konektivitas!$A$3:$A$563,AG$3,Input_Konektivitas!$B$3:$B$563,$A6,Input_Konektivitas!$D$3:$D$563,"&gt;0"))=0,"",SUMIFS(Input_Konektivitas!$D$3:$D$563,Input_Konektivitas!$A$3:$A$563,$A6,Input_Konektivitas!$B$3:$B$563,AG$3)+SUMIFS(Input_Konektivitas!$D$3:$D$563,Input_Konektivitas!$A$3:$A$563,AG$3,Input_Konektivitas!$B$3:$B$563,$A6))</f>
        <v>10.5</v>
      </c>
      <c r="AH6" s="27">
        <f>IF((COUNTIFS(Input_Konektivitas!$A$3:$A$563,$A6,Input_Konektivitas!$B$3:$B$563,AH$3,Input_Konektivitas!$D$3:$D$563,"&gt;0")+COUNTIFS(Input_Konektivitas!$A$3:$A$563,AH$3,Input_Konektivitas!$B$3:$B$563,$A6,Input_Konektivitas!$D$3:$D$563,"&gt;0"))=0,"",SUMIFS(Input_Konektivitas!$D$3:$D$563,Input_Konektivitas!$A$3:$A$563,$A6,Input_Konektivitas!$B$3:$B$563,AH$3)+SUMIFS(Input_Konektivitas!$D$3:$D$563,Input_Konektivitas!$A$3:$A$563,AH$3,Input_Konektivitas!$B$3:$B$563,$A6))</f>
        <v>8.92</v>
      </c>
      <c r="AI6" s="27">
        <f>IF((COUNTIFS(Input_Konektivitas!$A$3:$A$563,$A6,Input_Konektivitas!$B$3:$B$563,AI$3,Input_Konektivitas!$D$3:$D$563,"&gt;0")+COUNTIFS(Input_Konektivitas!$A$3:$A$563,AI$3,Input_Konektivitas!$B$3:$B$563,$A6,Input_Konektivitas!$D$3:$D$563,"&gt;0"))=0,"",SUMIFS(Input_Konektivitas!$D$3:$D$563,Input_Konektivitas!$A$3:$A$563,$A6,Input_Konektivitas!$B$3:$B$563,AI$3)+SUMIFS(Input_Konektivitas!$D$3:$D$563,Input_Konektivitas!$A$3:$A$563,AI$3,Input_Konektivitas!$B$3:$B$563,$A6))</f>
        <v>10.42</v>
      </c>
    </row>
    <row r="7" ht="14.25" customHeight="1">
      <c r="A7" s="22" t="s">
        <v>12</v>
      </c>
      <c r="B7" s="27">
        <f>IF((COUNTIFS(Input_Konektivitas!$A$3:$A$563,$A7,Input_Konektivitas!$B$3:$B$563,B$3,Input_Konektivitas!$D$3:$D$563,"&gt;0")+COUNTIFS(Input_Konektivitas!$A$3:$A$563,B$3,Input_Konektivitas!$B$3:$B$563,$A7,Input_Konektivitas!$D$3:$D$563,"&gt;0"))=0,"",SUMIFS(Input_Konektivitas!$D$3:$D$563,Input_Konektivitas!$A$3:$A$563,$A7,Input_Konektivitas!$B$3:$B$563,B$3)+SUMIFS(Input_Konektivitas!$D$3:$D$563,Input_Konektivitas!$A$3:$A$563,B$3,Input_Konektivitas!$B$3:$B$563,$A7))</f>
        <v>3.5</v>
      </c>
      <c r="C7" s="27">
        <f>IF((COUNTIFS(Input_Konektivitas!$A$3:$A$563,$A7,Input_Konektivitas!$B$3:$B$563,C$3,Input_Konektivitas!$D$3:$D$563,"&gt;0")+COUNTIFS(Input_Konektivitas!$A$3:$A$563,C$3,Input_Konektivitas!$B$3:$B$563,$A7,Input_Konektivitas!$D$3:$D$563,"&gt;0"))=0,"",SUMIFS(Input_Konektivitas!$D$3:$D$563,Input_Konektivitas!$A$3:$A$563,$A7,Input_Konektivitas!$B$3:$B$563,C$3)+SUMIFS(Input_Konektivitas!$D$3:$D$563,Input_Konektivitas!$A$3:$A$563,C$3,Input_Konektivitas!$B$3:$B$563,$A7))</f>
        <v>1.1667</v>
      </c>
      <c r="D7" s="27">
        <f>IF((COUNTIFS(Input_Konektivitas!$A$3:$A$563,$A7,Input_Konektivitas!$B$3:$B$563,D$3,Input_Konektivitas!$D$3:$D$563,"&gt;0")+COUNTIFS(Input_Konektivitas!$A$3:$A$563,D$3,Input_Konektivitas!$B$3:$B$563,$A7,Input_Konektivitas!$D$3:$D$563,"&gt;0"))=0,"",SUMIFS(Input_Konektivitas!$D$3:$D$563,Input_Konektivitas!$A$3:$A$563,$A7,Input_Konektivitas!$B$3:$B$563,D$3)+SUMIFS(Input_Konektivitas!$D$3:$D$563,Input_Konektivitas!$A$3:$A$563,D$3,Input_Konektivitas!$B$3:$B$563,$A7))</f>
        <v>11.75</v>
      </c>
      <c r="E7" s="23">
        <v>0.0</v>
      </c>
      <c r="F7" s="27">
        <f>IF((COUNTIFS(Input_Konektivitas!$A$3:$A$563,$A7,Input_Konektivitas!$B$3:$B$563,F$3,Input_Konektivitas!$D$3:$D$563,"&gt;0")+COUNTIFS(Input_Konektivitas!$A$3:$A$563,F$3,Input_Konektivitas!$B$3:$B$563,$A7,Input_Konektivitas!$D$3:$D$563,"&gt;0"))=0,"",SUMIFS(Input_Konektivitas!$D$3:$D$563,Input_Konektivitas!$A$3:$A$563,$A7,Input_Konektivitas!$B$3:$B$563,F$3)+SUMIFS(Input_Konektivitas!$D$3:$D$563,Input_Konektivitas!$A$3:$A$563,F$3,Input_Konektivitas!$B$3:$B$563,$A7))</f>
        <v>4.167</v>
      </c>
      <c r="G7" s="27">
        <f>IF((COUNTIFS(Input_Konektivitas!$A$3:$A$563,$A7,Input_Konektivitas!$B$3:$B$563,G$3,Input_Konektivitas!$D$3:$D$563,"&gt;0")+COUNTIFS(Input_Konektivitas!$A$3:$A$563,G$3,Input_Konektivitas!$B$3:$B$563,$A7,Input_Konektivitas!$D$3:$D$563,"&gt;0"))=0,"",SUMIFS(Input_Konektivitas!$D$3:$D$563,Input_Konektivitas!$A$3:$A$563,$A7,Input_Konektivitas!$B$3:$B$563,G$3)+SUMIFS(Input_Konektivitas!$D$3:$D$563,Input_Konektivitas!$A$3:$A$563,G$3,Input_Konektivitas!$B$3:$B$563,$A7))</f>
        <v>3.58</v>
      </c>
      <c r="H7" s="27">
        <f>IF((COUNTIFS(Input_Konektivitas!$A$3:$A$563,$A7,Input_Konektivitas!$B$3:$B$563,H$3,Input_Konektivitas!$D$3:$D$563,"&gt;0")+COUNTIFS(Input_Konektivitas!$A$3:$A$563,H$3,Input_Konektivitas!$B$3:$B$563,$A7,Input_Konektivitas!$D$3:$D$563,"&gt;0"))=0,"",SUMIFS(Input_Konektivitas!$D$3:$D$563,Input_Konektivitas!$A$3:$A$563,$A7,Input_Konektivitas!$B$3:$B$563,H$3)+SUMIFS(Input_Konektivitas!$D$3:$D$563,Input_Konektivitas!$A$3:$A$563,H$3,Input_Konektivitas!$B$3:$B$563,$A7))</f>
        <v>4.83</v>
      </c>
      <c r="I7" s="27">
        <f>IF((COUNTIFS(Input_Konektivitas!$A$3:$A$563,$A7,Input_Konektivitas!$B$3:$B$563,I$3,Input_Konektivitas!$D$3:$D$563,"&gt;0")+COUNTIFS(Input_Konektivitas!$A$3:$A$563,I$3,Input_Konektivitas!$B$3:$B$563,$A7,Input_Konektivitas!$D$3:$D$563,"&gt;0"))=0,"",SUMIFS(Input_Konektivitas!$D$3:$D$563,Input_Konektivitas!$A$3:$A$563,$A7,Input_Konektivitas!$B$3:$B$563,I$3)+SUMIFS(Input_Konektivitas!$D$3:$D$563,Input_Konektivitas!$A$3:$A$563,I$3,Input_Konektivitas!$B$3:$B$563,$A7))</f>
        <v>3.75</v>
      </c>
      <c r="J7" s="27">
        <f>IF((COUNTIFS(Input_Konektivitas!$A$3:$A$563,$A7,Input_Konektivitas!$B$3:$B$563,J$3,Input_Konektivitas!$D$3:$D$563,"&gt;0")+COUNTIFS(Input_Konektivitas!$A$3:$A$563,J$3,Input_Konektivitas!$B$3:$B$563,$A7,Input_Konektivitas!$D$3:$D$563,"&gt;0"))=0,"",SUMIFS(Input_Konektivitas!$D$3:$D$563,Input_Konektivitas!$A$3:$A$563,$A7,Input_Konektivitas!$B$3:$B$563,J$3)+SUMIFS(Input_Konektivitas!$D$3:$D$563,Input_Konektivitas!$A$3:$A$563,J$3,Input_Konektivitas!$B$3:$B$563,$A7))</f>
        <v>5.5</v>
      </c>
      <c r="K7" s="27">
        <f>IF((COUNTIFS(Input_Konektivitas!$A$3:$A$563,$A7,Input_Konektivitas!$B$3:$B$563,K$3,Input_Konektivitas!$D$3:$D$563,"&gt;0")+COUNTIFS(Input_Konektivitas!$A$3:$A$563,K$3,Input_Konektivitas!$B$3:$B$563,$A7,Input_Konektivitas!$D$3:$D$563,"&gt;0"))=0,"",SUMIFS(Input_Konektivitas!$D$3:$D$563,Input_Konektivitas!$A$3:$A$563,$A7,Input_Konektivitas!$B$3:$B$563,K$3)+SUMIFS(Input_Konektivitas!$D$3:$D$563,Input_Konektivitas!$A$3:$A$563,K$3,Input_Konektivitas!$B$3:$B$563,$A7))</f>
        <v>5.92</v>
      </c>
      <c r="L7" s="27">
        <f>IF((COUNTIFS(Input_Konektivitas!$A$3:$A$563,$A7,Input_Konektivitas!$B$3:$B$563,L$3,Input_Konektivitas!$D$3:$D$563,"&gt;0")+COUNTIFS(Input_Konektivitas!$A$3:$A$563,L$3,Input_Konektivitas!$B$3:$B$563,$A7,Input_Konektivitas!$D$3:$D$563,"&gt;0"))=0,"",SUMIFS(Input_Konektivitas!$D$3:$D$563,Input_Konektivitas!$A$3:$A$563,$A7,Input_Konektivitas!$B$3:$B$563,L$3)+SUMIFS(Input_Konektivitas!$D$3:$D$563,Input_Konektivitas!$A$3:$A$563,L$3,Input_Konektivitas!$B$3:$B$563,$A7))</f>
        <v>1.75</v>
      </c>
      <c r="M7" s="27">
        <f>IF((COUNTIFS(Input_Konektivitas!$A$3:$A$563,$A7,Input_Konektivitas!$B$3:$B$563,M$3,Input_Konektivitas!$D$3:$D$563,"&gt;0")+COUNTIFS(Input_Konektivitas!$A$3:$A$563,M$3,Input_Konektivitas!$B$3:$B$563,$A7,Input_Konektivitas!$D$3:$D$563,"&gt;0"))=0,"",SUMIFS(Input_Konektivitas!$D$3:$D$563,Input_Konektivitas!$A$3:$A$563,$A7,Input_Konektivitas!$B$3:$B$563,M$3)+SUMIFS(Input_Konektivitas!$D$3:$D$563,Input_Konektivitas!$A$3:$A$563,M$3,Input_Konektivitas!$B$3:$B$563,$A7))</f>
        <v>6.33</v>
      </c>
      <c r="N7" s="27">
        <f>IF((COUNTIFS(Input_Konektivitas!$A$3:$A$563,$A7,Input_Konektivitas!$B$3:$B$563,N$3,Input_Konektivitas!$D$3:$D$563,"&gt;0")+COUNTIFS(Input_Konektivitas!$A$3:$A$563,N$3,Input_Konektivitas!$B$3:$B$563,$A7,Input_Konektivitas!$D$3:$D$563,"&gt;0"))=0,"",SUMIFS(Input_Konektivitas!$D$3:$D$563,Input_Konektivitas!$A$3:$A$563,$A7,Input_Konektivitas!$B$3:$B$563,N$3)+SUMIFS(Input_Konektivitas!$D$3:$D$563,Input_Konektivitas!$A$3:$A$563,N$3,Input_Konektivitas!$B$3:$B$563,$A7))</f>
        <v>4.92</v>
      </c>
      <c r="O7" s="27">
        <f>IF((COUNTIFS(Input_Konektivitas!$A$3:$A$563,$A7,Input_Konektivitas!$B$3:$B$563,O$3,Input_Konektivitas!$D$3:$D$563,"&gt;0")+COUNTIFS(Input_Konektivitas!$A$3:$A$563,O$3,Input_Konektivitas!$B$3:$B$563,$A7,Input_Konektivitas!$D$3:$D$563,"&gt;0"))=0,"",SUMIFS(Input_Konektivitas!$D$3:$D$563,Input_Konektivitas!$A$3:$A$563,$A7,Input_Konektivitas!$B$3:$B$563,O$3)+SUMIFS(Input_Konektivitas!$D$3:$D$563,Input_Konektivitas!$A$3:$A$563,O$3,Input_Konektivitas!$B$3:$B$563,$A7))</f>
        <v>5</v>
      </c>
      <c r="P7" s="27">
        <f>IF((COUNTIFS(Input_Konektivitas!$A$3:$A$563,$A7,Input_Konektivitas!$B$3:$B$563,P$3,Input_Konektivitas!$D$3:$D$563,"&gt;0")+COUNTIFS(Input_Konektivitas!$A$3:$A$563,P$3,Input_Konektivitas!$B$3:$B$563,$A7,Input_Konektivitas!$D$3:$D$563,"&gt;0"))=0,"",SUMIFS(Input_Konektivitas!$D$3:$D$563,Input_Konektivitas!$A$3:$A$563,$A7,Input_Konektivitas!$B$3:$B$563,P$3)+SUMIFS(Input_Konektivitas!$D$3:$D$563,Input_Konektivitas!$A$3:$A$563,P$3,Input_Konektivitas!$B$3:$B$563,$A7))</f>
        <v>6.25</v>
      </c>
      <c r="Q7" s="27" t="str">
        <f>IF((COUNTIFS(Input_Konektivitas!$A$3:$A$563,$A7,Input_Konektivitas!$B$3:$B$563,Q$3,Input_Konektivitas!$D$3:$D$563,"&gt;0")+COUNTIFS(Input_Konektivitas!$A$3:$A$563,Q$3,Input_Konektivitas!$B$3:$B$563,$A7,Input_Konektivitas!$D$3:$D$563,"&gt;0"))=0,"",SUMIFS(Input_Konektivitas!$D$3:$D$563,Input_Konektivitas!$A$3:$A$563,$A7,Input_Konektivitas!$B$3:$B$563,Q$3)+SUMIFS(Input_Konektivitas!$D$3:$D$563,Input_Konektivitas!$A$3:$A$563,Q$3,Input_Konektivitas!$B$3:$B$563,$A7))</f>
        <v/>
      </c>
      <c r="R7" s="27">
        <f>IF((COUNTIFS(Input_Konektivitas!$A$3:$A$563,$A7,Input_Konektivitas!$B$3:$B$563,R$3,Input_Konektivitas!$D$3:$D$563,"&gt;0")+COUNTIFS(Input_Konektivitas!$A$3:$A$563,R$3,Input_Konektivitas!$B$3:$B$563,$A7,Input_Konektivitas!$D$3:$D$563,"&gt;0"))=0,"",SUMIFS(Input_Konektivitas!$D$3:$D$563,Input_Konektivitas!$A$3:$A$563,$A7,Input_Konektivitas!$B$3:$B$563,R$3)+SUMIFS(Input_Konektivitas!$D$3:$D$563,Input_Konektivitas!$A$3:$A$563,R$3,Input_Konektivitas!$B$3:$B$563,$A7))</f>
        <v>4.67</v>
      </c>
      <c r="S7" s="27">
        <f>IF((COUNTIFS(Input_Konektivitas!$A$3:$A$563,$A7,Input_Konektivitas!$B$3:$B$563,S$3,Input_Konektivitas!$D$3:$D$563,"&gt;0")+COUNTIFS(Input_Konektivitas!$A$3:$A$563,S$3,Input_Konektivitas!$B$3:$B$563,$A7,Input_Konektivitas!$D$3:$D$563,"&gt;0"))=0,"",SUMIFS(Input_Konektivitas!$D$3:$D$563,Input_Konektivitas!$A$3:$A$563,$A7,Input_Konektivitas!$B$3:$B$563,S$3)+SUMIFS(Input_Konektivitas!$D$3:$D$563,Input_Konektivitas!$A$3:$A$563,S$3,Input_Konektivitas!$B$3:$B$563,$A7))</f>
        <v>4.83</v>
      </c>
      <c r="T7" s="27">
        <f>IF((COUNTIFS(Input_Konektivitas!$A$3:$A$563,$A7,Input_Konektivitas!$B$3:$B$563,T$3,Input_Konektivitas!$D$3:$D$563,"&gt;0")+COUNTIFS(Input_Konektivitas!$A$3:$A$563,T$3,Input_Konektivitas!$B$3:$B$563,$A7,Input_Konektivitas!$D$3:$D$563,"&gt;0"))=0,"",SUMIFS(Input_Konektivitas!$D$3:$D$563,Input_Konektivitas!$A$3:$A$563,$A7,Input_Konektivitas!$B$3:$B$563,T$3)+SUMIFS(Input_Konektivitas!$D$3:$D$563,Input_Konektivitas!$A$3:$A$563,T$3,Input_Konektivitas!$B$3:$B$563,$A7))</f>
        <v>7.08</v>
      </c>
      <c r="U7" s="27">
        <f>IF((COUNTIFS(Input_Konektivitas!$A$3:$A$563,$A7,Input_Konektivitas!$B$3:$B$563,U$3,Input_Konektivitas!$D$3:$D$563,"&gt;0")+COUNTIFS(Input_Konektivitas!$A$3:$A$563,U$3,Input_Konektivitas!$B$3:$B$563,$A7,Input_Konektivitas!$D$3:$D$563,"&gt;0"))=0,"",SUMIFS(Input_Konektivitas!$D$3:$D$563,Input_Konektivitas!$A$3:$A$563,$A7,Input_Konektivitas!$B$3:$B$563,U$3)+SUMIFS(Input_Konektivitas!$D$3:$D$563,Input_Konektivitas!$A$3:$A$563,U$3,Input_Konektivitas!$B$3:$B$563,$A7))</f>
        <v>4.83</v>
      </c>
      <c r="V7" s="27">
        <f>IF((COUNTIFS(Input_Konektivitas!$A$3:$A$563,$A7,Input_Konektivitas!$B$3:$B$563,V$3,Input_Konektivitas!$D$3:$D$563,"&gt;0")+COUNTIFS(Input_Konektivitas!$A$3:$A$563,V$3,Input_Konektivitas!$B$3:$B$563,$A7,Input_Konektivitas!$D$3:$D$563,"&gt;0"))=0,"",SUMIFS(Input_Konektivitas!$D$3:$D$563,Input_Konektivitas!$A$3:$A$563,$A7,Input_Konektivitas!$B$3:$B$563,V$3)+SUMIFS(Input_Konektivitas!$D$3:$D$563,Input_Konektivitas!$A$3:$A$563,V$3,Input_Konektivitas!$B$3:$B$563,$A7))</f>
        <v>5.58</v>
      </c>
      <c r="W7" s="27">
        <f>IF((COUNTIFS(Input_Konektivitas!$A$3:$A$563,$A7,Input_Konektivitas!$B$3:$B$563,W$3,Input_Konektivitas!$D$3:$D$563,"&gt;0")+COUNTIFS(Input_Konektivitas!$A$3:$A$563,W$3,Input_Konektivitas!$B$3:$B$563,$A7,Input_Konektivitas!$D$3:$D$563,"&gt;0"))=0,"",SUMIFS(Input_Konektivitas!$D$3:$D$563,Input_Konektivitas!$A$3:$A$563,$A7,Input_Konektivitas!$B$3:$B$563,W$3)+SUMIFS(Input_Konektivitas!$D$3:$D$563,Input_Konektivitas!$A$3:$A$563,W$3,Input_Konektivitas!$B$3:$B$563,$A7))</f>
        <v>5.33</v>
      </c>
      <c r="X7" s="27">
        <f>IF((COUNTIFS(Input_Konektivitas!$A$3:$A$563,$A7,Input_Konektivitas!$B$3:$B$563,X$3,Input_Konektivitas!$D$3:$D$563,"&gt;0")+COUNTIFS(Input_Konektivitas!$A$3:$A$563,X$3,Input_Konektivitas!$B$3:$B$563,$A7,Input_Konektivitas!$D$3:$D$563,"&gt;0"))=0,"",SUMIFS(Input_Konektivitas!$D$3:$D$563,Input_Konektivitas!$A$3:$A$563,$A7,Input_Konektivitas!$B$3:$B$563,X$3)+SUMIFS(Input_Konektivitas!$D$3:$D$563,Input_Konektivitas!$A$3:$A$563,X$3,Input_Konektivitas!$B$3:$B$563,$A7))</f>
        <v>5.33</v>
      </c>
      <c r="Y7" s="27">
        <f>IF((COUNTIFS(Input_Konektivitas!$A$3:$A$563,$A7,Input_Konektivitas!$B$3:$B$563,Y$3,Input_Konektivitas!$D$3:$D$563,"&gt;0")+COUNTIFS(Input_Konektivitas!$A$3:$A$563,Y$3,Input_Konektivitas!$B$3:$B$563,$A7,Input_Konektivitas!$D$3:$D$563,"&gt;0"))=0,"",SUMIFS(Input_Konektivitas!$D$3:$D$563,Input_Konektivitas!$A$3:$A$563,$A7,Input_Konektivitas!$B$3:$B$563,Y$3)+SUMIFS(Input_Konektivitas!$D$3:$D$563,Input_Konektivitas!$A$3:$A$563,Y$3,Input_Konektivitas!$B$3:$B$563,$A7))</f>
        <v>6.75</v>
      </c>
      <c r="Z7" s="27">
        <f>IF((COUNTIFS(Input_Konektivitas!$A$3:$A$563,$A7,Input_Konektivitas!$B$3:$B$563,Z$3,Input_Konektivitas!$D$3:$D$563,"&gt;0")+COUNTIFS(Input_Konektivitas!$A$3:$A$563,Z$3,Input_Konektivitas!$B$3:$B$563,$A7,Input_Konektivitas!$D$3:$D$563,"&gt;0"))=0,"",SUMIFS(Input_Konektivitas!$D$3:$D$563,Input_Konektivitas!$A$3:$A$563,$A7,Input_Konektivitas!$B$3:$B$563,Z$3)+SUMIFS(Input_Konektivitas!$D$3:$D$563,Input_Konektivitas!$A$3:$A$563,Z$3,Input_Konektivitas!$B$3:$B$563,$A7))</f>
        <v>7.25</v>
      </c>
      <c r="AA7" s="27">
        <f>IF((COUNTIFS(Input_Konektivitas!$A$3:$A$563,$A7,Input_Konektivitas!$B$3:$B$563,AA$3,Input_Konektivitas!$D$3:$D$563,"&gt;0")+COUNTIFS(Input_Konektivitas!$A$3:$A$563,AA$3,Input_Konektivitas!$B$3:$B$563,$A7,Input_Konektivitas!$D$3:$D$563,"&gt;0"))=0,"",SUMIFS(Input_Konektivitas!$D$3:$D$563,Input_Konektivitas!$A$3:$A$563,$A7,Input_Konektivitas!$B$3:$B$563,AA$3)+SUMIFS(Input_Konektivitas!$D$3:$D$563,Input_Konektivitas!$A$3:$A$563,AA$3,Input_Konektivitas!$B$3:$B$563,$A7))</f>
        <v>7.83</v>
      </c>
      <c r="AB7" s="27">
        <f>IF((COUNTIFS(Input_Konektivitas!$A$3:$A$563,$A7,Input_Konektivitas!$B$3:$B$563,AB$3,Input_Konektivitas!$D$3:$D$563,"&gt;0")+COUNTIFS(Input_Konektivitas!$A$3:$A$563,AB$3,Input_Konektivitas!$B$3:$B$563,$A7,Input_Konektivitas!$D$3:$D$563,"&gt;0"))=0,"",SUMIFS(Input_Konektivitas!$D$3:$D$563,Input_Konektivitas!$A$3:$A$563,$A7,Input_Konektivitas!$B$3:$B$563,AB$3)+SUMIFS(Input_Konektivitas!$D$3:$D$563,Input_Konektivitas!$A$3:$A$563,AB$3,Input_Konektivitas!$B$3:$B$563,$A7))</f>
        <v>5.167</v>
      </c>
      <c r="AC7" s="27">
        <f>IF((COUNTIFS(Input_Konektivitas!$A$3:$A$563,$A7,Input_Konektivitas!$B$3:$B$563,AC$3,Input_Konektivitas!$D$3:$D$563,"&gt;0")+COUNTIFS(Input_Konektivitas!$A$3:$A$563,AC$3,Input_Konektivitas!$B$3:$B$563,$A7,Input_Konektivitas!$D$3:$D$563,"&gt;0"))=0,"",SUMIFS(Input_Konektivitas!$D$3:$D$563,Input_Konektivitas!$A$3:$A$563,$A7,Input_Konektivitas!$B$3:$B$563,AC$3)+SUMIFS(Input_Konektivitas!$D$3:$D$563,Input_Konektivitas!$A$3:$A$563,AC$3,Input_Konektivitas!$B$3:$B$563,$A7))</f>
        <v>7.67</v>
      </c>
      <c r="AD7" s="27">
        <f>IF((COUNTIFS(Input_Konektivitas!$A$3:$A$563,$A7,Input_Konektivitas!$B$3:$B$563,AD$3,Input_Konektivitas!$D$3:$D$563,"&gt;0")+COUNTIFS(Input_Konektivitas!$A$3:$A$563,AD$3,Input_Konektivitas!$B$3:$B$563,$A7,Input_Konektivitas!$D$3:$D$563,"&gt;0"))=0,"",SUMIFS(Input_Konektivitas!$D$3:$D$563,Input_Konektivitas!$A$3:$A$563,$A7,Input_Konektivitas!$B$3:$B$563,AD$3)+SUMIFS(Input_Konektivitas!$D$3:$D$563,Input_Konektivitas!$A$3:$A$563,AD$3,Input_Konektivitas!$B$3:$B$563,$A7))</f>
        <v>11.83</v>
      </c>
      <c r="AE7" s="27">
        <f>IF((COUNTIFS(Input_Konektivitas!$A$3:$A$563,$A7,Input_Konektivitas!$B$3:$B$563,AE$3,Input_Konektivitas!$D$3:$D$563,"&gt;0")+COUNTIFS(Input_Konektivitas!$A$3:$A$563,AE$3,Input_Konektivitas!$B$3:$B$563,$A7,Input_Konektivitas!$D$3:$D$563,"&gt;0"))=0,"",SUMIFS(Input_Konektivitas!$D$3:$D$563,Input_Konektivitas!$A$3:$A$563,$A7,Input_Konektivitas!$B$3:$B$563,AE$3)+SUMIFS(Input_Konektivitas!$D$3:$D$563,Input_Konektivitas!$A$3:$A$563,AE$3,Input_Konektivitas!$B$3:$B$563,$A7))</f>
        <v>8.667</v>
      </c>
      <c r="AF7" s="27">
        <f>IF((COUNTIFS(Input_Konektivitas!$A$3:$A$563,$A7,Input_Konektivitas!$B$3:$B$563,AF$3,Input_Konektivitas!$D$3:$D$563,"&gt;0")+COUNTIFS(Input_Konektivitas!$A$3:$A$563,AF$3,Input_Konektivitas!$B$3:$B$563,$A7,Input_Konektivitas!$D$3:$D$563,"&gt;0"))=0,"",SUMIFS(Input_Konektivitas!$D$3:$D$563,Input_Konektivitas!$A$3:$A$563,$A7,Input_Konektivitas!$B$3:$B$563,AF$3)+SUMIFS(Input_Konektivitas!$D$3:$D$563,Input_Konektivitas!$A$3:$A$563,AF$3,Input_Konektivitas!$B$3:$B$563,$A7))</f>
        <v>12.75</v>
      </c>
      <c r="AG7" s="27">
        <f>IF((COUNTIFS(Input_Konektivitas!$A$3:$A$563,$A7,Input_Konektivitas!$B$3:$B$563,AG$3,Input_Konektivitas!$D$3:$D$563,"&gt;0")+COUNTIFS(Input_Konektivitas!$A$3:$A$563,AG$3,Input_Konektivitas!$B$3:$B$563,$A7,Input_Konektivitas!$D$3:$D$563,"&gt;0"))=0,"",SUMIFS(Input_Konektivitas!$D$3:$D$563,Input_Konektivitas!$A$3:$A$563,$A7,Input_Konektivitas!$B$3:$B$563,AG$3)+SUMIFS(Input_Konektivitas!$D$3:$D$563,Input_Konektivitas!$A$3:$A$563,AG$3,Input_Konektivitas!$B$3:$B$563,$A7))</f>
        <v>11</v>
      </c>
      <c r="AH7" s="27">
        <f>IF((COUNTIFS(Input_Konektivitas!$A$3:$A$563,$A7,Input_Konektivitas!$B$3:$B$563,AH$3,Input_Konektivitas!$D$3:$D$563,"&gt;0")+COUNTIFS(Input_Konektivitas!$A$3:$A$563,AH$3,Input_Konektivitas!$B$3:$B$563,$A7,Input_Konektivitas!$D$3:$D$563,"&gt;0"))=0,"",SUMIFS(Input_Konektivitas!$D$3:$D$563,Input_Konektivitas!$A$3:$A$563,$A7,Input_Konektivitas!$B$3:$B$563,AH$3)+SUMIFS(Input_Konektivitas!$D$3:$D$563,Input_Konektivitas!$A$3:$A$563,AH$3,Input_Konektivitas!$B$3:$B$563,$A7))</f>
        <v>10.58</v>
      </c>
      <c r="AI7" s="27">
        <f>IF((COUNTIFS(Input_Konektivitas!$A$3:$A$563,$A7,Input_Konektivitas!$B$3:$B$563,AI$3,Input_Konektivitas!$D$3:$D$563,"&gt;0")+COUNTIFS(Input_Konektivitas!$A$3:$A$563,AI$3,Input_Konektivitas!$B$3:$B$563,$A7,Input_Konektivitas!$D$3:$D$563,"&gt;0"))=0,"",SUMIFS(Input_Konektivitas!$D$3:$D$563,Input_Konektivitas!$A$3:$A$563,$A7,Input_Konektivitas!$B$3:$B$563,AI$3)+SUMIFS(Input_Konektivitas!$D$3:$D$563,Input_Konektivitas!$A$3:$A$563,AI$3,Input_Konektivitas!$B$3:$B$563,$A7))</f>
        <v>10.83</v>
      </c>
    </row>
    <row r="8" ht="14.25" customHeight="1">
      <c r="A8" s="22" t="s">
        <v>15</v>
      </c>
      <c r="B8" s="27">
        <f>IF((COUNTIFS(Input_Konektivitas!$A$3:$A$563,$A8,Input_Konektivitas!$B$3:$B$563,B$3,Input_Konektivitas!$D$3:$D$563,"&gt;0")+COUNTIFS(Input_Konektivitas!$A$3:$A$563,B$3,Input_Konektivitas!$B$3:$B$563,$A8,Input_Konektivitas!$D$3:$D$563,"&gt;0"))=0,"",SUMIFS(Input_Konektivitas!$D$3:$D$563,Input_Konektivitas!$A$3:$A$563,$A8,Input_Konektivitas!$B$3:$B$563,B$3)+SUMIFS(Input_Konektivitas!$D$3:$D$563,Input_Konektivitas!$A$3:$A$563,B$3,Input_Konektivitas!$B$3:$B$563,$A8))</f>
        <v>6.5</v>
      </c>
      <c r="C8" s="27">
        <f>IF((COUNTIFS(Input_Konektivitas!$A$3:$A$563,$A8,Input_Konektivitas!$B$3:$B$563,C$3,Input_Konektivitas!$D$3:$D$563,"&gt;0")+COUNTIFS(Input_Konektivitas!$A$3:$A$563,C$3,Input_Konektivitas!$B$3:$B$563,$A8,Input_Konektivitas!$D$3:$D$563,"&gt;0"))=0,"",SUMIFS(Input_Konektivitas!$D$3:$D$563,Input_Konektivitas!$A$3:$A$563,$A8,Input_Konektivitas!$B$3:$B$563,C$3)+SUMIFS(Input_Konektivitas!$D$3:$D$563,Input_Konektivitas!$A$3:$A$563,C$3,Input_Konektivitas!$B$3:$B$563,$A8))</f>
        <v>4.42</v>
      </c>
      <c r="D8" s="27">
        <f>IF((COUNTIFS(Input_Konektivitas!$A$3:$A$563,$A8,Input_Konektivitas!$B$3:$B$563,D$3,Input_Konektivitas!$D$3:$D$563,"&gt;0")+COUNTIFS(Input_Konektivitas!$A$3:$A$563,D$3,Input_Konektivitas!$B$3:$B$563,$A8,Input_Konektivitas!$D$3:$D$563,"&gt;0"))=0,"",SUMIFS(Input_Konektivitas!$D$3:$D$563,Input_Konektivitas!$A$3:$A$563,$A8,Input_Konektivitas!$B$3:$B$563,D$3)+SUMIFS(Input_Konektivitas!$D$3:$D$563,Input_Konektivitas!$A$3:$A$563,D$3,Input_Konektivitas!$B$3:$B$563,$A8))</f>
        <v>4.42</v>
      </c>
      <c r="E8" s="27">
        <f>IF((COUNTIFS(Input_Konektivitas!$A$3:$A$563,$A8,Input_Konektivitas!$B$3:$B$563,E$3,Input_Konektivitas!$D$3:$D$563,"&gt;0")+COUNTIFS(Input_Konektivitas!$A$3:$A$563,E$3,Input_Konektivitas!$B$3:$B$563,$A8,Input_Konektivitas!$D$3:$D$563,"&gt;0"))=0,"",SUMIFS(Input_Konektivitas!$D$3:$D$563,Input_Konektivitas!$A$3:$A$563,$A8,Input_Konektivitas!$B$3:$B$563,E$3)+SUMIFS(Input_Konektivitas!$D$3:$D$563,Input_Konektivitas!$A$3:$A$563,E$3,Input_Konektivitas!$B$3:$B$563,$A8))</f>
        <v>4.167</v>
      </c>
      <c r="F8" s="23">
        <v>0.0</v>
      </c>
      <c r="G8" s="27">
        <f>IF((COUNTIFS(Input_Konektivitas!$A$3:$A$563,$A8,Input_Konektivitas!$B$3:$B$563,G$3,Input_Konektivitas!$D$3:$D$563,"&gt;0")+COUNTIFS(Input_Konektivitas!$A$3:$A$563,G$3,Input_Konektivitas!$B$3:$B$563,$A8,Input_Konektivitas!$D$3:$D$563,"&gt;0"))=0,"",SUMIFS(Input_Konektivitas!$D$3:$D$563,Input_Konektivitas!$A$3:$A$563,$A8,Input_Konektivitas!$B$3:$B$563,G$3)+SUMIFS(Input_Konektivitas!$D$3:$D$563,Input_Konektivitas!$A$3:$A$563,G$3,Input_Konektivitas!$B$3:$B$563,$A8))</f>
        <v>3.83</v>
      </c>
      <c r="H8" s="27">
        <f>IF((COUNTIFS(Input_Konektivitas!$A$3:$A$563,$A8,Input_Konektivitas!$B$3:$B$563,H$3,Input_Konektivitas!$D$3:$D$563,"&gt;0")+COUNTIFS(Input_Konektivitas!$A$3:$A$563,H$3,Input_Konektivitas!$B$3:$B$563,$A8,Input_Konektivitas!$D$3:$D$563,"&gt;0"))=0,"",SUMIFS(Input_Konektivitas!$D$3:$D$563,Input_Konektivitas!$A$3:$A$563,$A8,Input_Konektivitas!$B$3:$B$563,H$3)+SUMIFS(Input_Konektivitas!$D$3:$D$563,Input_Konektivitas!$A$3:$A$563,H$3,Input_Konektivitas!$B$3:$B$563,$A8))</f>
        <v>5</v>
      </c>
      <c r="I8" s="27">
        <f>IF((COUNTIFS(Input_Konektivitas!$A$3:$A$563,$A8,Input_Konektivitas!$B$3:$B$563,I$3,Input_Konektivitas!$D$3:$D$563,"&gt;0")+COUNTIFS(Input_Konektivitas!$A$3:$A$563,I$3,Input_Konektivitas!$B$3:$B$563,$A8,Input_Konektivitas!$D$3:$D$563,"&gt;0"))=0,"",SUMIFS(Input_Konektivitas!$D$3:$D$563,Input_Konektivitas!$A$3:$A$563,$A8,Input_Konektivitas!$B$3:$B$563,I$3)+SUMIFS(Input_Konektivitas!$D$3:$D$563,Input_Konektivitas!$A$3:$A$563,I$3,Input_Konektivitas!$B$3:$B$563,$A8))</f>
        <v>3.75</v>
      </c>
      <c r="J8" s="27">
        <f>IF((COUNTIFS(Input_Konektivitas!$A$3:$A$563,$A8,Input_Konektivitas!$B$3:$B$563,J$3,Input_Konektivitas!$D$3:$D$563,"&gt;0")+COUNTIFS(Input_Konektivitas!$A$3:$A$563,J$3,Input_Konektivitas!$B$3:$B$563,$A8,Input_Konektivitas!$D$3:$D$563,"&gt;0"))=0,"",SUMIFS(Input_Konektivitas!$D$3:$D$563,Input_Konektivitas!$A$3:$A$563,$A8,Input_Konektivitas!$B$3:$B$563,J$3)+SUMIFS(Input_Konektivitas!$D$3:$D$563,Input_Konektivitas!$A$3:$A$563,J$3,Input_Konektivitas!$B$3:$B$563,$A8))</f>
        <v>4</v>
      </c>
      <c r="K8" s="27">
        <f>IF((COUNTIFS(Input_Konektivitas!$A$3:$A$563,$A8,Input_Konektivitas!$B$3:$B$563,K$3,Input_Konektivitas!$D$3:$D$563,"&gt;0")+COUNTIFS(Input_Konektivitas!$A$3:$A$563,K$3,Input_Konektivitas!$B$3:$B$563,$A8,Input_Konektivitas!$D$3:$D$563,"&gt;0"))=0,"",SUMIFS(Input_Konektivitas!$D$3:$D$563,Input_Konektivitas!$A$3:$A$563,$A8,Input_Konektivitas!$B$3:$B$563,K$3)+SUMIFS(Input_Konektivitas!$D$3:$D$563,Input_Konektivitas!$A$3:$A$563,K$3,Input_Konektivitas!$B$3:$B$563,$A8))</f>
        <v>5</v>
      </c>
      <c r="L8" s="27">
        <f>IF((COUNTIFS(Input_Konektivitas!$A$3:$A$563,$A8,Input_Konektivitas!$B$3:$B$563,L$3,Input_Konektivitas!$D$3:$D$563,"&gt;0")+COUNTIFS(Input_Konektivitas!$A$3:$A$563,L$3,Input_Konektivitas!$B$3:$B$563,$A8,Input_Konektivitas!$D$3:$D$563,"&gt;0"))=0,"",SUMIFS(Input_Konektivitas!$D$3:$D$563,Input_Konektivitas!$A$3:$A$563,$A8,Input_Konektivitas!$B$3:$B$563,L$3)+SUMIFS(Input_Konektivitas!$D$3:$D$563,Input_Konektivitas!$A$3:$A$563,L$3,Input_Konektivitas!$B$3:$B$563,$A8))</f>
        <v>1.33</v>
      </c>
      <c r="M8" s="27" t="str">
        <f>IF((COUNTIFS(Input_Konektivitas!$A$3:$A$563,$A8,Input_Konektivitas!$B$3:$B$563,M$3,Input_Konektivitas!$D$3:$D$563,"&gt;0")+COUNTIFS(Input_Konektivitas!$A$3:$A$563,M$3,Input_Konektivitas!$B$3:$B$563,$A8,Input_Konektivitas!$D$3:$D$563,"&gt;0"))=0,"",SUMIFS(Input_Konektivitas!$D$3:$D$563,Input_Konektivitas!$A$3:$A$563,$A8,Input_Konektivitas!$B$3:$B$563,M$3)+SUMIFS(Input_Konektivitas!$D$3:$D$563,Input_Konektivitas!$A$3:$A$563,M$3,Input_Konektivitas!$B$3:$B$563,$A8))</f>
        <v/>
      </c>
      <c r="N8" s="27">
        <f>IF((COUNTIFS(Input_Konektivitas!$A$3:$A$563,$A8,Input_Konektivitas!$B$3:$B$563,N$3,Input_Konektivitas!$D$3:$D$563,"&gt;0")+COUNTIFS(Input_Konektivitas!$A$3:$A$563,N$3,Input_Konektivitas!$B$3:$B$563,$A8,Input_Konektivitas!$D$3:$D$563,"&gt;0"))=0,"",SUMIFS(Input_Konektivitas!$D$3:$D$563,Input_Konektivitas!$A$3:$A$563,$A8,Input_Konektivitas!$B$3:$B$563,N$3)+SUMIFS(Input_Konektivitas!$D$3:$D$563,Input_Konektivitas!$A$3:$A$563,N$3,Input_Konektivitas!$B$3:$B$563,$A8))</f>
        <v>3.167</v>
      </c>
      <c r="O8" s="27">
        <f>IF((COUNTIFS(Input_Konektivitas!$A$3:$A$563,$A8,Input_Konektivitas!$B$3:$B$563,O$3,Input_Konektivitas!$D$3:$D$563,"&gt;0")+COUNTIFS(Input_Konektivitas!$A$3:$A$563,O$3,Input_Konektivitas!$B$3:$B$563,$A8,Input_Konektivitas!$D$3:$D$563,"&gt;0"))=0,"",SUMIFS(Input_Konektivitas!$D$3:$D$563,Input_Konektivitas!$A$3:$A$563,$A8,Input_Konektivitas!$B$3:$B$563,O$3)+SUMIFS(Input_Konektivitas!$D$3:$D$563,Input_Konektivitas!$A$3:$A$563,O$3,Input_Konektivitas!$B$3:$B$563,$A8))</f>
        <v>4.83</v>
      </c>
      <c r="P8" s="27">
        <f>IF((COUNTIFS(Input_Konektivitas!$A$3:$A$563,$A8,Input_Konektivitas!$B$3:$B$563,P$3,Input_Konektivitas!$D$3:$D$563,"&gt;0")+COUNTIFS(Input_Konektivitas!$A$3:$A$563,P$3,Input_Konektivitas!$B$3:$B$563,$A8,Input_Konektivitas!$D$3:$D$563,"&gt;0"))=0,"",SUMIFS(Input_Konektivitas!$D$3:$D$563,Input_Konektivitas!$A$3:$A$563,$A8,Input_Konektivitas!$B$3:$B$563,P$3)+SUMIFS(Input_Konektivitas!$D$3:$D$563,Input_Konektivitas!$A$3:$A$563,P$3,Input_Konektivitas!$B$3:$B$563,$A8))</f>
        <v>3.75</v>
      </c>
      <c r="Q8" s="27" t="str">
        <f>IF((COUNTIFS(Input_Konektivitas!$A$3:$A$563,$A8,Input_Konektivitas!$B$3:$B$563,Q$3,Input_Konektivitas!$D$3:$D$563,"&gt;0")+COUNTIFS(Input_Konektivitas!$A$3:$A$563,Q$3,Input_Konektivitas!$B$3:$B$563,$A8,Input_Konektivitas!$D$3:$D$563,"&gt;0"))=0,"",SUMIFS(Input_Konektivitas!$D$3:$D$563,Input_Konektivitas!$A$3:$A$563,$A8,Input_Konektivitas!$B$3:$B$563,Q$3)+SUMIFS(Input_Konektivitas!$D$3:$D$563,Input_Konektivitas!$A$3:$A$563,Q$3,Input_Konektivitas!$B$3:$B$563,$A8))</f>
        <v/>
      </c>
      <c r="R8" s="27">
        <f>IF((COUNTIFS(Input_Konektivitas!$A$3:$A$563,$A8,Input_Konektivitas!$B$3:$B$563,R$3,Input_Konektivitas!$D$3:$D$563,"&gt;0")+COUNTIFS(Input_Konektivitas!$A$3:$A$563,R$3,Input_Konektivitas!$B$3:$B$563,$A8,Input_Konektivitas!$D$3:$D$563,"&gt;0"))=0,"",SUMIFS(Input_Konektivitas!$D$3:$D$563,Input_Konektivitas!$A$3:$A$563,$A8,Input_Konektivitas!$B$3:$B$563,R$3)+SUMIFS(Input_Konektivitas!$D$3:$D$563,Input_Konektivitas!$A$3:$A$563,R$3,Input_Konektivitas!$B$3:$B$563,$A8))</f>
        <v>3.45</v>
      </c>
      <c r="S8" s="27">
        <f>IF((COUNTIFS(Input_Konektivitas!$A$3:$A$563,$A8,Input_Konektivitas!$B$3:$B$563,S$3,Input_Konektivitas!$D$3:$D$563,"&gt;0")+COUNTIFS(Input_Konektivitas!$A$3:$A$563,S$3,Input_Konektivitas!$B$3:$B$563,$A8,Input_Konektivitas!$D$3:$D$563,"&gt;0"))=0,"",SUMIFS(Input_Konektivitas!$D$3:$D$563,Input_Konektivitas!$A$3:$A$563,$A8,Input_Konektivitas!$B$3:$B$563,S$3)+SUMIFS(Input_Konektivitas!$D$3:$D$563,Input_Konektivitas!$A$3:$A$563,S$3,Input_Konektivitas!$B$3:$B$563,$A8))</f>
        <v>4.5</v>
      </c>
      <c r="T8" s="27">
        <f>IF((COUNTIFS(Input_Konektivitas!$A$3:$A$563,$A8,Input_Konektivitas!$B$3:$B$563,T$3,Input_Konektivitas!$D$3:$D$563,"&gt;0")+COUNTIFS(Input_Konektivitas!$A$3:$A$563,T$3,Input_Konektivitas!$B$3:$B$563,$A8,Input_Konektivitas!$D$3:$D$563,"&gt;0"))=0,"",SUMIFS(Input_Konektivitas!$D$3:$D$563,Input_Konektivitas!$A$3:$A$563,$A8,Input_Konektivitas!$B$3:$B$563,T$3)+SUMIFS(Input_Konektivitas!$D$3:$D$563,Input_Konektivitas!$A$3:$A$563,T$3,Input_Konektivitas!$B$3:$B$563,$A8))</f>
        <v>7.17</v>
      </c>
      <c r="U8" s="27">
        <f>IF((COUNTIFS(Input_Konektivitas!$A$3:$A$563,$A8,Input_Konektivitas!$B$3:$B$563,U$3,Input_Konektivitas!$D$3:$D$563,"&gt;0")+COUNTIFS(Input_Konektivitas!$A$3:$A$563,U$3,Input_Konektivitas!$B$3:$B$563,$A8,Input_Konektivitas!$D$3:$D$563,"&gt;0"))=0,"",SUMIFS(Input_Konektivitas!$D$3:$D$563,Input_Konektivitas!$A$3:$A$563,$A8,Input_Konektivitas!$B$3:$B$563,U$3)+SUMIFS(Input_Konektivitas!$D$3:$D$563,Input_Konektivitas!$A$3:$A$563,U$3,Input_Konektivitas!$B$3:$B$563,$A8))</f>
        <v>3.92</v>
      </c>
      <c r="V8" s="27">
        <f>IF((COUNTIFS(Input_Konektivitas!$A$3:$A$563,$A8,Input_Konektivitas!$B$3:$B$563,V$3,Input_Konektivitas!$D$3:$D$563,"&gt;0")+COUNTIFS(Input_Konektivitas!$A$3:$A$563,V$3,Input_Konektivitas!$B$3:$B$563,$A8,Input_Konektivitas!$D$3:$D$563,"&gt;0"))=0,"",SUMIFS(Input_Konektivitas!$D$3:$D$563,Input_Konektivitas!$A$3:$A$563,$A8,Input_Konektivitas!$B$3:$B$563,V$3)+SUMIFS(Input_Konektivitas!$D$3:$D$563,Input_Konektivitas!$A$3:$A$563,V$3,Input_Konektivitas!$B$3:$B$563,$A8))</f>
        <v>5.08</v>
      </c>
      <c r="W8" s="27">
        <f>IF((COUNTIFS(Input_Konektivitas!$A$3:$A$563,$A8,Input_Konektivitas!$B$3:$B$563,W$3,Input_Konektivitas!$D$3:$D$563,"&gt;0")+COUNTIFS(Input_Konektivitas!$A$3:$A$563,W$3,Input_Konektivitas!$B$3:$B$563,$A8,Input_Konektivitas!$D$3:$D$563,"&gt;0"))=0,"",SUMIFS(Input_Konektivitas!$D$3:$D$563,Input_Konektivitas!$A$3:$A$563,$A8,Input_Konektivitas!$B$3:$B$563,W$3)+SUMIFS(Input_Konektivitas!$D$3:$D$563,Input_Konektivitas!$A$3:$A$563,W$3,Input_Konektivitas!$B$3:$B$563,$A8))</f>
        <v>4.17</v>
      </c>
      <c r="X8" s="27">
        <f>IF((COUNTIFS(Input_Konektivitas!$A$3:$A$563,$A8,Input_Konektivitas!$B$3:$B$563,X$3,Input_Konektivitas!$D$3:$D$563,"&gt;0")+COUNTIFS(Input_Konektivitas!$A$3:$A$563,X$3,Input_Konektivitas!$B$3:$B$563,$A8,Input_Konektivitas!$D$3:$D$563,"&gt;0"))=0,"",SUMIFS(Input_Konektivitas!$D$3:$D$563,Input_Konektivitas!$A$3:$A$563,$A8,Input_Konektivitas!$B$3:$B$563,X$3)+SUMIFS(Input_Konektivitas!$D$3:$D$563,Input_Konektivitas!$A$3:$A$563,X$3,Input_Konektivitas!$B$3:$B$563,$A8))</f>
        <v>4.58</v>
      </c>
      <c r="Y8" s="27">
        <f>IF((COUNTIFS(Input_Konektivitas!$A$3:$A$563,$A8,Input_Konektivitas!$B$3:$B$563,Y$3,Input_Konektivitas!$D$3:$D$563,"&gt;0")+COUNTIFS(Input_Konektivitas!$A$3:$A$563,Y$3,Input_Konektivitas!$B$3:$B$563,$A8,Input_Konektivitas!$D$3:$D$563,"&gt;0"))=0,"",SUMIFS(Input_Konektivitas!$D$3:$D$563,Input_Konektivitas!$A$3:$A$563,$A8,Input_Konektivitas!$B$3:$B$563,Y$3)+SUMIFS(Input_Konektivitas!$D$3:$D$563,Input_Konektivitas!$A$3:$A$563,Y$3,Input_Konektivitas!$B$3:$B$563,$A8))</f>
        <v>5.42</v>
      </c>
      <c r="Z8" s="27">
        <f>IF((COUNTIFS(Input_Konektivitas!$A$3:$A$563,$A8,Input_Konektivitas!$B$3:$B$563,Z$3,Input_Konektivitas!$D$3:$D$563,"&gt;0")+COUNTIFS(Input_Konektivitas!$A$3:$A$563,Z$3,Input_Konektivitas!$B$3:$B$563,$A8,Input_Konektivitas!$D$3:$D$563,"&gt;0"))=0,"",SUMIFS(Input_Konektivitas!$D$3:$D$563,Input_Konektivitas!$A$3:$A$563,$A8,Input_Konektivitas!$B$3:$B$563,Z$3)+SUMIFS(Input_Konektivitas!$D$3:$D$563,Input_Konektivitas!$A$3:$A$563,Z$3,Input_Konektivitas!$B$3:$B$563,$A8))</f>
        <v>6.75</v>
      </c>
      <c r="AA8" s="27">
        <f>IF((COUNTIFS(Input_Konektivitas!$A$3:$A$563,$A8,Input_Konektivitas!$B$3:$B$563,AA$3,Input_Konektivitas!$D$3:$D$563,"&gt;0")+COUNTIFS(Input_Konektivitas!$A$3:$A$563,AA$3,Input_Konektivitas!$B$3:$B$563,$A8,Input_Konektivitas!$D$3:$D$563,"&gt;0"))=0,"",SUMIFS(Input_Konektivitas!$D$3:$D$563,Input_Konektivitas!$A$3:$A$563,$A8,Input_Konektivitas!$B$3:$B$563,AA$3)+SUMIFS(Input_Konektivitas!$D$3:$D$563,Input_Konektivitas!$A$3:$A$563,AA$3,Input_Konektivitas!$B$3:$B$563,$A8))</f>
        <v>7.5</v>
      </c>
      <c r="AB8" s="27">
        <f>IF((COUNTIFS(Input_Konektivitas!$A$3:$A$563,$A8,Input_Konektivitas!$B$3:$B$563,AB$3,Input_Konektivitas!$D$3:$D$563,"&gt;0")+COUNTIFS(Input_Konektivitas!$A$3:$A$563,AB$3,Input_Konektivitas!$B$3:$B$563,$A8,Input_Konektivitas!$D$3:$D$563,"&gt;0"))=0,"",SUMIFS(Input_Konektivitas!$D$3:$D$563,Input_Konektivitas!$A$3:$A$563,$A8,Input_Konektivitas!$B$3:$B$563,AB$3)+SUMIFS(Input_Konektivitas!$D$3:$D$563,Input_Konektivitas!$A$3:$A$563,AB$3,Input_Konektivitas!$B$3:$B$563,$A8))</f>
        <v>4.58</v>
      </c>
      <c r="AC8" s="27">
        <f>IF((COUNTIFS(Input_Konektivitas!$A$3:$A$563,$A8,Input_Konektivitas!$B$3:$B$563,AC$3,Input_Konektivitas!$D$3:$D$563,"&gt;0")+COUNTIFS(Input_Konektivitas!$A$3:$A$563,AC$3,Input_Konektivitas!$B$3:$B$563,$A8,Input_Konektivitas!$D$3:$D$563,"&gt;0"))=0,"",SUMIFS(Input_Konektivitas!$D$3:$D$563,Input_Konektivitas!$A$3:$A$563,$A8,Input_Konektivitas!$B$3:$B$563,AC$3)+SUMIFS(Input_Konektivitas!$D$3:$D$563,Input_Konektivitas!$A$3:$A$563,AC$3,Input_Konektivitas!$B$3:$B$563,$A8))</f>
        <v>6.75</v>
      </c>
      <c r="AD8" s="27">
        <f>IF((COUNTIFS(Input_Konektivitas!$A$3:$A$563,$A8,Input_Konektivitas!$B$3:$B$563,AD$3,Input_Konektivitas!$D$3:$D$563,"&gt;0")+COUNTIFS(Input_Konektivitas!$A$3:$A$563,AD$3,Input_Konektivitas!$B$3:$B$563,$A8,Input_Konektivitas!$D$3:$D$563,"&gt;0"))=0,"",SUMIFS(Input_Konektivitas!$D$3:$D$563,Input_Konektivitas!$A$3:$A$563,$A8,Input_Konektivitas!$B$3:$B$563,AD$3)+SUMIFS(Input_Konektivitas!$D$3:$D$563,Input_Konektivitas!$A$3:$A$563,AD$3,Input_Konektivitas!$B$3:$B$563,$A8))</f>
        <v>7.17</v>
      </c>
      <c r="AE8" s="27">
        <f>IF((COUNTIFS(Input_Konektivitas!$A$3:$A$563,$A8,Input_Konektivitas!$B$3:$B$563,AE$3,Input_Konektivitas!$D$3:$D$563,"&gt;0")+COUNTIFS(Input_Konektivitas!$A$3:$A$563,AE$3,Input_Konektivitas!$B$3:$B$563,$A8,Input_Konektivitas!$D$3:$D$563,"&gt;0"))=0,"",SUMIFS(Input_Konektivitas!$D$3:$D$563,Input_Konektivitas!$A$3:$A$563,$A8,Input_Konektivitas!$B$3:$B$563,AE$3)+SUMIFS(Input_Konektivitas!$D$3:$D$563,Input_Konektivitas!$A$3:$A$563,AE$3,Input_Konektivitas!$B$3:$B$563,$A8))</f>
        <v>9.08</v>
      </c>
      <c r="AF8" s="27">
        <f>IF((COUNTIFS(Input_Konektivitas!$A$3:$A$563,$A8,Input_Konektivitas!$B$3:$B$563,AF$3,Input_Konektivitas!$D$3:$D$563,"&gt;0")+COUNTIFS(Input_Konektivitas!$A$3:$A$563,AF$3,Input_Konektivitas!$B$3:$B$563,$A8,Input_Konektivitas!$D$3:$D$563,"&gt;0"))=0,"",SUMIFS(Input_Konektivitas!$D$3:$D$563,Input_Konektivitas!$A$3:$A$563,$A8,Input_Konektivitas!$B$3:$B$563,AF$3)+SUMIFS(Input_Konektivitas!$D$3:$D$563,Input_Konektivitas!$A$3:$A$563,AF$3,Input_Konektivitas!$B$3:$B$563,$A8))</f>
        <v>9.75</v>
      </c>
      <c r="AG8" s="27">
        <f>IF((COUNTIFS(Input_Konektivitas!$A$3:$A$563,$A8,Input_Konektivitas!$B$3:$B$563,AG$3,Input_Konektivitas!$D$3:$D$563,"&gt;0")+COUNTIFS(Input_Konektivitas!$A$3:$A$563,AG$3,Input_Konektivitas!$B$3:$B$563,$A8,Input_Konektivitas!$D$3:$D$563,"&gt;0"))=0,"",SUMIFS(Input_Konektivitas!$D$3:$D$563,Input_Konektivitas!$A$3:$A$563,$A8,Input_Konektivitas!$B$3:$B$563,AG$3)+SUMIFS(Input_Konektivitas!$D$3:$D$563,Input_Konektivitas!$A$3:$A$563,AG$3,Input_Konektivitas!$B$3:$B$563,$A8))</f>
        <v>10.83</v>
      </c>
      <c r="AH8" s="27">
        <f>IF((COUNTIFS(Input_Konektivitas!$A$3:$A$563,$A8,Input_Konektivitas!$B$3:$B$563,AH$3,Input_Konektivitas!$D$3:$D$563,"&gt;0")+COUNTIFS(Input_Konektivitas!$A$3:$A$563,AH$3,Input_Konektivitas!$B$3:$B$563,$A8,Input_Konektivitas!$D$3:$D$563,"&gt;0"))=0,"",SUMIFS(Input_Konektivitas!$D$3:$D$563,Input_Konektivitas!$A$3:$A$563,$A8,Input_Konektivitas!$B$3:$B$563,AH$3)+SUMIFS(Input_Konektivitas!$D$3:$D$563,Input_Konektivitas!$A$3:$A$563,AH$3,Input_Konektivitas!$B$3:$B$563,$A8))</f>
        <v>9.75</v>
      </c>
      <c r="AI8" s="27">
        <f>IF((COUNTIFS(Input_Konektivitas!$A$3:$A$563,$A8,Input_Konektivitas!$B$3:$B$563,AI$3,Input_Konektivitas!$D$3:$D$563,"&gt;0")+COUNTIFS(Input_Konektivitas!$A$3:$A$563,AI$3,Input_Konektivitas!$B$3:$B$563,$A8,Input_Konektivitas!$D$3:$D$563,"&gt;0"))=0,"",SUMIFS(Input_Konektivitas!$D$3:$D$563,Input_Konektivitas!$A$3:$A$563,$A8,Input_Konektivitas!$B$3:$B$563,AI$3)+SUMIFS(Input_Konektivitas!$D$3:$D$563,Input_Konektivitas!$A$3:$A$563,AI$3,Input_Konektivitas!$B$3:$B$563,$A8))</f>
        <v>9.83</v>
      </c>
    </row>
    <row r="9" ht="14.25" customHeight="1">
      <c r="A9" s="22" t="s">
        <v>17</v>
      </c>
      <c r="B9" s="27">
        <f>IF((COUNTIFS(Input_Konektivitas!$A$3:$A$563,$A9,Input_Konektivitas!$B$3:$B$563,B$3,Input_Konektivitas!$D$3:$D$563,"&gt;0")+COUNTIFS(Input_Konektivitas!$A$3:$A$563,B$3,Input_Konektivitas!$B$3:$B$563,$A9,Input_Konektivitas!$D$3:$D$563,"&gt;0"))=0,"",SUMIFS(Input_Konektivitas!$D$3:$D$563,Input_Konektivitas!$A$3:$A$563,$A9,Input_Konektivitas!$B$3:$B$563,B$3)+SUMIFS(Input_Konektivitas!$D$3:$D$563,Input_Konektivitas!$A$3:$A$563,B$3,Input_Konektivitas!$B$3:$B$563,$A9))</f>
        <v>4.8333</v>
      </c>
      <c r="C9" s="27">
        <f>IF((COUNTIFS(Input_Konektivitas!$A$3:$A$563,$A9,Input_Konektivitas!$B$3:$B$563,C$3,Input_Konektivitas!$D$3:$D$563,"&gt;0")+COUNTIFS(Input_Konektivitas!$A$3:$A$563,C$3,Input_Konektivitas!$B$3:$B$563,$A9,Input_Konektivitas!$D$3:$D$563,"&gt;0"))=0,"",SUMIFS(Input_Konektivitas!$D$3:$D$563,Input_Konektivitas!$A$3:$A$563,$A9,Input_Konektivitas!$B$3:$B$563,C$3)+SUMIFS(Input_Konektivitas!$D$3:$D$563,Input_Konektivitas!$A$3:$A$563,C$3,Input_Konektivitas!$B$3:$B$563,$A9))</f>
        <v>1.833</v>
      </c>
      <c r="D9" s="27">
        <f>IF((COUNTIFS(Input_Konektivitas!$A$3:$A$563,$A9,Input_Konektivitas!$B$3:$B$563,D$3,Input_Konektivitas!$D$3:$D$563,"&gt;0")+COUNTIFS(Input_Konektivitas!$A$3:$A$563,D$3,Input_Konektivitas!$B$3:$B$563,$A9,Input_Konektivitas!$D$3:$D$563,"&gt;0"))=0,"",SUMIFS(Input_Konektivitas!$D$3:$D$563,Input_Konektivitas!$A$3:$A$563,$A9,Input_Konektivitas!$B$3:$B$563,D$3)+SUMIFS(Input_Konektivitas!$D$3:$D$563,Input_Konektivitas!$A$3:$A$563,D$3,Input_Konektivitas!$B$3:$B$563,$A9))</f>
        <v>4</v>
      </c>
      <c r="E9" s="27">
        <f>IF((COUNTIFS(Input_Konektivitas!$A$3:$A$563,$A9,Input_Konektivitas!$B$3:$B$563,E$3,Input_Konektivitas!$D$3:$D$563,"&gt;0")+COUNTIFS(Input_Konektivitas!$A$3:$A$563,E$3,Input_Konektivitas!$B$3:$B$563,$A9,Input_Konektivitas!$D$3:$D$563,"&gt;0"))=0,"",SUMIFS(Input_Konektivitas!$D$3:$D$563,Input_Konektivitas!$A$3:$A$563,$A9,Input_Konektivitas!$B$3:$B$563,E$3)+SUMIFS(Input_Konektivitas!$D$3:$D$563,Input_Konektivitas!$A$3:$A$563,E$3,Input_Konektivitas!$B$3:$B$563,$A9))</f>
        <v>3.58</v>
      </c>
      <c r="F9" s="27">
        <f>IF((COUNTIFS(Input_Konektivitas!$A$3:$A$563,$A9,Input_Konektivitas!$B$3:$B$563,F$3,Input_Konektivitas!$D$3:$D$563,"&gt;0")+COUNTIFS(Input_Konektivitas!$A$3:$A$563,F$3,Input_Konektivitas!$B$3:$B$563,$A9,Input_Konektivitas!$D$3:$D$563,"&gt;0"))=0,"",SUMIFS(Input_Konektivitas!$D$3:$D$563,Input_Konektivitas!$A$3:$A$563,$A9,Input_Konektivitas!$B$3:$B$563,F$3)+SUMIFS(Input_Konektivitas!$D$3:$D$563,Input_Konektivitas!$A$3:$A$563,F$3,Input_Konektivitas!$B$3:$B$563,$A9))</f>
        <v>3.83</v>
      </c>
      <c r="G9" s="23">
        <v>0.0</v>
      </c>
      <c r="H9" s="27">
        <f>IF((COUNTIFS(Input_Konektivitas!$A$3:$A$563,$A9,Input_Konektivitas!$B$3:$B$563,H$3,Input_Konektivitas!$D$3:$D$563,"&gt;0")+COUNTIFS(Input_Konektivitas!$A$3:$A$563,H$3,Input_Konektivitas!$B$3:$B$563,$A9,Input_Konektivitas!$D$3:$D$563,"&gt;0"))=0,"",SUMIFS(Input_Konektivitas!$D$3:$D$563,Input_Konektivitas!$A$3:$A$563,$A9,Input_Konektivitas!$B$3:$B$563,H$3)+SUMIFS(Input_Konektivitas!$D$3:$D$563,Input_Konektivitas!$A$3:$A$563,H$3,Input_Konektivitas!$B$3:$B$563,$A9))</f>
        <v>4</v>
      </c>
      <c r="I9" s="27">
        <f>IF((COUNTIFS(Input_Konektivitas!$A$3:$A$563,$A9,Input_Konektivitas!$B$3:$B$563,I$3,Input_Konektivitas!$D$3:$D$563,"&gt;0")+COUNTIFS(Input_Konektivitas!$A$3:$A$563,I$3,Input_Konektivitas!$B$3:$B$563,$A9,Input_Konektivitas!$D$3:$D$563,"&gt;0"))=0,"",SUMIFS(Input_Konektivitas!$D$3:$D$563,Input_Konektivitas!$A$3:$A$563,$A9,Input_Konektivitas!$B$3:$B$563,I$3)+SUMIFS(Input_Konektivitas!$D$3:$D$563,Input_Konektivitas!$A$3:$A$563,I$3,Input_Konektivitas!$B$3:$B$563,$A9))</f>
        <v>2.92</v>
      </c>
      <c r="J9" s="27">
        <f>IF((COUNTIFS(Input_Konektivitas!$A$3:$A$563,$A9,Input_Konektivitas!$B$3:$B$563,J$3,Input_Konektivitas!$D$3:$D$563,"&gt;0")+COUNTIFS(Input_Konektivitas!$A$3:$A$563,J$3,Input_Konektivitas!$B$3:$B$563,$A9,Input_Konektivitas!$D$3:$D$563,"&gt;0"))=0,"",SUMIFS(Input_Konektivitas!$D$3:$D$563,Input_Konektivitas!$A$3:$A$563,$A9,Input_Konektivitas!$B$3:$B$563,J$3)+SUMIFS(Input_Konektivitas!$D$3:$D$563,Input_Konektivitas!$A$3:$A$563,J$3,Input_Konektivitas!$B$3:$B$563,$A9))</f>
        <v>0.75</v>
      </c>
      <c r="K9" s="27">
        <f>IF((COUNTIFS(Input_Konektivitas!$A$3:$A$563,$A9,Input_Konektivitas!$B$3:$B$563,K$3,Input_Konektivitas!$D$3:$D$563,"&gt;0")+COUNTIFS(Input_Konektivitas!$A$3:$A$563,K$3,Input_Konektivitas!$B$3:$B$563,$A9,Input_Konektivitas!$D$3:$D$563,"&gt;0"))=0,"",SUMIFS(Input_Konektivitas!$D$3:$D$563,Input_Konektivitas!$A$3:$A$563,$A9,Input_Konektivitas!$B$3:$B$563,K$3)+SUMIFS(Input_Konektivitas!$D$3:$D$563,Input_Konektivitas!$A$3:$A$563,K$3,Input_Konektivitas!$B$3:$B$563,$A9))</f>
        <v>2.75</v>
      </c>
      <c r="L9" s="27">
        <f>IF((COUNTIFS(Input_Konektivitas!$A$3:$A$563,$A9,Input_Konektivitas!$B$3:$B$563,L$3,Input_Konektivitas!$D$3:$D$563,"&gt;0")+COUNTIFS(Input_Konektivitas!$A$3:$A$563,L$3,Input_Konektivitas!$B$3:$B$563,$A9,Input_Konektivitas!$D$3:$D$563,"&gt;0"))=0,"",SUMIFS(Input_Konektivitas!$D$3:$D$563,Input_Konektivitas!$A$3:$A$563,$A9,Input_Konektivitas!$B$3:$B$563,L$3)+SUMIFS(Input_Konektivitas!$D$3:$D$563,Input_Konektivitas!$A$3:$A$563,L$3,Input_Konektivitas!$B$3:$B$563,$A9))</f>
        <v>1.167</v>
      </c>
      <c r="M9" s="27">
        <f>IF((COUNTIFS(Input_Konektivitas!$A$3:$A$563,$A9,Input_Konektivitas!$B$3:$B$563,M$3,Input_Konektivitas!$D$3:$D$563,"&gt;0")+COUNTIFS(Input_Konektivitas!$A$3:$A$563,M$3,Input_Konektivitas!$B$3:$B$563,$A9,Input_Konektivitas!$D$3:$D$563,"&gt;0"))=0,"",SUMIFS(Input_Konektivitas!$D$3:$D$563,Input_Konektivitas!$A$3:$A$563,$A9,Input_Konektivitas!$B$3:$B$563,M$3)+SUMIFS(Input_Konektivitas!$D$3:$D$563,Input_Konektivitas!$A$3:$A$563,M$3,Input_Konektivitas!$B$3:$B$563,$A9))</f>
        <v>6.5</v>
      </c>
      <c r="N9" s="27">
        <f>IF((COUNTIFS(Input_Konektivitas!$A$3:$A$563,$A9,Input_Konektivitas!$B$3:$B$563,N$3,Input_Konektivitas!$D$3:$D$563,"&gt;0")+COUNTIFS(Input_Konektivitas!$A$3:$A$563,N$3,Input_Konektivitas!$B$3:$B$563,$A9,Input_Konektivitas!$D$3:$D$563,"&gt;0"))=0,"",SUMIFS(Input_Konektivitas!$D$3:$D$563,Input_Konektivitas!$A$3:$A$563,$A9,Input_Konektivitas!$B$3:$B$563,N$3)+SUMIFS(Input_Konektivitas!$D$3:$D$563,Input_Konektivitas!$A$3:$A$563,N$3,Input_Konektivitas!$B$3:$B$563,$A9))</f>
        <v>3</v>
      </c>
      <c r="O9" s="27">
        <f>IF((COUNTIFS(Input_Konektivitas!$A$3:$A$563,$A9,Input_Konektivitas!$B$3:$B$563,O$3,Input_Konektivitas!$D$3:$D$563,"&gt;0")+COUNTIFS(Input_Konektivitas!$A$3:$A$563,O$3,Input_Konektivitas!$B$3:$B$563,$A9,Input_Konektivitas!$D$3:$D$563,"&gt;0"))=0,"",SUMIFS(Input_Konektivitas!$D$3:$D$563,Input_Konektivitas!$A$3:$A$563,$A9,Input_Konektivitas!$B$3:$B$563,O$3)+SUMIFS(Input_Konektivitas!$D$3:$D$563,Input_Konektivitas!$A$3:$A$563,O$3,Input_Konektivitas!$B$3:$B$563,$A9))</f>
        <v>1.58</v>
      </c>
      <c r="P9" s="27">
        <f>IF((COUNTIFS(Input_Konektivitas!$A$3:$A$563,$A9,Input_Konektivitas!$B$3:$B$563,P$3,Input_Konektivitas!$D$3:$D$563,"&gt;0")+COUNTIFS(Input_Konektivitas!$A$3:$A$563,P$3,Input_Konektivitas!$B$3:$B$563,$A9,Input_Konektivitas!$D$3:$D$563,"&gt;0"))=0,"",SUMIFS(Input_Konektivitas!$D$3:$D$563,Input_Konektivitas!$A$3:$A$563,$A9,Input_Konektivitas!$B$3:$B$563,P$3)+SUMIFS(Input_Konektivitas!$D$3:$D$563,Input_Konektivitas!$A$3:$A$563,P$3,Input_Konektivitas!$B$3:$B$563,$A9))</f>
        <v>2</v>
      </c>
      <c r="Q9" s="27" t="str">
        <f>IF((COUNTIFS(Input_Konektivitas!$A$3:$A$563,$A9,Input_Konektivitas!$B$3:$B$563,Q$3,Input_Konektivitas!$D$3:$D$563,"&gt;0")+COUNTIFS(Input_Konektivitas!$A$3:$A$563,Q$3,Input_Konektivitas!$B$3:$B$563,$A9,Input_Konektivitas!$D$3:$D$563,"&gt;0"))=0,"",SUMIFS(Input_Konektivitas!$D$3:$D$563,Input_Konektivitas!$A$3:$A$563,$A9,Input_Konektivitas!$B$3:$B$563,Q$3)+SUMIFS(Input_Konektivitas!$D$3:$D$563,Input_Konektivitas!$A$3:$A$563,Q$3,Input_Konektivitas!$B$3:$B$563,$A9))</f>
        <v/>
      </c>
      <c r="R9" s="27">
        <f>IF((COUNTIFS(Input_Konektivitas!$A$3:$A$563,$A9,Input_Konektivitas!$B$3:$B$563,R$3,Input_Konektivitas!$D$3:$D$563,"&gt;0")+COUNTIFS(Input_Konektivitas!$A$3:$A$563,R$3,Input_Konektivitas!$B$3:$B$563,$A9,Input_Konektivitas!$D$3:$D$563,"&gt;0"))=0,"",SUMIFS(Input_Konektivitas!$D$3:$D$563,Input_Konektivitas!$A$3:$A$563,$A9,Input_Konektivitas!$B$3:$B$563,R$3)+SUMIFS(Input_Konektivitas!$D$3:$D$563,Input_Konektivitas!$A$3:$A$563,R$3,Input_Konektivitas!$B$3:$B$563,$A9))</f>
        <v>4</v>
      </c>
      <c r="S9" s="27">
        <f>IF((COUNTIFS(Input_Konektivitas!$A$3:$A$563,$A9,Input_Konektivitas!$B$3:$B$563,S$3,Input_Konektivitas!$D$3:$D$563,"&gt;0")+COUNTIFS(Input_Konektivitas!$A$3:$A$563,S$3,Input_Konektivitas!$B$3:$B$563,$A9,Input_Konektivitas!$D$3:$D$563,"&gt;0"))=0,"",SUMIFS(Input_Konektivitas!$D$3:$D$563,Input_Konektivitas!$A$3:$A$563,$A9,Input_Konektivitas!$B$3:$B$563,S$3)+SUMIFS(Input_Konektivitas!$D$3:$D$563,Input_Konektivitas!$A$3:$A$563,S$3,Input_Konektivitas!$B$3:$B$563,$A9))</f>
        <v>5.17</v>
      </c>
      <c r="T9" s="27">
        <f>IF((COUNTIFS(Input_Konektivitas!$A$3:$A$563,$A9,Input_Konektivitas!$B$3:$B$563,T$3,Input_Konektivitas!$D$3:$D$563,"&gt;0")+COUNTIFS(Input_Konektivitas!$A$3:$A$563,T$3,Input_Konektivitas!$B$3:$B$563,$A9,Input_Konektivitas!$D$3:$D$563,"&gt;0"))=0,"",SUMIFS(Input_Konektivitas!$D$3:$D$563,Input_Konektivitas!$A$3:$A$563,$A9,Input_Konektivitas!$B$3:$B$563,T$3)+SUMIFS(Input_Konektivitas!$D$3:$D$563,Input_Konektivitas!$A$3:$A$563,T$3,Input_Konektivitas!$B$3:$B$563,$A9))</f>
        <v>8.58</v>
      </c>
      <c r="U9" s="27">
        <f>IF((COUNTIFS(Input_Konektivitas!$A$3:$A$563,$A9,Input_Konektivitas!$B$3:$B$563,U$3,Input_Konektivitas!$D$3:$D$563,"&gt;0")+COUNTIFS(Input_Konektivitas!$A$3:$A$563,U$3,Input_Konektivitas!$B$3:$B$563,$A9,Input_Konektivitas!$D$3:$D$563,"&gt;0"))=0,"",SUMIFS(Input_Konektivitas!$D$3:$D$563,Input_Konektivitas!$A$3:$A$563,$A9,Input_Konektivitas!$B$3:$B$563,U$3)+SUMIFS(Input_Konektivitas!$D$3:$D$563,Input_Konektivitas!$A$3:$A$563,U$3,Input_Konektivitas!$B$3:$B$563,$A9))</f>
        <v>3.83</v>
      </c>
      <c r="V9" s="27">
        <f>IF((COUNTIFS(Input_Konektivitas!$A$3:$A$563,$A9,Input_Konektivitas!$B$3:$B$563,V$3,Input_Konektivitas!$D$3:$D$563,"&gt;0")+COUNTIFS(Input_Konektivitas!$A$3:$A$563,V$3,Input_Konektivitas!$B$3:$B$563,$A9,Input_Konektivitas!$D$3:$D$563,"&gt;0"))=0,"",SUMIFS(Input_Konektivitas!$D$3:$D$563,Input_Konektivitas!$A$3:$A$563,$A9,Input_Konektivitas!$B$3:$B$563,V$3)+SUMIFS(Input_Konektivitas!$D$3:$D$563,Input_Konektivitas!$A$3:$A$563,V$3,Input_Konektivitas!$B$3:$B$563,$A9))</f>
        <v>4.08</v>
      </c>
      <c r="W9" s="27">
        <f>IF((COUNTIFS(Input_Konektivitas!$A$3:$A$563,$A9,Input_Konektivitas!$B$3:$B$563,W$3,Input_Konektivitas!$D$3:$D$563,"&gt;0")+COUNTIFS(Input_Konektivitas!$A$3:$A$563,W$3,Input_Konektivitas!$B$3:$B$563,$A9,Input_Konektivitas!$D$3:$D$563,"&gt;0"))=0,"",SUMIFS(Input_Konektivitas!$D$3:$D$563,Input_Konektivitas!$A$3:$A$563,$A9,Input_Konektivitas!$B$3:$B$563,W$3)+SUMIFS(Input_Konektivitas!$D$3:$D$563,Input_Konektivitas!$A$3:$A$563,W$3,Input_Konektivitas!$B$3:$B$563,$A9))</f>
        <v>4.5</v>
      </c>
      <c r="X9" s="27">
        <f>IF((COUNTIFS(Input_Konektivitas!$A$3:$A$563,$A9,Input_Konektivitas!$B$3:$B$563,X$3,Input_Konektivitas!$D$3:$D$563,"&gt;0")+COUNTIFS(Input_Konektivitas!$A$3:$A$563,X$3,Input_Konektivitas!$B$3:$B$563,$A9,Input_Konektivitas!$D$3:$D$563,"&gt;0"))=0,"",SUMIFS(Input_Konektivitas!$D$3:$D$563,Input_Konektivitas!$A$3:$A$563,$A9,Input_Konektivitas!$B$3:$B$563,X$3)+SUMIFS(Input_Konektivitas!$D$3:$D$563,Input_Konektivitas!$A$3:$A$563,X$3,Input_Konektivitas!$B$3:$B$563,$A9))</f>
        <v>5.33</v>
      </c>
      <c r="Y9" s="27">
        <f>IF((COUNTIFS(Input_Konektivitas!$A$3:$A$563,$A9,Input_Konektivitas!$B$3:$B$563,Y$3,Input_Konektivitas!$D$3:$D$563,"&gt;0")+COUNTIFS(Input_Konektivitas!$A$3:$A$563,Y$3,Input_Konektivitas!$B$3:$B$563,$A9,Input_Konektivitas!$D$3:$D$563,"&gt;0"))=0,"",SUMIFS(Input_Konektivitas!$D$3:$D$563,Input_Konektivitas!$A$3:$A$563,$A9,Input_Konektivitas!$B$3:$B$563,Y$3)+SUMIFS(Input_Konektivitas!$D$3:$D$563,Input_Konektivitas!$A$3:$A$563,Y$3,Input_Konektivitas!$B$3:$B$563,$A9))</f>
        <v>5.42</v>
      </c>
      <c r="Z9" s="27">
        <f>IF((COUNTIFS(Input_Konektivitas!$A$3:$A$563,$A9,Input_Konektivitas!$B$3:$B$563,Z$3,Input_Konektivitas!$D$3:$D$563,"&gt;0")+COUNTIFS(Input_Konektivitas!$A$3:$A$563,Z$3,Input_Konektivitas!$B$3:$B$563,$A9,Input_Konektivitas!$D$3:$D$563,"&gt;0"))=0,"",SUMIFS(Input_Konektivitas!$D$3:$D$563,Input_Konektivitas!$A$3:$A$563,$A9,Input_Konektivitas!$B$3:$B$563,Z$3)+SUMIFS(Input_Konektivitas!$D$3:$D$563,Input_Konektivitas!$A$3:$A$563,Z$3,Input_Konektivitas!$B$3:$B$563,$A9))</f>
        <v>6.08</v>
      </c>
      <c r="AA9" s="27">
        <f>IF((COUNTIFS(Input_Konektivitas!$A$3:$A$563,$A9,Input_Konektivitas!$B$3:$B$563,AA$3,Input_Konektivitas!$D$3:$D$563,"&gt;0")+COUNTIFS(Input_Konektivitas!$A$3:$A$563,AA$3,Input_Konektivitas!$B$3:$B$563,$A9,Input_Konektivitas!$D$3:$D$563,"&gt;0"))=0,"",SUMIFS(Input_Konektivitas!$D$3:$D$563,Input_Konektivitas!$A$3:$A$563,$A9,Input_Konektivitas!$B$3:$B$563,AA$3)+SUMIFS(Input_Konektivitas!$D$3:$D$563,Input_Konektivitas!$A$3:$A$563,AA$3,Input_Konektivitas!$B$3:$B$563,$A9))</f>
        <v>9.66</v>
      </c>
      <c r="AB9" s="27">
        <f>IF((COUNTIFS(Input_Konektivitas!$A$3:$A$563,$A9,Input_Konektivitas!$B$3:$B$563,AB$3,Input_Konektivitas!$D$3:$D$563,"&gt;0")+COUNTIFS(Input_Konektivitas!$A$3:$A$563,AB$3,Input_Konektivitas!$B$3:$B$563,$A9,Input_Konektivitas!$D$3:$D$563,"&gt;0"))=0,"",SUMIFS(Input_Konektivitas!$D$3:$D$563,Input_Konektivitas!$A$3:$A$563,$A9,Input_Konektivitas!$B$3:$B$563,AB$3)+SUMIFS(Input_Konektivitas!$D$3:$D$563,Input_Konektivitas!$A$3:$A$563,AB$3,Input_Konektivitas!$B$3:$B$563,$A9))</f>
        <v>5.08</v>
      </c>
      <c r="AC9" s="27">
        <f>IF((COUNTIFS(Input_Konektivitas!$A$3:$A$563,$A9,Input_Konektivitas!$B$3:$B$563,AC$3,Input_Konektivitas!$D$3:$D$563,"&gt;0")+COUNTIFS(Input_Konektivitas!$A$3:$A$563,AC$3,Input_Konektivitas!$B$3:$B$563,$A9,Input_Konektivitas!$D$3:$D$563,"&gt;0"))=0,"",SUMIFS(Input_Konektivitas!$D$3:$D$563,Input_Konektivitas!$A$3:$A$563,$A9,Input_Konektivitas!$B$3:$B$563,AC$3)+SUMIFS(Input_Konektivitas!$D$3:$D$563,Input_Konektivitas!$A$3:$A$563,AC$3,Input_Konektivitas!$B$3:$B$563,$A9))</f>
        <v>6.17</v>
      </c>
      <c r="AD9" s="27">
        <f>IF((COUNTIFS(Input_Konektivitas!$A$3:$A$563,$A9,Input_Konektivitas!$B$3:$B$563,AD$3,Input_Konektivitas!$D$3:$D$563,"&gt;0")+COUNTIFS(Input_Konektivitas!$A$3:$A$563,AD$3,Input_Konektivitas!$B$3:$B$563,$A9,Input_Konektivitas!$D$3:$D$563,"&gt;0"))=0,"",SUMIFS(Input_Konektivitas!$D$3:$D$563,Input_Konektivitas!$A$3:$A$563,$A9,Input_Konektivitas!$B$3:$B$563,AD$3)+SUMIFS(Input_Konektivitas!$D$3:$D$563,Input_Konektivitas!$A$3:$A$563,AD$3,Input_Konektivitas!$B$3:$B$563,$A9))</f>
        <v>13.58</v>
      </c>
      <c r="AE9" s="27">
        <f>IF((COUNTIFS(Input_Konektivitas!$A$3:$A$563,$A9,Input_Konektivitas!$B$3:$B$563,AE$3,Input_Konektivitas!$D$3:$D$563,"&gt;0")+COUNTIFS(Input_Konektivitas!$A$3:$A$563,AE$3,Input_Konektivitas!$B$3:$B$563,$A9,Input_Konektivitas!$D$3:$D$563,"&gt;0"))=0,"",SUMIFS(Input_Konektivitas!$D$3:$D$563,Input_Konektivitas!$A$3:$A$563,$A9,Input_Konektivitas!$B$3:$B$563,AE$3)+SUMIFS(Input_Konektivitas!$D$3:$D$563,Input_Konektivitas!$A$3:$A$563,AE$3,Input_Konektivitas!$B$3:$B$563,$A9))</f>
        <v>9.08</v>
      </c>
      <c r="AF9" s="27">
        <f>IF((COUNTIFS(Input_Konektivitas!$A$3:$A$563,$A9,Input_Konektivitas!$B$3:$B$563,AF$3,Input_Konektivitas!$D$3:$D$563,"&gt;0")+COUNTIFS(Input_Konektivitas!$A$3:$A$563,AF$3,Input_Konektivitas!$B$3:$B$563,$A9,Input_Konektivitas!$D$3:$D$563,"&gt;0"))=0,"",SUMIFS(Input_Konektivitas!$D$3:$D$563,Input_Konektivitas!$A$3:$A$563,$A9,Input_Konektivitas!$B$3:$B$563,AF$3)+SUMIFS(Input_Konektivitas!$D$3:$D$563,Input_Konektivitas!$A$3:$A$563,AF$3,Input_Konektivitas!$B$3:$B$563,$A9))</f>
        <v>7.33</v>
      </c>
      <c r="AG9" s="27">
        <f>IF((COUNTIFS(Input_Konektivitas!$A$3:$A$563,$A9,Input_Konektivitas!$B$3:$B$563,AG$3,Input_Konektivitas!$D$3:$D$563,"&gt;0")+COUNTIFS(Input_Konektivitas!$A$3:$A$563,AG$3,Input_Konektivitas!$B$3:$B$563,$A9,Input_Konektivitas!$D$3:$D$563,"&gt;0"))=0,"",SUMIFS(Input_Konektivitas!$D$3:$D$563,Input_Konektivitas!$A$3:$A$563,$A9,Input_Konektivitas!$B$3:$B$563,AG$3)+SUMIFS(Input_Konektivitas!$D$3:$D$563,Input_Konektivitas!$A$3:$A$563,AG$3,Input_Konektivitas!$B$3:$B$563,$A9))</f>
        <v>10.67</v>
      </c>
      <c r="AH9" s="27">
        <f>IF((COUNTIFS(Input_Konektivitas!$A$3:$A$563,$A9,Input_Konektivitas!$B$3:$B$563,AH$3,Input_Konektivitas!$D$3:$D$563,"&gt;0")+COUNTIFS(Input_Konektivitas!$A$3:$A$563,AH$3,Input_Konektivitas!$B$3:$B$563,$A9,Input_Konektivitas!$D$3:$D$563,"&gt;0"))=0,"",SUMIFS(Input_Konektivitas!$D$3:$D$563,Input_Konektivitas!$A$3:$A$563,$A9,Input_Konektivitas!$B$3:$B$563,AH$3)+SUMIFS(Input_Konektivitas!$D$3:$D$563,Input_Konektivitas!$A$3:$A$563,AH$3,Input_Konektivitas!$B$3:$B$563,$A9))</f>
        <v>9.92</v>
      </c>
      <c r="AI9" s="27">
        <f>IF((COUNTIFS(Input_Konektivitas!$A$3:$A$563,$A9,Input_Konektivitas!$B$3:$B$563,AI$3,Input_Konektivitas!$D$3:$D$563,"&gt;0")+COUNTIFS(Input_Konektivitas!$A$3:$A$563,AI$3,Input_Konektivitas!$B$3:$B$563,$A9,Input_Konektivitas!$D$3:$D$563,"&gt;0"))=0,"",SUMIFS(Input_Konektivitas!$D$3:$D$563,Input_Konektivitas!$A$3:$A$563,$A9,Input_Konektivitas!$B$3:$B$563,AI$3)+SUMIFS(Input_Konektivitas!$D$3:$D$563,Input_Konektivitas!$A$3:$A$563,AI$3,Input_Konektivitas!$B$3:$B$563,$A9))</f>
        <v>10.17</v>
      </c>
    </row>
    <row r="10" ht="14.25" customHeight="1">
      <c r="A10" s="22" t="s">
        <v>20</v>
      </c>
      <c r="B10" s="27">
        <f>IF((COUNTIFS(Input_Konektivitas!$A$3:$A$563,$A10,Input_Konektivitas!$B$3:$B$563,B$3,Input_Konektivitas!$D$3:$D$563,"&gt;0")+COUNTIFS(Input_Konektivitas!$A$3:$A$563,B$3,Input_Konektivitas!$B$3:$B$563,$A10,Input_Konektivitas!$D$3:$D$563,"&gt;0"))=0,"",SUMIFS(Input_Konektivitas!$D$3:$D$563,Input_Konektivitas!$A$3:$A$563,$A10,Input_Konektivitas!$B$3:$B$563,B$3)+SUMIFS(Input_Konektivitas!$D$3:$D$563,Input_Konektivitas!$A$3:$A$563,B$3,Input_Konektivitas!$B$3:$B$563,$A10))</f>
        <v>6.92</v>
      </c>
      <c r="C10" s="27">
        <f>IF((COUNTIFS(Input_Konektivitas!$A$3:$A$563,$A10,Input_Konektivitas!$B$3:$B$563,C$3,Input_Konektivitas!$D$3:$D$563,"&gt;0")+COUNTIFS(Input_Konektivitas!$A$3:$A$563,C$3,Input_Konektivitas!$B$3:$B$563,$A10,Input_Konektivitas!$D$3:$D$563,"&gt;0"))=0,"",SUMIFS(Input_Konektivitas!$D$3:$D$563,Input_Konektivitas!$A$3:$A$563,$A10,Input_Konektivitas!$B$3:$B$563,C$3)+SUMIFS(Input_Konektivitas!$D$3:$D$563,Input_Konektivitas!$A$3:$A$563,C$3,Input_Konektivitas!$B$3:$B$563,$A10))</f>
        <v>5.1667</v>
      </c>
      <c r="D10" s="27">
        <f>IF((COUNTIFS(Input_Konektivitas!$A$3:$A$563,$A10,Input_Konektivitas!$B$3:$B$563,D$3,Input_Konektivitas!$D$3:$D$563,"&gt;0")+COUNTIFS(Input_Konektivitas!$A$3:$A$563,D$3,Input_Konektivitas!$B$3:$B$563,$A10,Input_Konektivitas!$D$3:$D$563,"&gt;0"))=0,"",SUMIFS(Input_Konektivitas!$D$3:$D$563,Input_Konektivitas!$A$3:$A$563,$A10,Input_Konektivitas!$B$3:$B$563,D$3)+SUMIFS(Input_Konektivitas!$D$3:$D$563,Input_Konektivitas!$A$3:$A$563,D$3,Input_Konektivitas!$B$3:$B$563,$A10))</f>
        <v>5.33</v>
      </c>
      <c r="E10" s="27">
        <f>IF((COUNTIFS(Input_Konektivitas!$A$3:$A$563,$A10,Input_Konektivitas!$B$3:$B$563,E$3,Input_Konektivitas!$D$3:$D$563,"&gt;0")+COUNTIFS(Input_Konektivitas!$A$3:$A$563,E$3,Input_Konektivitas!$B$3:$B$563,$A10,Input_Konektivitas!$D$3:$D$563,"&gt;0"))=0,"",SUMIFS(Input_Konektivitas!$D$3:$D$563,Input_Konektivitas!$A$3:$A$563,$A10,Input_Konektivitas!$B$3:$B$563,E$3)+SUMIFS(Input_Konektivitas!$D$3:$D$563,Input_Konektivitas!$A$3:$A$563,E$3,Input_Konektivitas!$B$3:$B$563,$A10))</f>
        <v>4.83</v>
      </c>
      <c r="F10" s="27">
        <f>IF((COUNTIFS(Input_Konektivitas!$A$3:$A$563,$A10,Input_Konektivitas!$B$3:$B$563,F$3,Input_Konektivitas!$D$3:$D$563,"&gt;0")+COUNTIFS(Input_Konektivitas!$A$3:$A$563,F$3,Input_Konektivitas!$B$3:$B$563,$A10,Input_Konektivitas!$D$3:$D$563,"&gt;0"))=0,"",SUMIFS(Input_Konektivitas!$D$3:$D$563,Input_Konektivitas!$A$3:$A$563,$A10,Input_Konektivitas!$B$3:$B$563,F$3)+SUMIFS(Input_Konektivitas!$D$3:$D$563,Input_Konektivitas!$A$3:$A$563,F$3,Input_Konektivitas!$B$3:$B$563,$A10))</f>
        <v>5</v>
      </c>
      <c r="G10" s="27">
        <f>IF((COUNTIFS(Input_Konektivitas!$A$3:$A$563,$A10,Input_Konektivitas!$B$3:$B$563,G$3,Input_Konektivitas!$D$3:$D$563,"&gt;0")+COUNTIFS(Input_Konektivitas!$A$3:$A$563,G$3,Input_Konektivitas!$B$3:$B$563,$A10,Input_Konektivitas!$D$3:$D$563,"&gt;0"))=0,"",SUMIFS(Input_Konektivitas!$D$3:$D$563,Input_Konektivitas!$A$3:$A$563,$A10,Input_Konektivitas!$B$3:$B$563,G$3)+SUMIFS(Input_Konektivitas!$D$3:$D$563,Input_Konektivitas!$A$3:$A$563,G$3,Input_Konektivitas!$B$3:$B$563,$A10))</f>
        <v>4</v>
      </c>
      <c r="H10" s="23">
        <v>0.0</v>
      </c>
      <c r="I10" s="27">
        <f>IF((COUNTIFS(Input_Konektivitas!$A$3:$A$563,$A10,Input_Konektivitas!$B$3:$B$563,I$3,Input_Konektivitas!$D$3:$D$563,"&gt;0")+COUNTIFS(Input_Konektivitas!$A$3:$A$563,I$3,Input_Konektivitas!$B$3:$B$563,$A10,Input_Konektivitas!$D$3:$D$563,"&gt;0"))=0,"",SUMIFS(Input_Konektivitas!$D$3:$D$563,Input_Konektivitas!$A$3:$A$563,$A10,Input_Konektivitas!$B$3:$B$563,I$3)+SUMIFS(Input_Konektivitas!$D$3:$D$563,Input_Konektivitas!$A$3:$A$563,I$3,Input_Konektivitas!$B$3:$B$563,$A10))</f>
        <v>3.83</v>
      </c>
      <c r="J10" s="27">
        <f>IF((COUNTIFS(Input_Konektivitas!$A$3:$A$563,$A10,Input_Konektivitas!$B$3:$B$563,J$3,Input_Konektivitas!$D$3:$D$563,"&gt;0")+COUNTIFS(Input_Konektivitas!$A$3:$A$563,J$3,Input_Konektivitas!$B$3:$B$563,$A10,Input_Konektivitas!$D$3:$D$563,"&gt;0"))=0,"",SUMIFS(Input_Konektivitas!$D$3:$D$563,Input_Konektivitas!$A$3:$A$563,$A10,Input_Konektivitas!$B$3:$B$563,J$3)+SUMIFS(Input_Konektivitas!$D$3:$D$563,Input_Konektivitas!$A$3:$A$563,J$3,Input_Konektivitas!$B$3:$B$563,$A10))</f>
        <v>4.5</v>
      </c>
      <c r="K10" s="27">
        <f>IF((COUNTIFS(Input_Konektivitas!$A$3:$A$563,$A10,Input_Konektivitas!$B$3:$B$563,K$3,Input_Konektivitas!$D$3:$D$563,"&gt;0")+COUNTIFS(Input_Konektivitas!$A$3:$A$563,K$3,Input_Konektivitas!$B$3:$B$563,$A10,Input_Konektivitas!$D$3:$D$563,"&gt;0"))=0,"",SUMIFS(Input_Konektivitas!$D$3:$D$563,Input_Konektivitas!$A$3:$A$563,$A10,Input_Konektivitas!$B$3:$B$563,K$3)+SUMIFS(Input_Konektivitas!$D$3:$D$563,Input_Konektivitas!$A$3:$A$563,K$3,Input_Konektivitas!$B$3:$B$563,$A10))</f>
        <v>5.08</v>
      </c>
      <c r="L10" s="27">
        <f>IF((COUNTIFS(Input_Konektivitas!$A$3:$A$563,$A10,Input_Konektivitas!$B$3:$B$563,L$3,Input_Konektivitas!$D$3:$D$563,"&gt;0")+COUNTIFS(Input_Konektivitas!$A$3:$A$563,L$3,Input_Konektivitas!$B$3:$B$563,$A10,Input_Konektivitas!$D$3:$D$563,"&gt;0"))=0,"",SUMIFS(Input_Konektivitas!$D$3:$D$563,Input_Konektivitas!$A$3:$A$563,$A10,Input_Konektivitas!$B$3:$B$563,L$3)+SUMIFS(Input_Konektivitas!$D$3:$D$563,Input_Konektivitas!$A$3:$A$563,L$3,Input_Konektivitas!$B$3:$B$563,$A10))</f>
        <v>1.33</v>
      </c>
      <c r="M10" s="27" t="str">
        <f>IF((COUNTIFS(Input_Konektivitas!$A$3:$A$563,$A10,Input_Konektivitas!$B$3:$B$563,M$3,Input_Konektivitas!$D$3:$D$563,"&gt;0")+COUNTIFS(Input_Konektivitas!$A$3:$A$563,M$3,Input_Konektivitas!$B$3:$B$563,$A10,Input_Konektivitas!$D$3:$D$563,"&gt;0"))=0,"",SUMIFS(Input_Konektivitas!$D$3:$D$563,Input_Konektivitas!$A$3:$A$563,$A10,Input_Konektivitas!$B$3:$B$563,M$3)+SUMIFS(Input_Konektivitas!$D$3:$D$563,Input_Konektivitas!$A$3:$A$563,M$3,Input_Konektivitas!$B$3:$B$563,$A10))</f>
        <v/>
      </c>
      <c r="N10" s="27">
        <f>IF((COUNTIFS(Input_Konektivitas!$A$3:$A$563,$A10,Input_Konektivitas!$B$3:$B$563,N$3,Input_Konektivitas!$D$3:$D$563,"&gt;0")+COUNTIFS(Input_Konektivitas!$A$3:$A$563,N$3,Input_Konektivitas!$B$3:$B$563,$A10,Input_Konektivitas!$D$3:$D$563,"&gt;0"))=0,"",SUMIFS(Input_Konektivitas!$D$3:$D$563,Input_Konektivitas!$A$3:$A$563,$A10,Input_Konektivitas!$B$3:$B$563,N$3)+SUMIFS(Input_Konektivitas!$D$3:$D$563,Input_Konektivitas!$A$3:$A$563,N$3,Input_Konektivitas!$B$3:$B$563,$A10))</f>
        <v>3.33</v>
      </c>
      <c r="O10" s="27">
        <f>IF((COUNTIFS(Input_Konektivitas!$A$3:$A$563,$A10,Input_Konektivitas!$B$3:$B$563,O$3,Input_Konektivitas!$D$3:$D$563,"&gt;0")+COUNTIFS(Input_Konektivitas!$A$3:$A$563,O$3,Input_Konektivitas!$B$3:$B$563,$A10,Input_Konektivitas!$D$3:$D$563,"&gt;0"))=0,"",SUMIFS(Input_Konektivitas!$D$3:$D$563,Input_Konektivitas!$A$3:$A$563,$A10,Input_Konektivitas!$B$3:$B$563,O$3)+SUMIFS(Input_Konektivitas!$D$3:$D$563,Input_Konektivitas!$A$3:$A$563,O$3,Input_Konektivitas!$B$3:$B$563,$A10))</f>
        <v>3.67</v>
      </c>
      <c r="P10" s="27">
        <f>IF((COUNTIFS(Input_Konektivitas!$A$3:$A$563,$A10,Input_Konektivitas!$B$3:$B$563,P$3,Input_Konektivitas!$D$3:$D$563,"&gt;0")+COUNTIFS(Input_Konektivitas!$A$3:$A$563,P$3,Input_Konektivitas!$B$3:$B$563,$A10,Input_Konektivitas!$D$3:$D$563,"&gt;0"))=0,"",SUMIFS(Input_Konektivitas!$D$3:$D$563,Input_Konektivitas!$A$3:$A$563,$A10,Input_Konektivitas!$B$3:$B$563,P$3)+SUMIFS(Input_Konektivitas!$D$3:$D$563,Input_Konektivitas!$A$3:$A$563,P$3,Input_Konektivitas!$B$3:$B$563,$A10))</f>
        <v>3.75</v>
      </c>
      <c r="Q10" s="27" t="str">
        <f>IF((COUNTIFS(Input_Konektivitas!$A$3:$A$563,$A10,Input_Konektivitas!$B$3:$B$563,Q$3,Input_Konektivitas!$D$3:$D$563,"&gt;0")+COUNTIFS(Input_Konektivitas!$A$3:$A$563,Q$3,Input_Konektivitas!$B$3:$B$563,$A10,Input_Konektivitas!$D$3:$D$563,"&gt;0"))=0,"",SUMIFS(Input_Konektivitas!$D$3:$D$563,Input_Konektivitas!$A$3:$A$563,$A10,Input_Konektivitas!$B$3:$B$563,Q$3)+SUMIFS(Input_Konektivitas!$D$3:$D$563,Input_Konektivitas!$A$3:$A$563,Q$3,Input_Konektivitas!$B$3:$B$563,$A10))</f>
        <v/>
      </c>
      <c r="R10" s="27">
        <f>IF((COUNTIFS(Input_Konektivitas!$A$3:$A$563,$A10,Input_Konektivitas!$B$3:$B$563,R$3,Input_Konektivitas!$D$3:$D$563,"&gt;0")+COUNTIFS(Input_Konektivitas!$A$3:$A$563,R$3,Input_Konektivitas!$B$3:$B$563,$A10,Input_Konektivitas!$D$3:$D$563,"&gt;0"))=0,"",SUMIFS(Input_Konektivitas!$D$3:$D$563,Input_Konektivitas!$A$3:$A$563,$A10,Input_Konektivitas!$B$3:$B$563,R$3)+SUMIFS(Input_Konektivitas!$D$3:$D$563,Input_Konektivitas!$A$3:$A$563,R$3,Input_Konektivitas!$B$3:$B$563,$A10))</f>
        <v>4.08</v>
      </c>
      <c r="S10" s="27">
        <f>IF((COUNTIFS(Input_Konektivitas!$A$3:$A$563,$A10,Input_Konektivitas!$B$3:$B$563,S$3,Input_Konektivitas!$D$3:$D$563,"&gt;0")+COUNTIFS(Input_Konektivitas!$A$3:$A$563,S$3,Input_Konektivitas!$B$3:$B$563,$A10,Input_Konektivitas!$D$3:$D$563,"&gt;0"))=0,"",SUMIFS(Input_Konektivitas!$D$3:$D$563,Input_Konektivitas!$A$3:$A$563,$A10,Input_Konektivitas!$B$3:$B$563,S$3)+SUMIFS(Input_Konektivitas!$D$3:$D$563,Input_Konektivitas!$A$3:$A$563,S$3,Input_Konektivitas!$B$3:$B$563,$A10))</f>
        <v>5.5</v>
      </c>
      <c r="T10" s="27">
        <f>IF((COUNTIFS(Input_Konektivitas!$A$3:$A$563,$A10,Input_Konektivitas!$B$3:$B$563,T$3,Input_Konektivitas!$D$3:$D$563,"&gt;0")+COUNTIFS(Input_Konektivitas!$A$3:$A$563,T$3,Input_Konektivitas!$B$3:$B$563,$A10,Input_Konektivitas!$D$3:$D$563,"&gt;0"))=0,"",SUMIFS(Input_Konektivitas!$D$3:$D$563,Input_Konektivitas!$A$3:$A$563,$A10,Input_Konektivitas!$B$3:$B$563,T$3)+SUMIFS(Input_Konektivitas!$D$3:$D$563,Input_Konektivitas!$A$3:$A$563,T$3,Input_Konektivitas!$B$3:$B$563,$A10))</f>
        <v>7.25</v>
      </c>
      <c r="U10" s="27">
        <f>IF((COUNTIFS(Input_Konektivitas!$A$3:$A$563,$A10,Input_Konektivitas!$B$3:$B$563,U$3,Input_Konektivitas!$D$3:$D$563,"&gt;0")+COUNTIFS(Input_Konektivitas!$A$3:$A$563,U$3,Input_Konektivitas!$B$3:$B$563,$A10,Input_Konektivitas!$D$3:$D$563,"&gt;0"))=0,"",SUMIFS(Input_Konektivitas!$D$3:$D$563,Input_Konektivitas!$A$3:$A$563,$A10,Input_Konektivitas!$B$3:$B$563,U$3)+SUMIFS(Input_Konektivitas!$D$3:$D$563,Input_Konektivitas!$A$3:$A$563,U$3,Input_Konektivitas!$B$3:$B$563,$A10))</f>
        <v>3.75</v>
      </c>
      <c r="V10" s="27">
        <f>IF((COUNTIFS(Input_Konektivitas!$A$3:$A$563,$A10,Input_Konektivitas!$B$3:$B$563,V$3,Input_Konektivitas!$D$3:$D$563,"&gt;0")+COUNTIFS(Input_Konektivitas!$A$3:$A$563,V$3,Input_Konektivitas!$B$3:$B$563,$A10,Input_Konektivitas!$D$3:$D$563,"&gt;0"))=0,"",SUMIFS(Input_Konektivitas!$D$3:$D$563,Input_Konektivitas!$A$3:$A$563,$A10,Input_Konektivitas!$B$3:$B$563,V$3)+SUMIFS(Input_Konektivitas!$D$3:$D$563,Input_Konektivitas!$A$3:$A$563,V$3,Input_Konektivitas!$B$3:$B$563,$A10))</f>
        <v>5.25</v>
      </c>
      <c r="W10" s="27">
        <f>IF((COUNTIFS(Input_Konektivitas!$A$3:$A$563,$A10,Input_Konektivitas!$B$3:$B$563,W$3,Input_Konektivitas!$D$3:$D$563,"&gt;0")+COUNTIFS(Input_Konektivitas!$A$3:$A$563,W$3,Input_Konektivitas!$B$3:$B$563,$A10,Input_Konektivitas!$D$3:$D$563,"&gt;0"))=0,"",SUMIFS(Input_Konektivitas!$D$3:$D$563,Input_Konektivitas!$A$3:$A$563,$A10,Input_Konektivitas!$B$3:$B$563,W$3)+SUMIFS(Input_Konektivitas!$D$3:$D$563,Input_Konektivitas!$A$3:$A$563,W$3,Input_Konektivitas!$B$3:$B$563,$A10))</f>
        <v>4.58</v>
      </c>
      <c r="X10" s="27">
        <f>IF((COUNTIFS(Input_Konektivitas!$A$3:$A$563,$A10,Input_Konektivitas!$B$3:$B$563,X$3,Input_Konektivitas!$D$3:$D$563,"&gt;0")+COUNTIFS(Input_Konektivitas!$A$3:$A$563,X$3,Input_Konektivitas!$B$3:$B$563,$A10,Input_Konektivitas!$D$3:$D$563,"&gt;0"))=0,"",SUMIFS(Input_Konektivitas!$D$3:$D$563,Input_Konektivitas!$A$3:$A$563,$A10,Input_Konektivitas!$B$3:$B$563,X$3)+SUMIFS(Input_Konektivitas!$D$3:$D$563,Input_Konektivitas!$A$3:$A$563,X$3,Input_Konektivitas!$B$3:$B$563,$A10))</f>
        <v>5.33</v>
      </c>
      <c r="Y10" s="27">
        <f>IF((COUNTIFS(Input_Konektivitas!$A$3:$A$563,$A10,Input_Konektivitas!$B$3:$B$563,Y$3,Input_Konektivitas!$D$3:$D$563,"&gt;0")+COUNTIFS(Input_Konektivitas!$A$3:$A$563,Y$3,Input_Konektivitas!$B$3:$B$563,$A10,Input_Konektivitas!$D$3:$D$563,"&gt;0"))=0,"",SUMIFS(Input_Konektivitas!$D$3:$D$563,Input_Konektivitas!$A$3:$A$563,$A10,Input_Konektivitas!$B$3:$B$563,Y$3)+SUMIFS(Input_Konektivitas!$D$3:$D$563,Input_Konektivitas!$A$3:$A$563,Y$3,Input_Konektivitas!$B$3:$B$563,$A10))</f>
        <v>6.92</v>
      </c>
      <c r="Z10" s="27">
        <f>IF((COUNTIFS(Input_Konektivitas!$A$3:$A$563,$A10,Input_Konektivitas!$B$3:$B$563,Z$3,Input_Konektivitas!$D$3:$D$563,"&gt;0")+COUNTIFS(Input_Konektivitas!$A$3:$A$563,Z$3,Input_Konektivitas!$B$3:$B$563,$A10,Input_Konektivitas!$D$3:$D$563,"&gt;0"))=0,"",SUMIFS(Input_Konektivitas!$D$3:$D$563,Input_Konektivitas!$A$3:$A$563,$A10,Input_Konektivitas!$B$3:$B$563,Z$3)+SUMIFS(Input_Konektivitas!$D$3:$D$563,Input_Konektivitas!$A$3:$A$563,Z$3,Input_Konektivitas!$B$3:$B$563,$A10))</f>
        <v>6.5</v>
      </c>
      <c r="AA10" s="27">
        <f>IF((COUNTIFS(Input_Konektivitas!$A$3:$A$563,$A10,Input_Konektivitas!$B$3:$B$563,AA$3,Input_Konektivitas!$D$3:$D$563,"&gt;0")+COUNTIFS(Input_Konektivitas!$A$3:$A$563,AA$3,Input_Konektivitas!$B$3:$B$563,$A10,Input_Konektivitas!$D$3:$D$563,"&gt;0"))=0,"",SUMIFS(Input_Konektivitas!$D$3:$D$563,Input_Konektivitas!$A$3:$A$563,$A10,Input_Konektivitas!$B$3:$B$563,AA$3)+SUMIFS(Input_Konektivitas!$D$3:$D$563,Input_Konektivitas!$A$3:$A$563,AA$3,Input_Konektivitas!$B$3:$B$563,$A10))</f>
        <v>7.5</v>
      </c>
      <c r="AB10" s="27">
        <f>IF((COUNTIFS(Input_Konektivitas!$A$3:$A$563,$A10,Input_Konektivitas!$B$3:$B$563,AB$3,Input_Konektivitas!$D$3:$D$563,"&gt;0")+COUNTIFS(Input_Konektivitas!$A$3:$A$563,AB$3,Input_Konektivitas!$B$3:$B$563,$A10,Input_Konektivitas!$D$3:$D$563,"&gt;0"))=0,"",SUMIFS(Input_Konektivitas!$D$3:$D$563,Input_Konektivitas!$A$3:$A$563,$A10,Input_Konektivitas!$B$3:$B$563,AB$3)+SUMIFS(Input_Konektivitas!$D$3:$D$563,Input_Konektivitas!$A$3:$A$563,AB$3,Input_Konektivitas!$B$3:$B$563,$A10))</f>
        <v>5.5</v>
      </c>
      <c r="AC10" s="27">
        <f>IF((COUNTIFS(Input_Konektivitas!$A$3:$A$563,$A10,Input_Konektivitas!$B$3:$B$563,AC$3,Input_Konektivitas!$D$3:$D$563,"&gt;0")+COUNTIFS(Input_Konektivitas!$A$3:$A$563,AC$3,Input_Konektivitas!$B$3:$B$563,$A10,Input_Konektivitas!$D$3:$D$563,"&gt;0"))=0,"",SUMIFS(Input_Konektivitas!$D$3:$D$563,Input_Konektivitas!$A$3:$A$563,$A10,Input_Konektivitas!$B$3:$B$563,AC$3)+SUMIFS(Input_Konektivitas!$D$3:$D$563,Input_Konektivitas!$A$3:$A$563,AC$3,Input_Konektivitas!$B$3:$B$563,$A10))</f>
        <v>5.75</v>
      </c>
      <c r="AD10" s="27">
        <f>IF((COUNTIFS(Input_Konektivitas!$A$3:$A$563,$A10,Input_Konektivitas!$B$3:$B$563,AD$3,Input_Konektivitas!$D$3:$D$563,"&gt;0")+COUNTIFS(Input_Konektivitas!$A$3:$A$563,AD$3,Input_Konektivitas!$B$3:$B$563,$A10,Input_Konektivitas!$D$3:$D$563,"&gt;0"))=0,"",SUMIFS(Input_Konektivitas!$D$3:$D$563,Input_Konektivitas!$A$3:$A$563,$A10,Input_Konektivitas!$B$3:$B$563,AD$3)+SUMIFS(Input_Konektivitas!$D$3:$D$563,Input_Konektivitas!$A$3:$A$563,AD$3,Input_Konektivitas!$B$3:$B$563,$A10))</f>
        <v>7.17</v>
      </c>
      <c r="AE10" s="27">
        <f>IF((COUNTIFS(Input_Konektivitas!$A$3:$A$563,$A10,Input_Konektivitas!$B$3:$B$563,AE$3,Input_Konektivitas!$D$3:$D$563,"&gt;0")+COUNTIFS(Input_Konektivitas!$A$3:$A$563,AE$3,Input_Konektivitas!$B$3:$B$563,$A10,Input_Konektivitas!$D$3:$D$563,"&gt;0"))=0,"",SUMIFS(Input_Konektivitas!$D$3:$D$563,Input_Konektivitas!$A$3:$A$563,$A10,Input_Konektivitas!$B$3:$B$563,AE$3)+SUMIFS(Input_Konektivitas!$D$3:$D$563,Input_Konektivitas!$A$3:$A$563,AE$3,Input_Konektivitas!$B$3:$B$563,$A10))</f>
        <v>9.08</v>
      </c>
      <c r="AF10" s="27">
        <f>IF((COUNTIFS(Input_Konektivitas!$A$3:$A$563,$A10,Input_Konektivitas!$B$3:$B$563,AF$3,Input_Konektivitas!$D$3:$D$563,"&gt;0")+COUNTIFS(Input_Konektivitas!$A$3:$A$563,AF$3,Input_Konektivitas!$B$3:$B$563,$A10,Input_Konektivitas!$D$3:$D$563,"&gt;0"))=0,"",SUMIFS(Input_Konektivitas!$D$3:$D$563,Input_Konektivitas!$A$3:$A$563,$A10,Input_Konektivitas!$B$3:$B$563,AF$3)+SUMIFS(Input_Konektivitas!$D$3:$D$563,Input_Konektivitas!$A$3:$A$563,AF$3,Input_Konektivitas!$B$3:$B$563,$A10))</f>
        <v>12.17</v>
      </c>
      <c r="AG10" s="27">
        <f>IF((COUNTIFS(Input_Konektivitas!$A$3:$A$563,$A10,Input_Konektivitas!$B$3:$B$563,AG$3,Input_Konektivitas!$D$3:$D$563,"&gt;0")+COUNTIFS(Input_Konektivitas!$A$3:$A$563,AG$3,Input_Konektivitas!$B$3:$B$563,$A10,Input_Konektivitas!$D$3:$D$563,"&gt;0"))=0,"",SUMIFS(Input_Konektivitas!$D$3:$D$563,Input_Konektivitas!$A$3:$A$563,$A10,Input_Konektivitas!$B$3:$B$563,AG$3)+SUMIFS(Input_Konektivitas!$D$3:$D$563,Input_Konektivitas!$A$3:$A$563,AG$3,Input_Konektivitas!$B$3:$B$563,$A10))</f>
        <v>11.08</v>
      </c>
      <c r="AH10" s="27">
        <f>IF((COUNTIFS(Input_Konektivitas!$A$3:$A$563,$A10,Input_Konektivitas!$B$3:$B$563,AH$3,Input_Konektivitas!$D$3:$D$563,"&gt;0")+COUNTIFS(Input_Konektivitas!$A$3:$A$563,AH$3,Input_Konektivitas!$B$3:$B$563,$A10,Input_Konektivitas!$D$3:$D$563,"&gt;0"))=0,"",SUMIFS(Input_Konektivitas!$D$3:$D$563,Input_Konektivitas!$A$3:$A$563,$A10,Input_Konektivitas!$B$3:$B$563,AH$3)+SUMIFS(Input_Konektivitas!$D$3:$D$563,Input_Konektivitas!$A$3:$A$563,AH$3,Input_Konektivitas!$B$3:$B$563,$A10))</f>
        <v>12.75</v>
      </c>
      <c r="AI10" s="27">
        <f>IF((COUNTIFS(Input_Konektivitas!$A$3:$A$563,$A10,Input_Konektivitas!$B$3:$B$563,AI$3,Input_Konektivitas!$D$3:$D$563,"&gt;0")+COUNTIFS(Input_Konektivitas!$A$3:$A$563,AI$3,Input_Konektivitas!$B$3:$B$563,$A10,Input_Konektivitas!$D$3:$D$563,"&gt;0"))=0,"",SUMIFS(Input_Konektivitas!$D$3:$D$563,Input_Konektivitas!$A$3:$A$563,$A10,Input_Konektivitas!$B$3:$B$563,AI$3)+SUMIFS(Input_Konektivitas!$D$3:$D$563,Input_Konektivitas!$A$3:$A$563,AI$3,Input_Konektivitas!$B$3:$B$563,$A10))</f>
        <v>12.25</v>
      </c>
    </row>
    <row r="11" ht="14.25" customHeight="1">
      <c r="A11" s="22" t="s">
        <v>22</v>
      </c>
      <c r="B11" s="27">
        <f>IF((COUNTIFS(Input_Konektivitas!$A$3:$A$563,$A11,Input_Konektivitas!$B$3:$B$563,B$3,Input_Konektivitas!$D$3:$D$563,"&gt;0")+COUNTIFS(Input_Konektivitas!$A$3:$A$563,B$3,Input_Konektivitas!$B$3:$B$563,$A11,Input_Konektivitas!$D$3:$D$563,"&gt;0"))=0,"",SUMIFS(Input_Konektivitas!$D$3:$D$563,Input_Konektivitas!$A$3:$A$563,$A11,Input_Konektivitas!$B$3:$B$563,B$3)+SUMIFS(Input_Konektivitas!$D$3:$D$563,Input_Konektivitas!$A$3:$A$563,B$3,Input_Konektivitas!$B$3:$B$563,$A11))</f>
        <v>5.58</v>
      </c>
      <c r="C11" s="27">
        <f>IF((COUNTIFS(Input_Konektivitas!$A$3:$A$563,$A11,Input_Konektivitas!$B$3:$B$563,C$3,Input_Konektivitas!$D$3:$D$563,"&gt;0")+COUNTIFS(Input_Konektivitas!$A$3:$A$563,C$3,Input_Konektivitas!$B$3:$B$563,$A11,Input_Konektivitas!$D$3:$D$563,"&gt;0"))=0,"",SUMIFS(Input_Konektivitas!$D$3:$D$563,Input_Konektivitas!$A$3:$A$563,$A11,Input_Konektivitas!$B$3:$B$563,C$3)+SUMIFS(Input_Konektivitas!$D$3:$D$563,Input_Konektivitas!$A$3:$A$563,C$3,Input_Konektivitas!$B$3:$B$563,$A11))</f>
        <v>4.167</v>
      </c>
      <c r="D11" s="27">
        <f>IF((COUNTIFS(Input_Konektivitas!$A$3:$A$563,$A11,Input_Konektivitas!$B$3:$B$563,D$3,Input_Konektivitas!$D$3:$D$563,"&gt;0")+COUNTIFS(Input_Konektivitas!$A$3:$A$563,D$3,Input_Konektivitas!$B$3:$B$563,$A11,Input_Konektivitas!$D$3:$D$563,"&gt;0"))=0,"",SUMIFS(Input_Konektivitas!$D$3:$D$563,Input_Konektivitas!$A$3:$A$563,$A11,Input_Konektivitas!$B$3:$B$563,D$3)+SUMIFS(Input_Konektivitas!$D$3:$D$563,Input_Konektivitas!$A$3:$A$563,D$3,Input_Konektivitas!$B$3:$B$563,$A11))</f>
        <v>4.833</v>
      </c>
      <c r="E11" s="27">
        <f>IF((COUNTIFS(Input_Konektivitas!$A$3:$A$563,$A11,Input_Konektivitas!$B$3:$B$563,E$3,Input_Konektivitas!$D$3:$D$563,"&gt;0")+COUNTIFS(Input_Konektivitas!$A$3:$A$563,E$3,Input_Konektivitas!$B$3:$B$563,$A11,Input_Konektivitas!$D$3:$D$563,"&gt;0"))=0,"",SUMIFS(Input_Konektivitas!$D$3:$D$563,Input_Konektivitas!$A$3:$A$563,$A11,Input_Konektivitas!$B$3:$B$563,E$3)+SUMIFS(Input_Konektivitas!$D$3:$D$563,Input_Konektivitas!$A$3:$A$563,E$3,Input_Konektivitas!$B$3:$B$563,$A11))</f>
        <v>3.75</v>
      </c>
      <c r="F11" s="27">
        <f>IF((COUNTIFS(Input_Konektivitas!$A$3:$A$563,$A11,Input_Konektivitas!$B$3:$B$563,F$3,Input_Konektivitas!$D$3:$D$563,"&gt;0")+COUNTIFS(Input_Konektivitas!$A$3:$A$563,F$3,Input_Konektivitas!$B$3:$B$563,$A11,Input_Konektivitas!$D$3:$D$563,"&gt;0"))=0,"",SUMIFS(Input_Konektivitas!$D$3:$D$563,Input_Konektivitas!$A$3:$A$563,$A11,Input_Konektivitas!$B$3:$B$563,F$3)+SUMIFS(Input_Konektivitas!$D$3:$D$563,Input_Konektivitas!$A$3:$A$563,F$3,Input_Konektivitas!$B$3:$B$563,$A11))</f>
        <v>3.75</v>
      </c>
      <c r="G11" s="27">
        <f>IF((COUNTIFS(Input_Konektivitas!$A$3:$A$563,$A11,Input_Konektivitas!$B$3:$B$563,G$3,Input_Konektivitas!$D$3:$D$563,"&gt;0")+COUNTIFS(Input_Konektivitas!$A$3:$A$563,G$3,Input_Konektivitas!$B$3:$B$563,$A11,Input_Konektivitas!$D$3:$D$563,"&gt;0"))=0,"",SUMIFS(Input_Konektivitas!$D$3:$D$563,Input_Konektivitas!$A$3:$A$563,$A11,Input_Konektivitas!$B$3:$B$563,G$3)+SUMIFS(Input_Konektivitas!$D$3:$D$563,Input_Konektivitas!$A$3:$A$563,G$3,Input_Konektivitas!$B$3:$B$563,$A11))</f>
        <v>2.92</v>
      </c>
      <c r="H11" s="27">
        <f>IF((COUNTIFS(Input_Konektivitas!$A$3:$A$563,$A11,Input_Konektivitas!$B$3:$B$563,H$3,Input_Konektivitas!$D$3:$D$563,"&gt;0")+COUNTIFS(Input_Konektivitas!$A$3:$A$563,H$3,Input_Konektivitas!$B$3:$B$563,$A11,Input_Konektivitas!$D$3:$D$563,"&gt;0"))=0,"",SUMIFS(Input_Konektivitas!$D$3:$D$563,Input_Konektivitas!$A$3:$A$563,$A11,Input_Konektivitas!$B$3:$B$563,H$3)+SUMIFS(Input_Konektivitas!$D$3:$D$563,Input_Konektivitas!$A$3:$A$563,H$3,Input_Konektivitas!$B$3:$B$563,$A11))</f>
        <v>3.83</v>
      </c>
      <c r="I11" s="23">
        <v>0.0</v>
      </c>
      <c r="J11" s="27">
        <f>IF((COUNTIFS(Input_Konektivitas!$A$3:$A$563,$A11,Input_Konektivitas!$B$3:$B$563,J$3,Input_Konektivitas!$D$3:$D$563,"&gt;0")+COUNTIFS(Input_Konektivitas!$A$3:$A$563,J$3,Input_Konektivitas!$B$3:$B$563,$A11,Input_Konektivitas!$D$3:$D$563,"&gt;0"))=0,"",SUMIFS(Input_Konektivitas!$D$3:$D$563,Input_Konektivitas!$A$3:$A$563,$A11,Input_Konektivitas!$B$3:$B$563,J$3)+SUMIFS(Input_Konektivitas!$D$3:$D$563,Input_Konektivitas!$A$3:$A$563,J$3,Input_Konektivitas!$B$3:$B$563,$A11))</f>
        <v>4.33</v>
      </c>
      <c r="K11" s="27">
        <f>IF((COUNTIFS(Input_Konektivitas!$A$3:$A$563,$A11,Input_Konektivitas!$B$3:$B$563,K$3,Input_Konektivitas!$D$3:$D$563,"&gt;0")+COUNTIFS(Input_Konektivitas!$A$3:$A$563,K$3,Input_Konektivitas!$B$3:$B$563,$A11,Input_Konektivitas!$D$3:$D$563,"&gt;0"))=0,"",SUMIFS(Input_Konektivitas!$D$3:$D$563,Input_Konektivitas!$A$3:$A$563,$A11,Input_Konektivitas!$B$3:$B$563,K$3)+SUMIFS(Input_Konektivitas!$D$3:$D$563,Input_Konektivitas!$A$3:$A$563,K$3,Input_Konektivitas!$B$3:$B$563,$A11))</f>
        <v>4</v>
      </c>
      <c r="L11" s="27">
        <f>IF((COUNTIFS(Input_Konektivitas!$A$3:$A$563,$A11,Input_Konektivitas!$B$3:$B$563,L$3,Input_Konektivitas!$D$3:$D$563,"&gt;0")+COUNTIFS(Input_Konektivitas!$A$3:$A$563,L$3,Input_Konektivitas!$B$3:$B$563,$A11,Input_Konektivitas!$D$3:$D$563,"&gt;0"))=0,"",SUMIFS(Input_Konektivitas!$D$3:$D$563,Input_Konektivitas!$A$3:$A$563,$A11,Input_Konektivitas!$B$3:$B$563,L$3)+SUMIFS(Input_Konektivitas!$D$3:$D$563,Input_Konektivitas!$A$3:$A$563,L$3,Input_Konektivitas!$B$3:$B$563,$A11))</f>
        <v>0.75</v>
      </c>
      <c r="M11" s="27">
        <f>IF((COUNTIFS(Input_Konektivitas!$A$3:$A$563,$A11,Input_Konektivitas!$B$3:$B$563,M$3,Input_Konektivitas!$D$3:$D$563,"&gt;0")+COUNTIFS(Input_Konektivitas!$A$3:$A$563,M$3,Input_Konektivitas!$B$3:$B$563,$A11,Input_Konektivitas!$D$3:$D$563,"&gt;0"))=0,"",SUMIFS(Input_Konektivitas!$D$3:$D$563,Input_Konektivitas!$A$3:$A$563,$A11,Input_Konektivitas!$B$3:$B$563,M$3)+SUMIFS(Input_Konektivitas!$D$3:$D$563,Input_Konektivitas!$A$3:$A$563,M$3,Input_Konektivitas!$B$3:$B$563,$A11))</f>
        <v>22.25</v>
      </c>
      <c r="N11" s="27">
        <f>IF((COUNTIFS(Input_Konektivitas!$A$3:$A$563,$A11,Input_Konektivitas!$B$3:$B$563,N$3,Input_Konektivitas!$D$3:$D$563,"&gt;0")+COUNTIFS(Input_Konektivitas!$A$3:$A$563,N$3,Input_Konektivitas!$B$3:$B$563,$A11,Input_Konektivitas!$D$3:$D$563,"&gt;0"))=0,"",SUMIFS(Input_Konektivitas!$D$3:$D$563,Input_Konektivitas!$A$3:$A$563,$A11,Input_Konektivitas!$B$3:$B$563,N$3)+SUMIFS(Input_Konektivitas!$D$3:$D$563,Input_Konektivitas!$A$3:$A$563,N$3,Input_Konektivitas!$B$3:$B$563,$A11))</f>
        <v>4.33</v>
      </c>
      <c r="O11" s="27">
        <f>IF((COUNTIFS(Input_Konektivitas!$A$3:$A$563,$A11,Input_Konektivitas!$B$3:$B$563,O$3,Input_Konektivitas!$D$3:$D$563,"&gt;0")+COUNTIFS(Input_Konektivitas!$A$3:$A$563,O$3,Input_Konektivitas!$B$3:$B$563,$A11,Input_Konektivitas!$D$3:$D$563,"&gt;0"))=0,"",SUMIFS(Input_Konektivitas!$D$3:$D$563,Input_Konektivitas!$A$3:$A$563,$A11,Input_Konektivitas!$B$3:$B$563,O$3)+SUMIFS(Input_Konektivitas!$D$3:$D$563,Input_Konektivitas!$A$3:$A$563,O$3,Input_Konektivitas!$B$3:$B$563,$A11))</f>
        <v>2.92</v>
      </c>
      <c r="P11" s="27">
        <f>IF((COUNTIFS(Input_Konektivitas!$A$3:$A$563,$A11,Input_Konektivitas!$B$3:$B$563,P$3,Input_Konektivitas!$D$3:$D$563,"&gt;0")+COUNTIFS(Input_Konektivitas!$A$3:$A$563,P$3,Input_Konektivitas!$B$3:$B$563,$A11,Input_Konektivitas!$D$3:$D$563,"&gt;0"))=0,"",SUMIFS(Input_Konektivitas!$D$3:$D$563,Input_Konektivitas!$A$3:$A$563,$A11,Input_Konektivitas!$B$3:$B$563,P$3)+SUMIFS(Input_Konektivitas!$D$3:$D$563,Input_Konektivitas!$A$3:$A$563,P$3,Input_Konektivitas!$B$3:$B$563,$A11))</f>
        <v>3.25</v>
      </c>
      <c r="Q11" s="27" t="str">
        <f>IF((COUNTIFS(Input_Konektivitas!$A$3:$A$563,$A11,Input_Konektivitas!$B$3:$B$563,Q$3,Input_Konektivitas!$D$3:$D$563,"&gt;0")+COUNTIFS(Input_Konektivitas!$A$3:$A$563,Q$3,Input_Konektivitas!$B$3:$B$563,$A11,Input_Konektivitas!$D$3:$D$563,"&gt;0"))=0,"",SUMIFS(Input_Konektivitas!$D$3:$D$563,Input_Konektivitas!$A$3:$A$563,$A11,Input_Konektivitas!$B$3:$B$563,Q$3)+SUMIFS(Input_Konektivitas!$D$3:$D$563,Input_Konektivitas!$A$3:$A$563,Q$3,Input_Konektivitas!$B$3:$B$563,$A11))</f>
        <v/>
      </c>
      <c r="R11" s="27">
        <f>IF((COUNTIFS(Input_Konektivitas!$A$3:$A$563,$A11,Input_Konektivitas!$B$3:$B$563,R$3,Input_Konektivitas!$D$3:$D$563,"&gt;0")+COUNTIFS(Input_Konektivitas!$A$3:$A$563,R$3,Input_Konektivitas!$B$3:$B$563,$A11,Input_Konektivitas!$D$3:$D$563,"&gt;0"))=0,"",SUMIFS(Input_Konektivitas!$D$3:$D$563,Input_Konektivitas!$A$3:$A$563,$A11,Input_Konektivitas!$B$3:$B$563,R$3)+SUMIFS(Input_Konektivitas!$D$3:$D$563,Input_Konektivitas!$A$3:$A$563,R$3,Input_Konektivitas!$B$3:$B$563,$A11))</f>
        <v>3.5</v>
      </c>
      <c r="S11" s="27">
        <f>IF((COUNTIFS(Input_Konektivitas!$A$3:$A$563,$A11,Input_Konektivitas!$B$3:$B$563,S$3,Input_Konektivitas!$D$3:$D$563,"&gt;0")+COUNTIFS(Input_Konektivitas!$A$3:$A$563,S$3,Input_Konektivitas!$B$3:$B$563,$A11,Input_Konektivitas!$D$3:$D$563,"&gt;0"))=0,"",SUMIFS(Input_Konektivitas!$D$3:$D$563,Input_Konektivitas!$A$3:$A$563,$A11,Input_Konektivitas!$B$3:$B$563,S$3)+SUMIFS(Input_Konektivitas!$D$3:$D$563,Input_Konektivitas!$A$3:$A$563,S$3,Input_Konektivitas!$B$3:$B$563,$A11))</f>
        <v>3.92</v>
      </c>
      <c r="T11" s="27">
        <f>IF((COUNTIFS(Input_Konektivitas!$A$3:$A$563,$A11,Input_Konektivitas!$B$3:$B$563,T$3,Input_Konektivitas!$D$3:$D$563,"&gt;0")+COUNTIFS(Input_Konektivitas!$A$3:$A$563,T$3,Input_Konektivitas!$B$3:$B$563,$A11,Input_Konektivitas!$D$3:$D$563,"&gt;0"))=0,"",SUMIFS(Input_Konektivitas!$D$3:$D$563,Input_Konektivitas!$A$3:$A$563,$A11,Input_Konektivitas!$B$3:$B$563,T$3)+SUMIFS(Input_Konektivitas!$D$3:$D$563,Input_Konektivitas!$A$3:$A$563,T$3,Input_Konektivitas!$B$3:$B$563,$A11))</f>
        <v>11.92</v>
      </c>
      <c r="U11" s="27">
        <f>IF((COUNTIFS(Input_Konektivitas!$A$3:$A$563,$A11,Input_Konektivitas!$B$3:$B$563,U$3,Input_Konektivitas!$D$3:$D$563,"&gt;0")+COUNTIFS(Input_Konektivitas!$A$3:$A$563,U$3,Input_Konektivitas!$B$3:$B$563,$A11,Input_Konektivitas!$D$3:$D$563,"&gt;0"))=0,"",SUMIFS(Input_Konektivitas!$D$3:$D$563,Input_Konektivitas!$A$3:$A$563,$A11,Input_Konektivitas!$B$3:$B$563,U$3)+SUMIFS(Input_Konektivitas!$D$3:$D$563,Input_Konektivitas!$A$3:$A$563,U$3,Input_Konektivitas!$B$3:$B$563,$A11))</f>
        <v>3.17</v>
      </c>
      <c r="V11" s="27">
        <f>IF((COUNTIFS(Input_Konektivitas!$A$3:$A$563,$A11,Input_Konektivitas!$B$3:$B$563,V$3,Input_Konektivitas!$D$3:$D$563,"&gt;0")+COUNTIFS(Input_Konektivitas!$A$3:$A$563,V$3,Input_Konektivitas!$B$3:$B$563,$A11,Input_Konektivitas!$D$3:$D$563,"&gt;0"))=0,"",SUMIFS(Input_Konektivitas!$D$3:$D$563,Input_Konektivitas!$A$3:$A$563,$A11,Input_Konektivitas!$B$3:$B$563,V$3)+SUMIFS(Input_Konektivitas!$D$3:$D$563,Input_Konektivitas!$A$3:$A$563,V$3,Input_Konektivitas!$B$3:$B$563,$A11))</f>
        <v>4.67</v>
      </c>
      <c r="W11" s="27">
        <f>IF((COUNTIFS(Input_Konektivitas!$A$3:$A$563,$A11,Input_Konektivitas!$B$3:$B$563,W$3,Input_Konektivitas!$D$3:$D$563,"&gt;0")+COUNTIFS(Input_Konektivitas!$A$3:$A$563,W$3,Input_Konektivitas!$B$3:$B$563,$A11,Input_Konektivitas!$D$3:$D$563,"&gt;0"))=0,"",SUMIFS(Input_Konektivitas!$D$3:$D$563,Input_Konektivitas!$A$3:$A$563,$A11,Input_Konektivitas!$B$3:$B$563,W$3)+SUMIFS(Input_Konektivitas!$D$3:$D$563,Input_Konektivitas!$A$3:$A$563,W$3,Input_Konektivitas!$B$3:$B$563,$A11))</f>
        <v>4.67</v>
      </c>
      <c r="X11" s="27">
        <f>IF((COUNTIFS(Input_Konektivitas!$A$3:$A$563,$A11,Input_Konektivitas!$B$3:$B$563,X$3,Input_Konektivitas!$D$3:$D$563,"&gt;0")+COUNTIFS(Input_Konektivitas!$A$3:$A$563,X$3,Input_Konektivitas!$B$3:$B$563,$A11,Input_Konektivitas!$D$3:$D$563,"&gt;0"))=0,"",SUMIFS(Input_Konektivitas!$D$3:$D$563,Input_Konektivitas!$A$3:$A$563,$A11,Input_Konektivitas!$B$3:$B$563,X$3)+SUMIFS(Input_Konektivitas!$D$3:$D$563,Input_Konektivitas!$A$3:$A$563,X$3,Input_Konektivitas!$B$3:$B$563,$A11))</f>
        <v>5.25</v>
      </c>
      <c r="Y11" s="27">
        <f>IF((COUNTIFS(Input_Konektivitas!$A$3:$A$563,$A11,Input_Konektivitas!$B$3:$B$563,Y$3,Input_Konektivitas!$D$3:$D$563,"&gt;0")+COUNTIFS(Input_Konektivitas!$A$3:$A$563,Y$3,Input_Konektivitas!$B$3:$B$563,$A11,Input_Konektivitas!$D$3:$D$563,"&gt;0"))=0,"",SUMIFS(Input_Konektivitas!$D$3:$D$563,Input_Konektivitas!$A$3:$A$563,$A11,Input_Konektivitas!$B$3:$B$563,Y$3)+SUMIFS(Input_Konektivitas!$D$3:$D$563,Input_Konektivitas!$A$3:$A$563,Y$3,Input_Konektivitas!$B$3:$B$563,$A11))</f>
        <v>4.83</v>
      </c>
      <c r="Z11" s="27">
        <f>IF((COUNTIFS(Input_Konektivitas!$A$3:$A$563,$A11,Input_Konektivitas!$B$3:$B$563,Z$3,Input_Konektivitas!$D$3:$D$563,"&gt;0")+COUNTIFS(Input_Konektivitas!$A$3:$A$563,Z$3,Input_Konektivitas!$B$3:$B$563,$A11,Input_Konektivitas!$D$3:$D$563,"&gt;0"))=0,"",SUMIFS(Input_Konektivitas!$D$3:$D$563,Input_Konektivitas!$A$3:$A$563,$A11,Input_Konektivitas!$B$3:$B$563,Z$3)+SUMIFS(Input_Konektivitas!$D$3:$D$563,Input_Konektivitas!$A$3:$A$563,Z$3,Input_Konektivitas!$B$3:$B$563,$A11))</f>
        <v>5.58</v>
      </c>
      <c r="AA11" s="27">
        <f>IF((COUNTIFS(Input_Konektivitas!$A$3:$A$563,$A11,Input_Konektivitas!$B$3:$B$563,AA$3,Input_Konektivitas!$D$3:$D$563,"&gt;0")+COUNTIFS(Input_Konektivitas!$A$3:$A$563,AA$3,Input_Konektivitas!$B$3:$B$563,$A11,Input_Konektivitas!$D$3:$D$563,"&gt;0"))=0,"",SUMIFS(Input_Konektivitas!$D$3:$D$563,Input_Konektivitas!$A$3:$A$563,$A11,Input_Konektivitas!$B$3:$B$563,AA$3)+SUMIFS(Input_Konektivitas!$D$3:$D$563,Input_Konektivitas!$A$3:$A$563,AA$3,Input_Konektivitas!$B$3:$B$563,$A11))</f>
        <v>14.17</v>
      </c>
      <c r="AB11" s="27">
        <f>IF((COUNTIFS(Input_Konektivitas!$A$3:$A$563,$A11,Input_Konektivitas!$B$3:$B$563,AB$3,Input_Konektivitas!$D$3:$D$563,"&gt;0")+COUNTIFS(Input_Konektivitas!$A$3:$A$563,AB$3,Input_Konektivitas!$B$3:$B$563,$A11,Input_Konektivitas!$D$3:$D$563,"&gt;0"))=0,"",SUMIFS(Input_Konektivitas!$D$3:$D$563,Input_Konektivitas!$A$3:$A$563,$A11,Input_Konektivitas!$B$3:$B$563,AB$3)+SUMIFS(Input_Konektivitas!$D$3:$D$563,Input_Konektivitas!$A$3:$A$563,AB$3,Input_Konektivitas!$B$3:$B$563,$A11))</f>
        <v>4.33</v>
      </c>
      <c r="AC11" s="27">
        <f>IF((COUNTIFS(Input_Konektivitas!$A$3:$A$563,$A11,Input_Konektivitas!$B$3:$B$563,AC$3,Input_Konektivitas!$D$3:$D$563,"&gt;0")+COUNTIFS(Input_Konektivitas!$A$3:$A$563,AC$3,Input_Konektivitas!$B$3:$B$563,$A11,Input_Konektivitas!$D$3:$D$563,"&gt;0"))=0,"",SUMIFS(Input_Konektivitas!$D$3:$D$563,Input_Konektivitas!$A$3:$A$563,$A11,Input_Konektivitas!$B$3:$B$563,AC$3)+SUMIFS(Input_Konektivitas!$D$3:$D$563,Input_Konektivitas!$A$3:$A$563,AC$3,Input_Konektivitas!$B$3:$B$563,$A11))</f>
        <v>6.75</v>
      </c>
      <c r="AD11" s="27">
        <f>IF((COUNTIFS(Input_Konektivitas!$A$3:$A$563,$A11,Input_Konektivitas!$B$3:$B$563,AD$3,Input_Konektivitas!$D$3:$D$563,"&gt;0")+COUNTIFS(Input_Konektivitas!$A$3:$A$563,AD$3,Input_Konektivitas!$B$3:$B$563,$A11,Input_Konektivitas!$D$3:$D$563,"&gt;0"))=0,"",SUMIFS(Input_Konektivitas!$D$3:$D$563,Input_Konektivitas!$A$3:$A$563,$A11,Input_Konektivitas!$B$3:$B$563,AD$3)+SUMIFS(Input_Konektivitas!$D$3:$D$563,Input_Konektivitas!$A$3:$A$563,AD$3,Input_Konektivitas!$B$3:$B$563,$A11))</f>
        <v>17.83</v>
      </c>
      <c r="AE11" s="27">
        <f>IF((COUNTIFS(Input_Konektivitas!$A$3:$A$563,$A11,Input_Konektivitas!$B$3:$B$563,AE$3,Input_Konektivitas!$D$3:$D$563,"&gt;0")+COUNTIFS(Input_Konektivitas!$A$3:$A$563,AE$3,Input_Konektivitas!$B$3:$B$563,$A11,Input_Konektivitas!$D$3:$D$563,"&gt;0"))=0,"",SUMIFS(Input_Konektivitas!$D$3:$D$563,Input_Konektivitas!$A$3:$A$563,$A11,Input_Konektivitas!$B$3:$B$563,AE$3)+SUMIFS(Input_Konektivitas!$D$3:$D$563,Input_Konektivitas!$A$3:$A$563,AE$3,Input_Konektivitas!$B$3:$B$563,$A11))</f>
        <v>16.83</v>
      </c>
      <c r="AF11" s="27">
        <f>IF((COUNTIFS(Input_Konektivitas!$A$3:$A$563,$A11,Input_Konektivitas!$B$3:$B$563,AF$3,Input_Konektivitas!$D$3:$D$563,"&gt;0")+COUNTIFS(Input_Konektivitas!$A$3:$A$563,AF$3,Input_Konektivitas!$B$3:$B$563,$A11,Input_Konektivitas!$D$3:$D$563,"&gt;0"))=0,"",SUMIFS(Input_Konektivitas!$D$3:$D$563,Input_Konektivitas!$A$3:$A$563,$A11,Input_Konektivitas!$B$3:$B$563,AF$3)+SUMIFS(Input_Konektivitas!$D$3:$D$563,Input_Konektivitas!$A$3:$A$563,AF$3,Input_Konektivitas!$B$3:$B$563,$A11))</f>
        <v>6.17</v>
      </c>
      <c r="AG11" s="27">
        <f>IF((COUNTIFS(Input_Konektivitas!$A$3:$A$563,$A11,Input_Konektivitas!$B$3:$B$563,AG$3,Input_Konektivitas!$D$3:$D$563,"&gt;0")+COUNTIFS(Input_Konektivitas!$A$3:$A$563,AG$3,Input_Konektivitas!$B$3:$B$563,$A11,Input_Konektivitas!$D$3:$D$563,"&gt;0"))=0,"",SUMIFS(Input_Konektivitas!$D$3:$D$563,Input_Konektivitas!$A$3:$A$563,$A11,Input_Konektivitas!$B$3:$B$563,AG$3)+SUMIFS(Input_Konektivitas!$D$3:$D$563,Input_Konektivitas!$A$3:$A$563,AG$3,Input_Konektivitas!$B$3:$B$563,$A11))</f>
        <v>14.92</v>
      </c>
      <c r="AH11" s="27">
        <f>IF((COUNTIFS(Input_Konektivitas!$A$3:$A$563,$A11,Input_Konektivitas!$B$3:$B$563,AH$3,Input_Konektivitas!$D$3:$D$563,"&gt;0")+COUNTIFS(Input_Konektivitas!$A$3:$A$563,AH$3,Input_Konektivitas!$B$3:$B$563,$A11,Input_Konektivitas!$D$3:$D$563,"&gt;0"))=0,"",SUMIFS(Input_Konektivitas!$D$3:$D$563,Input_Konektivitas!$A$3:$A$563,$A11,Input_Konektivitas!$B$3:$B$563,AH$3)+SUMIFS(Input_Konektivitas!$D$3:$D$563,Input_Konektivitas!$A$3:$A$563,AH$3,Input_Konektivitas!$B$3:$B$563,$A11))</f>
        <v>6</v>
      </c>
      <c r="AI11" s="27">
        <f>IF((COUNTIFS(Input_Konektivitas!$A$3:$A$563,$A11,Input_Konektivitas!$B$3:$B$563,AI$3,Input_Konektivitas!$D$3:$D$563,"&gt;0")+COUNTIFS(Input_Konektivitas!$A$3:$A$563,AI$3,Input_Konektivitas!$B$3:$B$563,$A11,Input_Konektivitas!$D$3:$D$563,"&gt;0"))=0,"",SUMIFS(Input_Konektivitas!$D$3:$D$563,Input_Konektivitas!$A$3:$A$563,$A11,Input_Konektivitas!$B$3:$B$563,AI$3)+SUMIFS(Input_Konektivitas!$D$3:$D$563,Input_Konektivitas!$A$3:$A$563,AI$3,Input_Konektivitas!$B$3:$B$563,$A11))</f>
        <v>11.25</v>
      </c>
    </row>
    <row r="12" ht="14.25" customHeight="1">
      <c r="A12" s="22" t="s">
        <v>25</v>
      </c>
      <c r="B12" s="27">
        <f>IF((COUNTIFS(Input_Konektivitas!$A$3:$A$563,$A12,Input_Konektivitas!$B$3:$B$563,B$3,Input_Konektivitas!$D$3:$D$563,"&gt;0")+COUNTIFS(Input_Konektivitas!$A$3:$A$563,B$3,Input_Konektivitas!$B$3:$B$563,$A12,Input_Konektivitas!$D$3:$D$563,"&gt;0"))=0,"",SUMIFS(Input_Konektivitas!$D$3:$D$563,Input_Konektivitas!$A$3:$A$563,$A12,Input_Konektivitas!$B$3:$B$563,B$3)+SUMIFS(Input_Konektivitas!$D$3:$D$563,Input_Konektivitas!$A$3:$A$563,B$3,Input_Konektivitas!$B$3:$B$563,$A12))</f>
        <v>9.4167</v>
      </c>
      <c r="C12" s="27">
        <f>IF((COUNTIFS(Input_Konektivitas!$A$3:$A$563,$A12,Input_Konektivitas!$B$3:$B$563,C$3,Input_Konektivitas!$D$3:$D$563,"&gt;0")+COUNTIFS(Input_Konektivitas!$A$3:$A$563,C$3,Input_Konektivitas!$B$3:$B$563,$A12,Input_Konektivitas!$D$3:$D$563,"&gt;0"))=0,"",SUMIFS(Input_Konektivitas!$D$3:$D$563,Input_Konektivitas!$A$3:$A$563,$A12,Input_Konektivitas!$B$3:$B$563,C$3)+SUMIFS(Input_Konektivitas!$D$3:$D$563,Input_Konektivitas!$A$3:$A$563,C$3,Input_Konektivitas!$B$3:$B$563,$A12))</f>
        <v>5.5</v>
      </c>
      <c r="D12" s="27">
        <f>IF((COUNTIFS(Input_Konektivitas!$A$3:$A$563,$A12,Input_Konektivitas!$B$3:$B$563,D$3,Input_Konektivitas!$D$3:$D$563,"&gt;0")+COUNTIFS(Input_Konektivitas!$A$3:$A$563,D$3,Input_Konektivitas!$B$3:$B$563,$A12,Input_Konektivitas!$D$3:$D$563,"&gt;0"))=0,"",SUMIFS(Input_Konektivitas!$D$3:$D$563,Input_Konektivitas!$A$3:$A$563,$A12,Input_Konektivitas!$B$3:$B$563,D$3)+SUMIFS(Input_Konektivitas!$D$3:$D$563,Input_Konektivitas!$A$3:$A$563,D$3,Input_Konektivitas!$B$3:$B$563,$A12))</f>
        <v>4.833</v>
      </c>
      <c r="E12" s="27">
        <f>IF((COUNTIFS(Input_Konektivitas!$A$3:$A$563,$A12,Input_Konektivitas!$B$3:$B$563,E$3,Input_Konektivitas!$D$3:$D$563,"&gt;0")+COUNTIFS(Input_Konektivitas!$A$3:$A$563,E$3,Input_Konektivitas!$B$3:$B$563,$A12,Input_Konektivitas!$D$3:$D$563,"&gt;0"))=0,"",SUMIFS(Input_Konektivitas!$D$3:$D$563,Input_Konektivitas!$A$3:$A$563,$A12,Input_Konektivitas!$B$3:$B$563,E$3)+SUMIFS(Input_Konektivitas!$D$3:$D$563,Input_Konektivitas!$A$3:$A$563,E$3,Input_Konektivitas!$B$3:$B$563,$A12))</f>
        <v>5.5</v>
      </c>
      <c r="F12" s="27">
        <f>IF((COUNTIFS(Input_Konektivitas!$A$3:$A$563,$A12,Input_Konektivitas!$B$3:$B$563,F$3,Input_Konektivitas!$D$3:$D$563,"&gt;0")+COUNTIFS(Input_Konektivitas!$A$3:$A$563,F$3,Input_Konektivitas!$B$3:$B$563,$A12,Input_Konektivitas!$D$3:$D$563,"&gt;0"))=0,"",SUMIFS(Input_Konektivitas!$D$3:$D$563,Input_Konektivitas!$A$3:$A$563,$A12,Input_Konektivitas!$B$3:$B$563,F$3)+SUMIFS(Input_Konektivitas!$D$3:$D$563,Input_Konektivitas!$A$3:$A$563,F$3,Input_Konektivitas!$B$3:$B$563,$A12))</f>
        <v>4</v>
      </c>
      <c r="G12" s="27">
        <f>IF((COUNTIFS(Input_Konektivitas!$A$3:$A$563,$A12,Input_Konektivitas!$B$3:$B$563,G$3,Input_Konektivitas!$D$3:$D$563,"&gt;0")+COUNTIFS(Input_Konektivitas!$A$3:$A$563,G$3,Input_Konektivitas!$B$3:$B$563,$A12,Input_Konektivitas!$D$3:$D$563,"&gt;0"))=0,"",SUMIFS(Input_Konektivitas!$D$3:$D$563,Input_Konektivitas!$A$3:$A$563,$A12,Input_Konektivitas!$B$3:$B$563,G$3)+SUMIFS(Input_Konektivitas!$D$3:$D$563,Input_Konektivitas!$A$3:$A$563,G$3,Input_Konektivitas!$B$3:$B$563,$A12))</f>
        <v>0.75</v>
      </c>
      <c r="H12" s="27">
        <f>IF((COUNTIFS(Input_Konektivitas!$A$3:$A$563,$A12,Input_Konektivitas!$B$3:$B$563,H$3,Input_Konektivitas!$D$3:$D$563,"&gt;0")+COUNTIFS(Input_Konektivitas!$A$3:$A$563,H$3,Input_Konektivitas!$B$3:$B$563,$A12,Input_Konektivitas!$D$3:$D$563,"&gt;0"))=0,"",SUMIFS(Input_Konektivitas!$D$3:$D$563,Input_Konektivitas!$A$3:$A$563,$A12,Input_Konektivitas!$B$3:$B$563,H$3)+SUMIFS(Input_Konektivitas!$D$3:$D$563,Input_Konektivitas!$A$3:$A$563,H$3,Input_Konektivitas!$B$3:$B$563,$A12))</f>
        <v>4.5</v>
      </c>
      <c r="I12" s="27">
        <f>IF((COUNTIFS(Input_Konektivitas!$A$3:$A$563,$A12,Input_Konektivitas!$B$3:$B$563,I$3,Input_Konektivitas!$D$3:$D$563,"&gt;0")+COUNTIFS(Input_Konektivitas!$A$3:$A$563,I$3,Input_Konektivitas!$B$3:$B$563,$A12,Input_Konektivitas!$D$3:$D$563,"&gt;0"))=0,"",SUMIFS(Input_Konektivitas!$D$3:$D$563,Input_Konektivitas!$A$3:$A$563,$A12,Input_Konektivitas!$B$3:$B$563,I$3)+SUMIFS(Input_Konektivitas!$D$3:$D$563,Input_Konektivitas!$A$3:$A$563,I$3,Input_Konektivitas!$B$3:$B$563,$A12))</f>
        <v>4.33</v>
      </c>
      <c r="J12" s="23">
        <v>0.0</v>
      </c>
      <c r="K12" s="27">
        <f>IF((COUNTIFS(Input_Konektivitas!$A$3:$A$563,$A12,Input_Konektivitas!$B$3:$B$563,K$3,Input_Konektivitas!$D$3:$D$563,"&gt;0")+COUNTIFS(Input_Konektivitas!$A$3:$A$563,K$3,Input_Konektivitas!$B$3:$B$563,$A12,Input_Konektivitas!$D$3:$D$563,"&gt;0"))=0,"",SUMIFS(Input_Konektivitas!$D$3:$D$563,Input_Konektivitas!$A$3:$A$563,$A12,Input_Konektivitas!$B$3:$B$563,K$3)+SUMIFS(Input_Konektivitas!$D$3:$D$563,Input_Konektivitas!$A$3:$A$563,K$3,Input_Konektivitas!$B$3:$B$563,$A12))</f>
        <v>1.5</v>
      </c>
      <c r="L12" s="27">
        <f>IF((COUNTIFS(Input_Konektivitas!$A$3:$A$563,$A12,Input_Konektivitas!$B$3:$B$563,L$3,Input_Konektivitas!$D$3:$D$563,"&gt;0")+COUNTIFS(Input_Konektivitas!$A$3:$A$563,L$3,Input_Konektivitas!$B$3:$B$563,$A12,Input_Konektivitas!$D$3:$D$563,"&gt;0"))=0,"",SUMIFS(Input_Konektivitas!$D$3:$D$563,Input_Konektivitas!$A$3:$A$563,$A12,Input_Konektivitas!$B$3:$B$563,L$3)+SUMIFS(Input_Konektivitas!$D$3:$D$563,Input_Konektivitas!$A$3:$A$563,L$3,Input_Konektivitas!$B$3:$B$563,$A12))</f>
        <v>1.17</v>
      </c>
      <c r="M12" s="27" t="str">
        <f>IF((COUNTIFS(Input_Konektivitas!$A$3:$A$563,$A12,Input_Konektivitas!$B$3:$B$563,M$3,Input_Konektivitas!$D$3:$D$563,"&gt;0")+COUNTIFS(Input_Konektivitas!$A$3:$A$563,M$3,Input_Konektivitas!$B$3:$B$563,$A12,Input_Konektivitas!$D$3:$D$563,"&gt;0"))=0,"",SUMIFS(Input_Konektivitas!$D$3:$D$563,Input_Konektivitas!$A$3:$A$563,$A12,Input_Konektivitas!$B$3:$B$563,M$3)+SUMIFS(Input_Konektivitas!$D$3:$D$563,Input_Konektivitas!$A$3:$A$563,M$3,Input_Konektivitas!$B$3:$B$563,$A12))</f>
        <v/>
      </c>
      <c r="N12" s="27">
        <f>IF((COUNTIFS(Input_Konektivitas!$A$3:$A$563,$A12,Input_Konektivitas!$B$3:$B$563,N$3,Input_Konektivitas!$D$3:$D$563,"&gt;0")+COUNTIFS(Input_Konektivitas!$A$3:$A$563,N$3,Input_Konektivitas!$B$3:$B$563,$A12,Input_Konektivitas!$D$3:$D$563,"&gt;0"))=0,"",SUMIFS(Input_Konektivitas!$D$3:$D$563,Input_Konektivitas!$A$3:$A$563,$A12,Input_Konektivitas!$B$3:$B$563,N$3)+SUMIFS(Input_Konektivitas!$D$3:$D$563,Input_Konektivitas!$A$3:$A$563,N$3,Input_Konektivitas!$B$3:$B$563,$A12))</f>
        <v>3.17</v>
      </c>
      <c r="O12" s="27">
        <f>IF((COUNTIFS(Input_Konektivitas!$A$3:$A$563,$A12,Input_Konektivitas!$B$3:$B$563,O$3,Input_Konektivitas!$D$3:$D$563,"&gt;0")+COUNTIFS(Input_Konektivitas!$A$3:$A$563,O$3,Input_Konektivitas!$B$3:$B$563,$A12,Input_Konektivitas!$D$3:$D$563,"&gt;0"))=0,"",SUMIFS(Input_Konektivitas!$D$3:$D$563,Input_Konektivitas!$A$3:$A$563,$A12,Input_Konektivitas!$B$3:$B$563,O$3)+SUMIFS(Input_Konektivitas!$D$3:$D$563,Input_Konektivitas!$A$3:$A$563,O$3,Input_Konektivitas!$B$3:$B$563,$A12))</f>
        <v>3.25</v>
      </c>
      <c r="P12" s="27">
        <f>IF((COUNTIFS(Input_Konektivitas!$A$3:$A$563,$A12,Input_Konektivitas!$B$3:$B$563,P$3,Input_Konektivitas!$D$3:$D$563,"&gt;0")+COUNTIFS(Input_Konektivitas!$A$3:$A$563,P$3,Input_Konektivitas!$B$3:$B$563,$A12,Input_Konektivitas!$D$3:$D$563,"&gt;0"))=0,"",SUMIFS(Input_Konektivitas!$D$3:$D$563,Input_Konektivitas!$A$3:$A$563,$A12,Input_Konektivitas!$B$3:$B$563,P$3)+SUMIFS(Input_Konektivitas!$D$3:$D$563,Input_Konektivitas!$A$3:$A$563,P$3,Input_Konektivitas!$B$3:$B$563,$A12))</f>
        <v>3.33</v>
      </c>
      <c r="Q12" s="27" t="str">
        <f>IF((COUNTIFS(Input_Konektivitas!$A$3:$A$563,$A12,Input_Konektivitas!$B$3:$B$563,Q$3,Input_Konektivitas!$D$3:$D$563,"&gt;0")+COUNTIFS(Input_Konektivitas!$A$3:$A$563,Q$3,Input_Konektivitas!$B$3:$B$563,$A12,Input_Konektivitas!$D$3:$D$563,"&gt;0"))=0,"",SUMIFS(Input_Konektivitas!$D$3:$D$563,Input_Konektivitas!$A$3:$A$563,$A12,Input_Konektivitas!$B$3:$B$563,Q$3)+SUMIFS(Input_Konektivitas!$D$3:$D$563,Input_Konektivitas!$A$3:$A$563,Q$3,Input_Konektivitas!$B$3:$B$563,$A12))</f>
        <v/>
      </c>
      <c r="R12" s="27">
        <f>IF((COUNTIFS(Input_Konektivitas!$A$3:$A$563,$A12,Input_Konektivitas!$B$3:$B$563,R$3,Input_Konektivitas!$D$3:$D$563,"&gt;0")+COUNTIFS(Input_Konektivitas!$A$3:$A$563,R$3,Input_Konektivitas!$B$3:$B$563,$A12,Input_Konektivitas!$D$3:$D$563,"&gt;0"))=0,"",SUMIFS(Input_Konektivitas!$D$3:$D$563,Input_Konektivitas!$A$3:$A$563,$A12,Input_Konektivitas!$B$3:$B$563,R$3)+SUMIFS(Input_Konektivitas!$D$3:$D$563,Input_Konektivitas!$A$3:$A$563,R$3,Input_Konektivitas!$B$3:$B$563,$A12))</f>
        <v>4</v>
      </c>
      <c r="S12" s="27">
        <f>IF((COUNTIFS(Input_Konektivitas!$A$3:$A$563,$A12,Input_Konektivitas!$B$3:$B$563,S$3,Input_Konektivitas!$D$3:$D$563,"&gt;0")+COUNTIFS(Input_Konektivitas!$A$3:$A$563,S$3,Input_Konektivitas!$B$3:$B$563,$A12,Input_Konektivitas!$D$3:$D$563,"&gt;0"))=0,"",SUMIFS(Input_Konektivitas!$D$3:$D$563,Input_Konektivitas!$A$3:$A$563,$A12,Input_Konektivitas!$B$3:$B$563,S$3)+SUMIFS(Input_Konektivitas!$D$3:$D$563,Input_Konektivitas!$A$3:$A$563,S$3,Input_Konektivitas!$B$3:$B$563,$A12))</f>
        <v>4.58</v>
      </c>
      <c r="T12" s="27">
        <f>IF((COUNTIFS(Input_Konektivitas!$A$3:$A$563,$A12,Input_Konektivitas!$B$3:$B$563,T$3,Input_Konektivitas!$D$3:$D$563,"&gt;0")+COUNTIFS(Input_Konektivitas!$A$3:$A$563,T$3,Input_Konektivitas!$B$3:$B$563,$A12,Input_Konektivitas!$D$3:$D$563,"&gt;0"))=0,"",SUMIFS(Input_Konektivitas!$D$3:$D$563,Input_Konektivitas!$A$3:$A$563,$A12,Input_Konektivitas!$B$3:$B$563,T$3)+SUMIFS(Input_Konektivitas!$D$3:$D$563,Input_Konektivitas!$A$3:$A$563,T$3,Input_Konektivitas!$B$3:$B$563,$A12))</f>
        <v>7.08333333</v>
      </c>
      <c r="U12" s="27">
        <f>IF((COUNTIFS(Input_Konektivitas!$A$3:$A$563,$A12,Input_Konektivitas!$B$3:$B$563,U$3,Input_Konektivitas!$D$3:$D$563,"&gt;0")+COUNTIFS(Input_Konektivitas!$A$3:$A$563,U$3,Input_Konektivitas!$B$3:$B$563,$A12,Input_Konektivitas!$D$3:$D$563,"&gt;0"))=0,"",SUMIFS(Input_Konektivitas!$D$3:$D$563,Input_Konektivitas!$A$3:$A$563,$A12,Input_Konektivitas!$B$3:$B$563,U$3)+SUMIFS(Input_Konektivitas!$D$3:$D$563,Input_Konektivitas!$A$3:$A$563,U$3,Input_Konektivitas!$B$3:$B$563,$A12))</f>
        <v>3</v>
      </c>
      <c r="V12" s="27">
        <f>IF((COUNTIFS(Input_Konektivitas!$A$3:$A$563,$A12,Input_Konektivitas!$B$3:$B$563,V$3,Input_Konektivitas!$D$3:$D$563,"&gt;0")+COUNTIFS(Input_Konektivitas!$A$3:$A$563,V$3,Input_Konektivitas!$B$3:$B$563,$A12,Input_Konektivitas!$D$3:$D$563,"&gt;0"))=0,"",SUMIFS(Input_Konektivitas!$D$3:$D$563,Input_Konektivitas!$A$3:$A$563,$A12,Input_Konektivitas!$B$3:$B$563,V$3)+SUMIFS(Input_Konektivitas!$D$3:$D$563,Input_Konektivitas!$A$3:$A$563,V$3,Input_Konektivitas!$B$3:$B$563,$A12))</f>
        <v>4.17</v>
      </c>
      <c r="W12" s="27">
        <f>IF((COUNTIFS(Input_Konektivitas!$A$3:$A$563,$A12,Input_Konektivitas!$B$3:$B$563,W$3,Input_Konektivitas!$D$3:$D$563,"&gt;0")+COUNTIFS(Input_Konektivitas!$A$3:$A$563,W$3,Input_Konektivitas!$B$3:$B$563,$A12,Input_Konektivitas!$D$3:$D$563,"&gt;0"))=0,"",SUMIFS(Input_Konektivitas!$D$3:$D$563,Input_Konektivitas!$A$3:$A$563,$A12,Input_Konektivitas!$B$3:$B$563,W$3)+SUMIFS(Input_Konektivitas!$D$3:$D$563,Input_Konektivitas!$A$3:$A$563,W$3,Input_Konektivitas!$B$3:$B$563,$A12))</f>
        <v>4.75</v>
      </c>
      <c r="X12" s="27">
        <f>IF((COUNTIFS(Input_Konektivitas!$A$3:$A$563,$A12,Input_Konektivitas!$B$3:$B$563,X$3,Input_Konektivitas!$D$3:$D$563,"&gt;0")+COUNTIFS(Input_Konektivitas!$A$3:$A$563,X$3,Input_Konektivitas!$B$3:$B$563,$A12,Input_Konektivitas!$D$3:$D$563,"&gt;0"))=0,"",SUMIFS(Input_Konektivitas!$D$3:$D$563,Input_Konektivitas!$A$3:$A$563,$A12,Input_Konektivitas!$B$3:$B$563,X$3)+SUMIFS(Input_Konektivitas!$D$3:$D$563,Input_Konektivitas!$A$3:$A$563,X$3,Input_Konektivitas!$B$3:$B$563,$A12))</f>
        <v>6.5</v>
      </c>
      <c r="Y12" s="27">
        <f>IF((COUNTIFS(Input_Konektivitas!$A$3:$A$563,$A12,Input_Konektivitas!$B$3:$B$563,Y$3,Input_Konektivitas!$D$3:$D$563,"&gt;0")+COUNTIFS(Input_Konektivitas!$A$3:$A$563,Y$3,Input_Konektivitas!$B$3:$B$563,$A12,Input_Konektivitas!$D$3:$D$563,"&gt;0"))=0,"",SUMIFS(Input_Konektivitas!$D$3:$D$563,Input_Konektivitas!$A$3:$A$563,$A12,Input_Konektivitas!$B$3:$B$563,Y$3)+SUMIFS(Input_Konektivitas!$D$3:$D$563,Input_Konektivitas!$A$3:$A$563,Y$3,Input_Konektivitas!$B$3:$B$563,$A12))</f>
        <v>18.67</v>
      </c>
      <c r="Z12" s="27">
        <f>IF((COUNTIFS(Input_Konektivitas!$A$3:$A$563,$A12,Input_Konektivitas!$B$3:$B$563,Z$3,Input_Konektivitas!$D$3:$D$563,"&gt;0")+COUNTIFS(Input_Konektivitas!$A$3:$A$563,Z$3,Input_Konektivitas!$B$3:$B$563,$A12,Input_Konektivitas!$D$3:$D$563,"&gt;0"))=0,"",SUMIFS(Input_Konektivitas!$D$3:$D$563,Input_Konektivitas!$A$3:$A$563,$A12,Input_Konektivitas!$B$3:$B$563,Z$3)+SUMIFS(Input_Konektivitas!$D$3:$D$563,Input_Konektivitas!$A$3:$A$563,Z$3,Input_Konektivitas!$B$3:$B$563,$A12))</f>
        <v>10.83</v>
      </c>
      <c r="AA12" s="27">
        <f>IF((COUNTIFS(Input_Konektivitas!$A$3:$A$563,$A12,Input_Konektivitas!$B$3:$B$563,AA$3,Input_Konektivitas!$D$3:$D$563,"&gt;0")+COUNTIFS(Input_Konektivitas!$A$3:$A$563,AA$3,Input_Konektivitas!$B$3:$B$563,$A12,Input_Konektivitas!$D$3:$D$563,"&gt;0"))=0,"",SUMIFS(Input_Konektivitas!$D$3:$D$563,Input_Konektivitas!$A$3:$A$563,$A12,Input_Konektivitas!$B$3:$B$563,AA$3)+SUMIFS(Input_Konektivitas!$D$3:$D$563,Input_Konektivitas!$A$3:$A$563,AA$3,Input_Konektivitas!$B$3:$B$563,$A12))</f>
        <v>12.17</v>
      </c>
      <c r="AB12" s="27">
        <f>IF((COUNTIFS(Input_Konektivitas!$A$3:$A$563,$A12,Input_Konektivitas!$B$3:$B$563,AB$3,Input_Konektivitas!$D$3:$D$563,"&gt;0")+COUNTIFS(Input_Konektivitas!$A$3:$A$563,AB$3,Input_Konektivitas!$B$3:$B$563,$A12,Input_Konektivitas!$D$3:$D$563,"&gt;0"))=0,"",SUMIFS(Input_Konektivitas!$D$3:$D$563,Input_Konektivitas!$A$3:$A$563,$A12,Input_Konektivitas!$B$3:$B$563,AB$3)+SUMIFS(Input_Konektivitas!$D$3:$D$563,Input_Konektivitas!$A$3:$A$563,AB$3,Input_Konektivitas!$B$3:$B$563,$A12))</f>
        <v>4.58</v>
      </c>
      <c r="AC12" s="27">
        <f>IF((COUNTIFS(Input_Konektivitas!$A$3:$A$563,$A12,Input_Konektivitas!$B$3:$B$563,AC$3,Input_Konektivitas!$D$3:$D$563,"&gt;0")+COUNTIFS(Input_Konektivitas!$A$3:$A$563,AC$3,Input_Konektivitas!$B$3:$B$563,$A12,Input_Konektivitas!$D$3:$D$563,"&gt;0"))=0,"",SUMIFS(Input_Konektivitas!$D$3:$D$563,Input_Konektivitas!$A$3:$A$563,$A12,Input_Konektivitas!$B$3:$B$563,AC$3)+SUMIFS(Input_Konektivitas!$D$3:$D$563,Input_Konektivitas!$A$3:$A$563,AC$3,Input_Konektivitas!$B$3:$B$563,$A12))</f>
        <v>6.25</v>
      </c>
      <c r="AD12" s="27">
        <f>IF((COUNTIFS(Input_Konektivitas!$A$3:$A$563,$A12,Input_Konektivitas!$B$3:$B$563,AD$3,Input_Konektivitas!$D$3:$D$563,"&gt;0")+COUNTIFS(Input_Konektivitas!$A$3:$A$563,AD$3,Input_Konektivitas!$B$3:$B$563,$A12,Input_Konektivitas!$D$3:$D$563,"&gt;0"))=0,"",SUMIFS(Input_Konektivitas!$D$3:$D$563,Input_Konektivitas!$A$3:$A$563,$A12,Input_Konektivitas!$B$3:$B$563,AD$3)+SUMIFS(Input_Konektivitas!$D$3:$D$563,Input_Konektivitas!$A$3:$A$563,AD$3,Input_Konektivitas!$B$3:$B$563,$A12))</f>
        <v>14.92</v>
      </c>
      <c r="AE12" s="27">
        <f>IF((COUNTIFS(Input_Konektivitas!$A$3:$A$563,$A12,Input_Konektivitas!$B$3:$B$563,AE$3,Input_Konektivitas!$D$3:$D$563,"&gt;0")+COUNTIFS(Input_Konektivitas!$A$3:$A$563,AE$3,Input_Konektivitas!$B$3:$B$563,$A12,Input_Konektivitas!$D$3:$D$563,"&gt;0"))=0,"",SUMIFS(Input_Konektivitas!$D$3:$D$563,Input_Konektivitas!$A$3:$A$563,$A12,Input_Konektivitas!$B$3:$B$563,AE$3)+SUMIFS(Input_Konektivitas!$D$3:$D$563,Input_Konektivitas!$A$3:$A$563,AE$3,Input_Konektivitas!$B$3:$B$563,$A12))</f>
        <v>15.08333</v>
      </c>
      <c r="AF12" s="27">
        <f>IF((COUNTIFS(Input_Konektivitas!$A$3:$A$563,$A12,Input_Konektivitas!$B$3:$B$563,AF$3,Input_Konektivitas!$D$3:$D$563,"&gt;0")+COUNTIFS(Input_Konektivitas!$A$3:$A$563,AF$3,Input_Konektivitas!$B$3:$B$563,$A12,Input_Konektivitas!$D$3:$D$563,"&gt;0"))=0,"",SUMIFS(Input_Konektivitas!$D$3:$D$563,Input_Konektivitas!$A$3:$A$563,$A12,Input_Konektivitas!$B$3:$B$563,AF$3)+SUMIFS(Input_Konektivitas!$D$3:$D$563,Input_Konektivitas!$A$3:$A$563,AF$3,Input_Konektivitas!$B$3:$B$563,$A12))</f>
        <v>10.833</v>
      </c>
      <c r="AG12" s="27">
        <f>IF((COUNTIFS(Input_Konektivitas!$A$3:$A$563,$A12,Input_Konektivitas!$B$3:$B$563,AG$3,Input_Konektivitas!$D$3:$D$563,"&gt;0")+COUNTIFS(Input_Konektivitas!$A$3:$A$563,AG$3,Input_Konektivitas!$B$3:$B$563,$A12,Input_Konektivitas!$D$3:$D$563,"&gt;0"))=0,"",SUMIFS(Input_Konektivitas!$D$3:$D$563,Input_Konektivitas!$A$3:$A$563,$A12,Input_Konektivitas!$B$3:$B$563,AG$3)+SUMIFS(Input_Konektivitas!$D$3:$D$563,Input_Konektivitas!$A$3:$A$563,AG$3,Input_Konektivitas!$B$3:$B$563,$A12))</f>
        <v>13</v>
      </c>
      <c r="AH12" s="27">
        <f>IF((COUNTIFS(Input_Konektivitas!$A$3:$A$563,$A12,Input_Konektivitas!$B$3:$B$563,AH$3,Input_Konektivitas!$D$3:$D$563,"&gt;0")+COUNTIFS(Input_Konektivitas!$A$3:$A$563,AH$3,Input_Konektivitas!$B$3:$B$563,$A12,Input_Konektivitas!$D$3:$D$563,"&gt;0"))=0,"",SUMIFS(Input_Konektivitas!$D$3:$D$563,Input_Konektivitas!$A$3:$A$563,$A12,Input_Konektivitas!$B$3:$B$563,AH$3)+SUMIFS(Input_Konektivitas!$D$3:$D$563,Input_Konektivitas!$A$3:$A$563,AH$3,Input_Konektivitas!$B$3:$B$563,$A12))</f>
        <v>11.42</v>
      </c>
      <c r="AI12" s="27">
        <f>IF((COUNTIFS(Input_Konektivitas!$A$3:$A$563,$A12,Input_Konektivitas!$B$3:$B$563,AI$3,Input_Konektivitas!$D$3:$D$563,"&gt;0")+COUNTIFS(Input_Konektivitas!$A$3:$A$563,AI$3,Input_Konektivitas!$B$3:$B$563,$A12,Input_Konektivitas!$D$3:$D$563,"&gt;0"))=0,"",SUMIFS(Input_Konektivitas!$D$3:$D$563,Input_Konektivitas!$A$3:$A$563,$A12,Input_Konektivitas!$B$3:$B$563,AI$3)+SUMIFS(Input_Konektivitas!$D$3:$D$563,Input_Konektivitas!$A$3:$A$563,AI$3,Input_Konektivitas!$B$3:$B$563,$A12))</f>
        <v>10.92</v>
      </c>
    </row>
    <row r="13" ht="14.25" customHeight="1">
      <c r="A13" s="22" t="s">
        <v>28</v>
      </c>
      <c r="B13" s="27">
        <f>IF((COUNTIFS(Input_Konektivitas!$A$3:$A$563,$A13,Input_Konektivitas!$B$3:$B$563,B$3,Input_Konektivitas!$D$3:$D$563,"&gt;0")+COUNTIFS(Input_Konektivitas!$A$3:$A$563,B$3,Input_Konektivitas!$B$3:$B$563,$A13,Input_Konektivitas!$D$3:$D$563,"&gt;0"))=0,"",SUMIFS(Input_Konektivitas!$D$3:$D$563,Input_Konektivitas!$A$3:$A$563,$A13,Input_Konektivitas!$B$3:$B$563,B$3)+SUMIFS(Input_Konektivitas!$D$3:$D$563,Input_Konektivitas!$A$3:$A$563,B$3,Input_Konektivitas!$B$3:$B$563,$A13))</f>
        <v>24</v>
      </c>
      <c r="C13" s="27">
        <f>IF((COUNTIFS(Input_Konektivitas!$A$3:$A$563,$A13,Input_Konektivitas!$B$3:$B$563,C$3,Input_Konektivitas!$D$3:$D$563,"&gt;0")+COUNTIFS(Input_Konektivitas!$A$3:$A$563,C$3,Input_Konektivitas!$B$3:$B$563,$A13,Input_Konektivitas!$D$3:$D$563,"&gt;0"))=0,"",SUMIFS(Input_Konektivitas!$D$3:$D$563,Input_Konektivitas!$A$3:$A$563,$A13,Input_Konektivitas!$B$3:$B$563,C$3)+SUMIFS(Input_Konektivitas!$D$3:$D$563,Input_Konektivitas!$A$3:$A$563,C$3,Input_Konektivitas!$B$3:$B$563,$A13))</f>
        <v>5.92</v>
      </c>
      <c r="D13" s="27">
        <f>IF((COUNTIFS(Input_Konektivitas!$A$3:$A$563,$A13,Input_Konektivitas!$B$3:$B$563,D$3,Input_Konektivitas!$D$3:$D$563,"&gt;0")+COUNTIFS(Input_Konektivitas!$A$3:$A$563,D$3,Input_Konektivitas!$B$3:$B$563,$A13,Input_Konektivitas!$D$3:$D$563,"&gt;0"))=0,"",SUMIFS(Input_Konektivitas!$D$3:$D$563,Input_Konektivitas!$A$3:$A$563,$A13,Input_Konektivitas!$B$3:$B$563,D$3)+SUMIFS(Input_Konektivitas!$D$3:$D$563,Input_Konektivitas!$A$3:$A$563,D$3,Input_Konektivitas!$B$3:$B$563,$A13))</f>
        <v>5</v>
      </c>
      <c r="E13" s="27">
        <f>IF((COUNTIFS(Input_Konektivitas!$A$3:$A$563,$A13,Input_Konektivitas!$B$3:$B$563,E$3,Input_Konektivitas!$D$3:$D$563,"&gt;0")+COUNTIFS(Input_Konektivitas!$A$3:$A$563,E$3,Input_Konektivitas!$B$3:$B$563,$A13,Input_Konektivitas!$D$3:$D$563,"&gt;0"))=0,"",SUMIFS(Input_Konektivitas!$D$3:$D$563,Input_Konektivitas!$A$3:$A$563,$A13,Input_Konektivitas!$B$3:$B$563,E$3)+SUMIFS(Input_Konektivitas!$D$3:$D$563,Input_Konektivitas!$A$3:$A$563,E$3,Input_Konektivitas!$B$3:$B$563,$A13))</f>
        <v>5.92</v>
      </c>
      <c r="F13" s="27">
        <f>IF((COUNTIFS(Input_Konektivitas!$A$3:$A$563,$A13,Input_Konektivitas!$B$3:$B$563,F$3,Input_Konektivitas!$D$3:$D$563,"&gt;0")+COUNTIFS(Input_Konektivitas!$A$3:$A$563,F$3,Input_Konektivitas!$B$3:$B$563,$A13,Input_Konektivitas!$D$3:$D$563,"&gt;0"))=0,"",SUMIFS(Input_Konektivitas!$D$3:$D$563,Input_Konektivitas!$A$3:$A$563,$A13,Input_Konektivitas!$B$3:$B$563,F$3)+SUMIFS(Input_Konektivitas!$D$3:$D$563,Input_Konektivitas!$A$3:$A$563,F$3,Input_Konektivitas!$B$3:$B$563,$A13))</f>
        <v>5</v>
      </c>
      <c r="G13" s="27">
        <f>IF((COUNTIFS(Input_Konektivitas!$A$3:$A$563,$A13,Input_Konektivitas!$B$3:$B$563,G$3,Input_Konektivitas!$D$3:$D$563,"&gt;0")+COUNTIFS(Input_Konektivitas!$A$3:$A$563,G$3,Input_Konektivitas!$B$3:$B$563,$A13,Input_Konektivitas!$D$3:$D$563,"&gt;0"))=0,"",SUMIFS(Input_Konektivitas!$D$3:$D$563,Input_Konektivitas!$A$3:$A$563,$A13,Input_Konektivitas!$B$3:$B$563,G$3)+SUMIFS(Input_Konektivitas!$D$3:$D$563,Input_Konektivitas!$A$3:$A$563,G$3,Input_Konektivitas!$B$3:$B$563,$A13))</f>
        <v>2.75</v>
      </c>
      <c r="H13" s="27">
        <f>IF((COUNTIFS(Input_Konektivitas!$A$3:$A$563,$A13,Input_Konektivitas!$B$3:$B$563,H$3,Input_Konektivitas!$D$3:$D$563,"&gt;0")+COUNTIFS(Input_Konektivitas!$A$3:$A$563,H$3,Input_Konektivitas!$B$3:$B$563,$A13,Input_Konektivitas!$D$3:$D$563,"&gt;0"))=0,"",SUMIFS(Input_Konektivitas!$D$3:$D$563,Input_Konektivitas!$A$3:$A$563,$A13,Input_Konektivitas!$B$3:$B$563,H$3)+SUMIFS(Input_Konektivitas!$D$3:$D$563,Input_Konektivitas!$A$3:$A$563,H$3,Input_Konektivitas!$B$3:$B$563,$A13))</f>
        <v>5.08</v>
      </c>
      <c r="I13" s="27">
        <f>IF((COUNTIFS(Input_Konektivitas!$A$3:$A$563,$A13,Input_Konektivitas!$B$3:$B$563,I$3,Input_Konektivitas!$D$3:$D$563,"&gt;0")+COUNTIFS(Input_Konektivitas!$A$3:$A$563,I$3,Input_Konektivitas!$B$3:$B$563,$A13,Input_Konektivitas!$D$3:$D$563,"&gt;0"))=0,"",SUMIFS(Input_Konektivitas!$D$3:$D$563,Input_Konektivitas!$A$3:$A$563,$A13,Input_Konektivitas!$B$3:$B$563,I$3)+SUMIFS(Input_Konektivitas!$D$3:$D$563,Input_Konektivitas!$A$3:$A$563,I$3,Input_Konektivitas!$B$3:$B$563,$A13))</f>
        <v>4</v>
      </c>
      <c r="J13" s="27">
        <f>IF((COUNTIFS(Input_Konektivitas!$A$3:$A$563,$A13,Input_Konektivitas!$B$3:$B$563,J$3,Input_Konektivitas!$D$3:$D$563,"&gt;0")+COUNTIFS(Input_Konektivitas!$A$3:$A$563,J$3,Input_Konektivitas!$B$3:$B$563,$A13,Input_Konektivitas!$D$3:$D$563,"&gt;0"))=0,"",SUMIFS(Input_Konektivitas!$D$3:$D$563,Input_Konektivitas!$A$3:$A$563,$A13,Input_Konektivitas!$B$3:$B$563,J$3)+SUMIFS(Input_Konektivitas!$D$3:$D$563,Input_Konektivitas!$A$3:$A$563,J$3,Input_Konektivitas!$B$3:$B$563,$A13))</f>
        <v>1.5</v>
      </c>
      <c r="K13" s="23">
        <v>0.0</v>
      </c>
      <c r="L13" s="27">
        <f>IF((COUNTIFS(Input_Konektivitas!$A$3:$A$563,$A13,Input_Konektivitas!$B$3:$B$563,L$3,Input_Konektivitas!$D$3:$D$563,"&gt;0")+COUNTIFS(Input_Konektivitas!$A$3:$A$563,L$3,Input_Konektivitas!$B$3:$B$563,$A13,Input_Konektivitas!$D$3:$D$563,"&gt;0"))=0,"",SUMIFS(Input_Konektivitas!$D$3:$D$563,Input_Konektivitas!$A$3:$A$563,$A13,Input_Konektivitas!$B$3:$B$563,L$3)+SUMIFS(Input_Konektivitas!$D$3:$D$563,Input_Konektivitas!$A$3:$A$563,L$3,Input_Konektivitas!$B$3:$B$563,$A13))</f>
        <v>1.66667</v>
      </c>
      <c r="M13" s="27" t="str">
        <f>IF((COUNTIFS(Input_Konektivitas!$A$3:$A$563,$A13,Input_Konektivitas!$B$3:$B$563,M$3,Input_Konektivitas!$D$3:$D$563,"&gt;0")+COUNTIFS(Input_Konektivitas!$A$3:$A$563,M$3,Input_Konektivitas!$B$3:$B$563,$A13,Input_Konektivitas!$D$3:$D$563,"&gt;0"))=0,"",SUMIFS(Input_Konektivitas!$D$3:$D$563,Input_Konektivitas!$A$3:$A$563,$A13,Input_Konektivitas!$B$3:$B$563,M$3)+SUMIFS(Input_Konektivitas!$D$3:$D$563,Input_Konektivitas!$A$3:$A$563,M$3,Input_Konektivitas!$B$3:$B$563,$A13))</f>
        <v/>
      </c>
      <c r="N13" s="27">
        <f>IF((COUNTIFS(Input_Konektivitas!$A$3:$A$563,$A13,Input_Konektivitas!$B$3:$B$563,N$3,Input_Konektivitas!$D$3:$D$563,"&gt;0")+COUNTIFS(Input_Konektivitas!$A$3:$A$563,N$3,Input_Konektivitas!$B$3:$B$563,$A13,Input_Konektivitas!$D$3:$D$563,"&gt;0"))=0,"",SUMIFS(Input_Konektivitas!$D$3:$D$563,Input_Konektivitas!$A$3:$A$563,$A13,Input_Konektivitas!$B$3:$B$563,N$3)+SUMIFS(Input_Konektivitas!$D$3:$D$563,Input_Konektivitas!$A$3:$A$563,N$3,Input_Konektivitas!$B$3:$B$563,$A13))</f>
        <v>2</v>
      </c>
      <c r="O13" s="27">
        <f>IF((COUNTIFS(Input_Konektivitas!$A$3:$A$563,$A13,Input_Konektivitas!$B$3:$B$563,O$3,Input_Konektivitas!$D$3:$D$563,"&gt;0")+COUNTIFS(Input_Konektivitas!$A$3:$A$563,O$3,Input_Konektivitas!$B$3:$B$563,$A13,Input_Konektivitas!$D$3:$D$563,"&gt;0"))=0,"",SUMIFS(Input_Konektivitas!$D$3:$D$563,Input_Konektivitas!$A$3:$A$563,$A13,Input_Konektivitas!$B$3:$B$563,O$3)+SUMIFS(Input_Konektivitas!$D$3:$D$563,Input_Konektivitas!$A$3:$A$563,O$3,Input_Konektivitas!$B$3:$B$563,$A13))</f>
        <v>2.25</v>
      </c>
      <c r="P13" s="27">
        <f>IF((COUNTIFS(Input_Konektivitas!$A$3:$A$563,$A13,Input_Konektivitas!$B$3:$B$563,P$3,Input_Konektivitas!$D$3:$D$563,"&gt;0")+COUNTIFS(Input_Konektivitas!$A$3:$A$563,P$3,Input_Konektivitas!$B$3:$B$563,$A13,Input_Konektivitas!$D$3:$D$563,"&gt;0"))=0,"",SUMIFS(Input_Konektivitas!$D$3:$D$563,Input_Konektivitas!$A$3:$A$563,$A13,Input_Konektivitas!$B$3:$B$563,P$3)+SUMIFS(Input_Konektivitas!$D$3:$D$563,Input_Konektivitas!$A$3:$A$563,P$3,Input_Konektivitas!$B$3:$B$563,$A13))</f>
        <v>4.17</v>
      </c>
      <c r="Q13" s="27" t="str">
        <f>IF((COUNTIFS(Input_Konektivitas!$A$3:$A$563,$A13,Input_Konektivitas!$B$3:$B$563,Q$3,Input_Konektivitas!$D$3:$D$563,"&gt;0")+COUNTIFS(Input_Konektivitas!$A$3:$A$563,Q$3,Input_Konektivitas!$B$3:$B$563,$A13,Input_Konektivitas!$D$3:$D$563,"&gt;0"))=0,"",SUMIFS(Input_Konektivitas!$D$3:$D$563,Input_Konektivitas!$A$3:$A$563,$A13,Input_Konektivitas!$B$3:$B$563,Q$3)+SUMIFS(Input_Konektivitas!$D$3:$D$563,Input_Konektivitas!$A$3:$A$563,Q$3,Input_Konektivitas!$B$3:$B$563,$A13))</f>
        <v/>
      </c>
      <c r="R13" s="27">
        <f>IF((COUNTIFS(Input_Konektivitas!$A$3:$A$563,$A13,Input_Konektivitas!$B$3:$B$563,R$3,Input_Konektivitas!$D$3:$D$563,"&gt;0")+COUNTIFS(Input_Konektivitas!$A$3:$A$563,R$3,Input_Konektivitas!$B$3:$B$563,$A13,Input_Konektivitas!$D$3:$D$563,"&gt;0"))=0,"",SUMIFS(Input_Konektivitas!$D$3:$D$563,Input_Konektivitas!$A$3:$A$563,$A13,Input_Konektivitas!$B$3:$B$563,R$3)+SUMIFS(Input_Konektivitas!$D$3:$D$563,Input_Konektivitas!$A$3:$A$563,R$3,Input_Konektivitas!$B$3:$B$563,$A13))</f>
        <v>4.91677</v>
      </c>
      <c r="S13" s="27">
        <f>IF((COUNTIFS(Input_Konektivitas!$A$3:$A$563,$A13,Input_Konektivitas!$B$3:$B$563,S$3,Input_Konektivitas!$D$3:$D$563,"&gt;0")+COUNTIFS(Input_Konektivitas!$A$3:$A$563,S$3,Input_Konektivitas!$B$3:$B$563,$A13,Input_Konektivitas!$D$3:$D$563,"&gt;0"))=0,"",SUMIFS(Input_Konektivitas!$D$3:$D$563,Input_Konektivitas!$A$3:$A$563,$A13,Input_Konektivitas!$B$3:$B$563,S$3)+SUMIFS(Input_Konektivitas!$D$3:$D$563,Input_Konektivitas!$A$3:$A$563,S$3,Input_Konektivitas!$B$3:$B$563,$A13))</f>
        <v>4.42</v>
      </c>
      <c r="T13" s="27">
        <f>IF((COUNTIFS(Input_Konektivitas!$A$3:$A$563,$A13,Input_Konektivitas!$B$3:$B$563,T$3,Input_Konektivitas!$D$3:$D$563,"&gt;0")+COUNTIFS(Input_Konektivitas!$A$3:$A$563,T$3,Input_Konektivitas!$B$3:$B$563,$A13,Input_Konektivitas!$D$3:$D$563,"&gt;0"))=0,"",SUMIFS(Input_Konektivitas!$D$3:$D$563,Input_Konektivitas!$A$3:$A$563,$A13,Input_Konektivitas!$B$3:$B$563,T$3)+SUMIFS(Input_Konektivitas!$D$3:$D$563,Input_Konektivitas!$A$3:$A$563,T$3,Input_Konektivitas!$B$3:$B$563,$A13))</f>
        <v>7.08</v>
      </c>
      <c r="U13" s="27">
        <f>IF((COUNTIFS(Input_Konektivitas!$A$3:$A$563,$A13,Input_Konektivitas!$B$3:$B$563,U$3,Input_Konektivitas!$D$3:$D$563,"&gt;0")+COUNTIFS(Input_Konektivitas!$A$3:$A$563,U$3,Input_Konektivitas!$B$3:$B$563,$A13,Input_Konektivitas!$D$3:$D$563,"&gt;0"))=0,"",SUMIFS(Input_Konektivitas!$D$3:$D$563,Input_Konektivitas!$A$3:$A$563,$A13,Input_Konektivitas!$B$3:$B$563,U$3)+SUMIFS(Input_Konektivitas!$D$3:$D$563,Input_Konektivitas!$A$3:$A$563,U$3,Input_Konektivitas!$B$3:$B$563,$A13))</f>
        <v>1.25</v>
      </c>
      <c r="V13" s="27">
        <f>IF((COUNTIFS(Input_Konektivitas!$A$3:$A$563,$A13,Input_Konektivitas!$B$3:$B$563,V$3,Input_Konektivitas!$D$3:$D$563,"&gt;0")+COUNTIFS(Input_Konektivitas!$A$3:$A$563,V$3,Input_Konektivitas!$B$3:$B$563,$A13,Input_Konektivitas!$D$3:$D$563,"&gt;0"))=0,"",SUMIFS(Input_Konektivitas!$D$3:$D$563,Input_Konektivitas!$A$3:$A$563,$A13,Input_Konektivitas!$B$3:$B$563,V$3)+SUMIFS(Input_Konektivitas!$D$3:$D$563,Input_Konektivitas!$A$3:$A$563,V$3,Input_Konektivitas!$B$3:$B$563,$A13))</f>
        <v>4.58</v>
      </c>
      <c r="W13" s="27">
        <f>IF((COUNTIFS(Input_Konektivitas!$A$3:$A$563,$A13,Input_Konektivitas!$B$3:$B$563,W$3,Input_Konektivitas!$D$3:$D$563,"&gt;0")+COUNTIFS(Input_Konektivitas!$A$3:$A$563,W$3,Input_Konektivitas!$B$3:$B$563,$A13,Input_Konektivitas!$D$3:$D$563,"&gt;0"))=0,"",SUMIFS(Input_Konektivitas!$D$3:$D$563,Input_Konektivitas!$A$3:$A$563,$A13,Input_Konektivitas!$B$3:$B$563,W$3)+SUMIFS(Input_Konektivitas!$D$3:$D$563,Input_Konektivitas!$A$3:$A$563,W$3,Input_Konektivitas!$B$3:$B$563,$A13))</f>
        <v>1.25</v>
      </c>
      <c r="X13" s="27">
        <f>IF((COUNTIFS(Input_Konektivitas!$A$3:$A$563,$A13,Input_Konektivitas!$B$3:$B$563,X$3,Input_Konektivitas!$D$3:$D$563,"&gt;0")+COUNTIFS(Input_Konektivitas!$A$3:$A$563,X$3,Input_Konektivitas!$B$3:$B$563,$A13,Input_Konektivitas!$D$3:$D$563,"&gt;0"))=0,"",SUMIFS(Input_Konektivitas!$D$3:$D$563,Input_Konektivitas!$A$3:$A$563,$A13,Input_Konektivitas!$B$3:$B$563,X$3)+SUMIFS(Input_Konektivitas!$D$3:$D$563,Input_Konektivitas!$A$3:$A$563,X$3,Input_Konektivitas!$B$3:$B$563,$A13))</f>
        <v>5.83333333</v>
      </c>
      <c r="Y13" s="27">
        <f>IF((COUNTIFS(Input_Konektivitas!$A$3:$A$563,$A13,Input_Konektivitas!$B$3:$B$563,Y$3,Input_Konektivitas!$D$3:$D$563,"&gt;0")+COUNTIFS(Input_Konektivitas!$A$3:$A$563,Y$3,Input_Konektivitas!$B$3:$B$563,$A13,Input_Konektivitas!$D$3:$D$563,"&gt;0"))=0,"",SUMIFS(Input_Konektivitas!$D$3:$D$563,Input_Konektivitas!$A$3:$A$563,$A13,Input_Konektivitas!$B$3:$B$563,Y$3)+SUMIFS(Input_Konektivitas!$D$3:$D$563,Input_Konektivitas!$A$3:$A$563,Y$3,Input_Konektivitas!$B$3:$B$563,$A13))</f>
        <v>10.1666</v>
      </c>
      <c r="Z13" s="27">
        <f>IF((COUNTIFS(Input_Konektivitas!$A$3:$A$563,$A13,Input_Konektivitas!$B$3:$B$563,Z$3,Input_Konektivitas!$D$3:$D$563,"&gt;0")+COUNTIFS(Input_Konektivitas!$A$3:$A$563,Z$3,Input_Konektivitas!$B$3:$B$563,$A13,Input_Konektivitas!$D$3:$D$563,"&gt;0"))=0,"",SUMIFS(Input_Konektivitas!$D$3:$D$563,Input_Konektivitas!$A$3:$A$563,$A13,Input_Konektivitas!$B$3:$B$563,Z$3)+SUMIFS(Input_Konektivitas!$D$3:$D$563,Input_Konektivitas!$A$3:$A$563,Z$3,Input_Konektivitas!$B$3:$B$563,$A13))</f>
        <v>6.42</v>
      </c>
      <c r="AA13" s="27">
        <f>IF((COUNTIFS(Input_Konektivitas!$A$3:$A$563,$A13,Input_Konektivitas!$B$3:$B$563,AA$3,Input_Konektivitas!$D$3:$D$563,"&gt;0")+COUNTIFS(Input_Konektivitas!$A$3:$A$563,AA$3,Input_Konektivitas!$B$3:$B$563,$A13,Input_Konektivitas!$D$3:$D$563,"&gt;0"))=0,"",SUMIFS(Input_Konektivitas!$D$3:$D$563,Input_Konektivitas!$A$3:$A$563,$A13,Input_Konektivitas!$B$3:$B$563,AA$3)+SUMIFS(Input_Konektivitas!$D$3:$D$563,Input_Konektivitas!$A$3:$A$563,AA$3,Input_Konektivitas!$B$3:$B$563,$A13))</f>
        <v>7.16666</v>
      </c>
      <c r="AB13" s="27">
        <f>IF((COUNTIFS(Input_Konektivitas!$A$3:$A$563,$A13,Input_Konektivitas!$B$3:$B$563,AB$3,Input_Konektivitas!$D$3:$D$563,"&gt;0")+COUNTIFS(Input_Konektivitas!$A$3:$A$563,AB$3,Input_Konektivitas!$B$3:$B$563,$A13,Input_Konektivitas!$D$3:$D$563,"&gt;0"))=0,"",SUMIFS(Input_Konektivitas!$D$3:$D$563,Input_Konektivitas!$A$3:$A$563,$A13,Input_Konektivitas!$B$3:$B$563,AB$3)+SUMIFS(Input_Konektivitas!$D$3:$D$563,Input_Konektivitas!$A$3:$A$563,AB$3,Input_Konektivitas!$B$3:$B$563,$A13))</f>
        <v>5.25</v>
      </c>
      <c r="AC13" s="27">
        <f>IF((COUNTIFS(Input_Konektivitas!$A$3:$A$563,$A13,Input_Konektivitas!$B$3:$B$563,AC$3,Input_Konektivitas!$D$3:$D$563,"&gt;0")+COUNTIFS(Input_Konektivitas!$A$3:$A$563,AC$3,Input_Konektivitas!$B$3:$B$563,$A13,Input_Konektivitas!$D$3:$D$563,"&gt;0"))=0,"",SUMIFS(Input_Konektivitas!$D$3:$D$563,Input_Konektivitas!$A$3:$A$563,$A13,Input_Konektivitas!$B$3:$B$563,AC$3)+SUMIFS(Input_Konektivitas!$D$3:$D$563,Input_Konektivitas!$A$3:$A$563,AC$3,Input_Konektivitas!$B$3:$B$563,$A13))</f>
        <v>5.75</v>
      </c>
      <c r="AD13" s="27">
        <f>IF((COUNTIFS(Input_Konektivitas!$A$3:$A$563,$A13,Input_Konektivitas!$B$3:$B$563,AD$3,Input_Konektivitas!$D$3:$D$563,"&gt;0")+COUNTIFS(Input_Konektivitas!$A$3:$A$563,AD$3,Input_Konektivitas!$B$3:$B$563,$A13,Input_Konektivitas!$D$3:$D$563,"&gt;0"))=0,"",SUMIFS(Input_Konektivitas!$D$3:$D$563,Input_Konektivitas!$A$3:$A$563,$A13,Input_Konektivitas!$B$3:$B$563,AD$3)+SUMIFS(Input_Konektivitas!$D$3:$D$563,Input_Konektivitas!$A$3:$A$563,AD$3,Input_Konektivitas!$B$3:$B$563,$A13))</f>
        <v>11.6666</v>
      </c>
      <c r="AE13" s="27">
        <f>IF((COUNTIFS(Input_Konektivitas!$A$3:$A$563,$A13,Input_Konektivitas!$B$3:$B$563,AE$3,Input_Konektivitas!$D$3:$D$563,"&gt;0")+COUNTIFS(Input_Konektivitas!$A$3:$A$563,AE$3,Input_Konektivitas!$B$3:$B$563,$A13,Input_Konektivitas!$D$3:$D$563,"&gt;0"))=0,"",SUMIFS(Input_Konektivitas!$D$3:$D$563,Input_Konektivitas!$A$3:$A$563,$A13,Input_Konektivitas!$B$3:$B$563,AE$3)+SUMIFS(Input_Konektivitas!$D$3:$D$563,Input_Konektivitas!$A$3:$A$563,AE$3,Input_Konektivitas!$B$3:$B$563,$A13))</f>
        <v>12.916666</v>
      </c>
      <c r="AF13" s="27">
        <f>IF((COUNTIFS(Input_Konektivitas!$A$3:$A$563,$A13,Input_Konektivitas!$B$3:$B$563,AF$3,Input_Konektivitas!$D$3:$D$563,"&gt;0")+COUNTIFS(Input_Konektivitas!$A$3:$A$563,AF$3,Input_Konektivitas!$B$3:$B$563,$A13,Input_Konektivitas!$D$3:$D$563,"&gt;0"))=0,"",SUMIFS(Input_Konektivitas!$D$3:$D$563,Input_Konektivitas!$A$3:$A$563,$A13,Input_Konektivitas!$B$3:$B$563,AF$3)+SUMIFS(Input_Konektivitas!$D$3:$D$563,Input_Konektivitas!$A$3:$A$563,AF$3,Input_Konektivitas!$B$3:$B$563,$A13))</f>
        <v>8</v>
      </c>
      <c r="AG13" s="27">
        <f>IF((COUNTIFS(Input_Konektivitas!$A$3:$A$563,$A13,Input_Konektivitas!$B$3:$B$563,AG$3,Input_Konektivitas!$D$3:$D$563,"&gt;0")+COUNTIFS(Input_Konektivitas!$A$3:$A$563,AG$3,Input_Konektivitas!$B$3:$B$563,$A13,Input_Konektivitas!$D$3:$D$563,"&gt;0"))=0,"",SUMIFS(Input_Konektivitas!$D$3:$D$563,Input_Konektivitas!$A$3:$A$563,$A13,Input_Konektivitas!$B$3:$B$563,AG$3)+SUMIFS(Input_Konektivitas!$D$3:$D$563,Input_Konektivitas!$A$3:$A$563,AG$3,Input_Konektivitas!$B$3:$B$563,$A13))</f>
        <v>10.8333</v>
      </c>
      <c r="AH13" s="27">
        <f>IF((COUNTIFS(Input_Konektivitas!$A$3:$A$563,$A13,Input_Konektivitas!$B$3:$B$563,AH$3,Input_Konektivitas!$D$3:$D$563,"&gt;0")+COUNTIFS(Input_Konektivitas!$A$3:$A$563,AH$3,Input_Konektivitas!$B$3:$B$563,$A13,Input_Konektivitas!$D$3:$D$563,"&gt;0"))=0,"",SUMIFS(Input_Konektivitas!$D$3:$D$563,Input_Konektivitas!$A$3:$A$563,$A13,Input_Konektivitas!$B$3:$B$563,AH$3)+SUMIFS(Input_Konektivitas!$D$3:$D$563,Input_Konektivitas!$A$3:$A$563,AH$3,Input_Konektivitas!$B$3:$B$563,$A13))</f>
        <v>10.6677</v>
      </c>
      <c r="AI13" s="27">
        <f>IF((COUNTIFS(Input_Konektivitas!$A$3:$A$563,$A13,Input_Konektivitas!$B$3:$B$563,AI$3,Input_Konektivitas!$D$3:$D$563,"&gt;0")+COUNTIFS(Input_Konektivitas!$A$3:$A$563,AI$3,Input_Konektivitas!$B$3:$B$563,$A13,Input_Konektivitas!$D$3:$D$563,"&gt;0"))=0,"",SUMIFS(Input_Konektivitas!$D$3:$D$563,Input_Konektivitas!$A$3:$A$563,$A13,Input_Konektivitas!$B$3:$B$563,AI$3)+SUMIFS(Input_Konektivitas!$D$3:$D$563,Input_Konektivitas!$A$3:$A$563,AI$3,Input_Konektivitas!$B$3:$B$563,$A13))</f>
        <v>10.83</v>
      </c>
    </row>
    <row r="14" ht="14.25" customHeight="1">
      <c r="A14" s="22" t="s">
        <v>31</v>
      </c>
      <c r="B14" s="27">
        <f>IF((COUNTIFS(Input_Konektivitas!$A$3:$A$563,$A14,Input_Konektivitas!$B$3:$B$563,B$3,Input_Konektivitas!$D$3:$D$563,"&gt;0")+COUNTIFS(Input_Konektivitas!$A$3:$A$563,B$3,Input_Konektivitas!$B$3:$B$563,$A14,Input_Konektivitas!$D$3:$D$563,"&gt;0"))=0,"",SUMIFS(Input_Konektivitas!$D$3:$D$563,Input_Konektivitas!$A$3:$A$563,$A14,Input_Konektivitas!$B$3:$B$563,B$3)+SUMIFS(Input_Konektivitas!$D$3:$D$563,Input_Konektivitas!$A$3:$A$563,B$3,Input_Konektivitas!$B$3:$B$563,$A14))</f>
        <v>2.91777</v>
      </c>
      <c r="C14" s="27">
        <f>IF((COUNTIFS(Input_Konektivitas!$A$3:$A$563,$A14,Input_Konektivitas!$B$3:$B$563,C$3,Input_Konektivitas!$D$3:$D$563,"&gt;0")+COUNTIFS(Input_Konektivitas!$A$3:$A$563,C$3,Input_Konektivitas!$B$3:$B$563,$A14,Input_Konektivitas!$D$3:$D$563,"&gt;0"))=0,"",SUMIFS(Input_Konektivitas!$D$3:$D$563,Input_Konektivitas!$A$3:$A$563,$A14,Input_Konektivitas!$B$3:$B$563,C$3)+SUMIFS(Input_Konektivitas!$D$3:$D$563,Input_Konektivitas!$A$3:$A$563,C$3,Input_Konektivitas!$B$3:$B$563,$A14))</f>
        <v>2.42</v>
      </c>
      <c r="D14" s="27">
        <f>IF((COUNTIFS(Input_Konektivitas!$A$3:$A$563,$A14,Input_Konektivitas!$B$3:$B$563,D$3,Input_Konektivitas!$D$3:$D$563,"&gt;0")+COUNTIFS(Input_Konektivitas!$A$3:$A$563,D$3,Input_Konektivitas!$B$3:$B$563,$A14,Input_Konektivitas!$D$3:$D$563,"&gt;0"))=0,"",SUMIFS(Input_Konektivitas!$D$3:$D$563,Input_Konektivitas!$A$3:$A$563,$A14,Input_Konektivitas!$B$3:$B$563,D$3)+SUMIFS(Input_Konektivitas!$D$3:$D$563,Input_Konektivitas!$A$3:$A$563,D$3,Input_Konektivitas!$B$3:$B$563,$A14))</f>
        <v>1.83</v>
      </c>
      <c r="E14" s="27">
        <f>IF((COUNTIFS(Input_Konektivitas!$A$3:$A$563,$A14,Input_Konektivitas!$B$3:$B$563,E$3,Input_Konektivitas!$D$3:$D$563,"&gt;0")+COUNTIFS(Input_Konektivitas!$A$3:$A$563,E$3,Input_Konektivitas!$B$3:$B$563,$A14,Input_Konektivitas!$D$3:$D$563,"&gt;0"))=0,"",SUMIFS(Input_Konektivitas!$D$3:$D$563,Input_Konektivitas!$A$3:$A$563,$A14,Input_Konektivitas!$B$3:$B$563,E$3)+SUMIFS(Input_Konektivitas!$D$3:$D$563,Input_Konektivitas!$A$3:$A$563,E$3,Input_Konektivitas!$B$3:$B$563,$A14))</f>
        <v>1.75</v>
      </c>
      <c r="F14" s="27">
        <f>IF((COUNTIFS(Input_Konektivitas!$A$3:$A$563,$A14,Input_Konektivitas!$B$3:$B$563,F$3,Input_Konektivitas!$D$3:$D$563,"&gt;0")+COUNTIFS(Input_Konektivitas!$A$3:$A$563,F$3,Input_Konektivitas!$B$3:$B$563,$A14,Input_Konektivitas!$D$3:$D$563,"&gt;0"))=0,"",SUMIFS(Input_Konektivitas!$D$3:$D$563,Input_Konektivitas!$A$3:$A$563,$A14,Input_Konektivitas!$B$3:$B$563,F$3)+SUMIFS(Input_Konektivitas!$D$3:$D$563,Input_Konektivitas!$A$3:$A$563,F$3,Input_Konektivitas!$B$3:$B$563,$A14))</f>
        <v>1.33</v>
      </c>
      <c r="G14" s="27">
        <f>IF((COUNTIFS(Input_Konektivitas!$A$3:$A$563,$A14,Input_Konektivitas!$B$3:$B$563,G$3,Input_Konektivitas!$D$3:$D$563,"&gt;0")+COUNTIFS(Input_Konektivitas!$A$3:$A$563,G$3,Input_Konektivitas!$B$3:$B$563,$A14,Input_Konektivitas!$D$3:$D$563,"&gt;0"))=0,"",SUMIFS(Input_Konektivitas!$D$3:$D$563,Input_Konektivitas!$A$3:$A$563,$A14,Input_Konektivitas!$B$3:$B$563,G$3)+SUMIFS(Input_Konektivitas!$D$3:$D$563,Input_Konektivitas!$A$3:$A$563,G$3,Input_Konektivitas!$B$3:$B$563,$A14))</f>
        <v>1.167</v>
      </c>
      <c r="H14" s="27">
        <f>IF((COUNTIFS(Input_Konektivitas!$A$3:$A$563,$A14,Input_Konektivitas!$B$3:$B$563,H$3,Input_Konektivitas!$D$3:$D$563,"&gt;0")+COUNTIFS(Input_Konektivitas!$A$3:$A$563,H$3,Input_Konektivitas!$B$3:$B$563,$A14,Input_Konektivitas!$D$3:$D$563,"&gt;0"))=0,"",SUMIFS(Input_Konektivitas!$D$3:$D$563,Input_Konektivitas!$A$3:$A$563,$A14,Input_Konektivitas!$B$3:$B$563,H$3)+SUMIFS(Input_Konektivitas!$D$3:$D$563,Input_Konektivitas!$A$3:$A$563,H$3,Input_Konektivitas!$B$3:$B$563,$A14))</f>
        <v>1.33</v>
      </c>
      <c r="I14" s="27">
        <f>IF((COUNTIFS(Input_Konektivitas!$A$3:$A$563,$A14,Input_Konektivitas!$B$3:$B$563,I$3,Input_Konektivitas!$D$3:$D$563,"&gt;0")+COUNTIFS(Input_Konektivitas!$A$3:$A$563,I$3,Input_Konektivitas!$B$3:$B$563,$A14,Input_Konektivitas!$D$3:$D$563,"&gt;0"))=0,"",SUMIFS(Input_Konektivitas!$D$3:$D$563,Input_Konektivitas!$A$3:$A$563,$A14,Input_Konektivitas!$B$3:$B$563,I$3)+SUMIFS(Input_Konektivitas!$D$3:$D$563,Input_Konektivitas!$A$3:$A$563,I$3,Input_Konektivitas!$B$3:$B$563,$A14))</f>
        <v>0.75</v>
      </c>
      <c r="J14" s="27">
        <f>IF((COUNTIFS(Input_Konektivitas!$A$3:$A$563,$A14,Input_Konektivitas!$B$3:$B$563,J$3,Input_Konektivitas!$D$3:$D$563,"&gt;0")+COUNTIFS(Input_Konektivitas!$A$3:$A$563,J$3,Input_Konektivitas!$B$3:$B$563,$A14,Input_Konektivitas!$D$3:$D$563,"&gt;0"))=0,"",SUMIFS(Input_Konektivitas!$D$3:$D$563,Input_Konektivitas!$A$3:$A$563,$A14,Input_Konektivitas!$B$3:$B$563,J$3)+SUMIFS(Input_Konektivitas!$D$3:$D$563,Input_Konektivitas!$A$3:$A$563,J$3,Input_Konektivitas!$B$3:$B$563,$A14))</f>
        <v>1.17</v>
      </c>
      <c r="K14" s="27">
        <f>IF((COUNTIFS(Input_Konektivitas!$A$3:$A$563,$A14,Input_Konektivitas!$B$3:$B$563,K$3,Input_Konektivitas!$D$3:$D$563,"&gt;0")+COUNTIFS(Input_Konektivitas!$A$3:$A$563,K$3,Input_Konektivitas!$B$3:$B$563,$A14,Input_Konektivitas!$D$3:$D$563,"&gt;0"))=0,"",SUMIFS(Input_Konektivitas!$D$3:$D$563,Input_Konektivitas!$A$3:$A$563,$A14,Input_Konektivitas!$B$3:$B$563,K$3)+SUMIFS(Input_Konektivitas!$D$3:$D$563,Input_Konektivitas!$A$3:$A$563,K$3,Input_Konektivitas!$B$3:$B$563,$A14))</f>
        <v>1.66667</v>
      </c>
      <c r="L14" s="23">
        <v>0.0</v>
      </c>
      <c r="M14" s="27">
        <f>IF((COUNTIFS(Input_Konektivitas!$A$3:$A$563,$A14,Input_Konektivitas!$B$3:$B$563,M$3,Input_Konektivitas!$D$3:$D$563,"&gt;0")+COUNTIFS(Input_Konektivitas!$A$3:$A$563,M$3,Input_Konektivitas!$B$3:$B$563,$A14,Input_Konektivitas!$D$3:$D$563,"&gt;0"))=0,"",SUMIFS(Input_Konektivitas!$D$3:$D$563,Input_Konektivitas!$A$3:$A$563,$A14,Input_Konektivitas!$B$3:$B$563,M$3)+SUMIFS(Input_Konektivitas!$D$3:$D$563,Input_Konektivitas!$A$3:$A$563,M$3,Input_Konektivitas!$B$3:$B$563,$A14))</f>
        <v>1.5</v>
      </c>
      <c r="N14" s="27">
        <f>IF((COUNTIFS(Input_Konektivitas!$A$3:$A$563,$A14,Input_Konektivitas!$B$3:$B$563,N$3,Input_Konektivitas!$D$3:$D$563,"&gt;0")+COUNTIFS(Input_Konektivitas!$A$3:$A$563,N$3,Input_Konektivitas!$B$3:$B$563,$A14,Input_Konektivitas!$D$3:$D$563,"&gt;0"))=0,"",SUMIFS(Input_Konektivitas!$D$3:$D$563,Input_Konektivitas!$A$3:$A$563,$A14,Input_Konektivitas!$B$3:$B$563,N$3)+SUMIFS(Input_Konektivitas!$D$3:$D$563,Input_Konektivitas!$A$3:$A$563,N$3,Input_Konektivitas!$B$3:$B$563,$A14))</f>
        <v>1.16</v>
      </c>
      <c r="O14" s="27">
        <f>IF((COUNTIFS(Input_Konektivitas!$A$3:$A$563,$A14,Input_Konektivitas!$B$3:$B$563,O$3,Input_Konektivitas!$D$3:$D$563,"&gt;0")+COUNTIFS(Input_Konektivitas!$A$3:$A$563,O$3,Input_Konektivitas!$B$3:$B$563,$A14,Input_Konektivitas!$D$3:$D$563,"&gt;0"))=0,"",SUMIFS(Input_Konektivitas!$D$3:$D$563,Input_Konektivitas!$A$3:$A$563,$A14,Input_Konektivitas!$B$3:$B$563,O$3)+SUMIFS(Input_Konektivitas!$D$3:$D$563,Input_Konektivitas!$A$3:$A$563,O$3,Input_Konektivitas!$B$3:$B$563,$A14))</f>
        <v>1.16</v>
      </c>
      <c r="P14" s="27">
        <f>IF((COUNTIFS(Input_Konektivitas!$A$3:$A$563,$A14,Input_Konektivitas!$B$3:$B$563,P$3,Input_Konektivitas!$D$3:$D$563,"&gt;0")+COUNTIFS(Input_Konektivitas!$A$3:$A$563,P$3,Input_Konektivitas!$B$3:$B$563,$A14,Input_Konektivitas!$D$3:$D$563,"&gt;0"))=0,"",SUMIFS(Input_Konektivitas!$D$3:$D$563,Input_Konektivitas!$A$3:$A$563,$A14,Input_Konektivitas!$B$3:$B$563,P$3)+SUMIFS(Input_Konektivitas!$D$3:$D$563,Input_Konektivitas!$A$3:$A$563,P$3,Input_Konektivitas!$B$3:$B$563,$A14))</f>
        <v>1.5</v>
      </c>
      <c r="Q14" s="27" t="str">
        <f>IF((COUNTIFS(Input_Konektivitas!$A$3:$A$563,$A14,Input_Konektivitas!$B$3:$B$563,Q$3,Input_Konektivitas!$D$3:$D$563,"&gt;0")+COUNTIFS(Input_Konektivitas!$A$3:$A$563,Q$3,Input_Konektivitas!$B$3:$B$563,$A14,Input_Konektivitas!$D$3:$D$563,"&gt;0"))=0,"",SUMIFS(Input_Konektivitas!$D$3:$D$563,Input_Konektivitas!$A$3:$A$563,$A14,Input_Konektivitas!$B$3:$B$563,Q$3)+SUMIFS(Input_Konektivitas!$D$3:$D$563,Input_Konektivitas!$A$3:$A$563,Q$3,Input_Konektivitas!$B$3:$B$563,$A14))</f>
        <v/>
      </c>
      <c r="R14" s="27">
        <f>IF((COUNTIFS(Input_Konektivitas!$A$3:$A$563,$A14,Input_Konektivitas!$B$3:$B$563,R$3,Input_Konektivitas!$D$3:$D$563,"&gt;0")+COUNTIFS(Input_Konektivitas!$A$3:$A$563,R$3,Input_Konektivitas!$B$3:$B$563,$A14,Input_Konektivitas!$D$3:$D$563,"&gt;0"))=0,"",SUMIFS(Input_Konektivitas!$D$3:$D$563,Input_Konektivitas!$A$3:$A$563,$A14,Input_Konektivitas!$B$3:$B$563,R$3)+SUMIFS(Input_Konektivitas!$D$3:$D$563,Input_Konektivitas!$A$3:$A$563,R$3,Input_Konektivitas!$B$3:$B$563,$A14))</f>
        <v>1.83</v>
      </c>
      <c r="S14" s="27">
        <f>IF((COUNTIFS(Input_Konektivitas!$A$3:$A$563,$A14,Input_Konektivitas!$B$3:$B$563,S$3,Input_Konektivitas!$D$3:$D$563,"&gt;0")+COUNTIFS(Input_Konektivitas!$A$3:$A$563,S$3,Input_Konektivitas!$B$3:$B$563,$A14,Input_Konektivitas!$D$3:$D$563,"&gt;0"))=0,"",SUMIFS(Input_Konektivitas!$D$3:$D$563,Input_Konektivitas!$A$3:$A$563,$A14,Input_Konektivitas!$B$3:$B$563,S$3)+SUMIFS(Input_Konektivitas!$D$3:$D$563,Input_Konektivitas!$A$3:$A$563,S$3,Input_Konektivitas!$B$3:$B$563,$A14))</f>
        <v>2</v>
      </c>
      <c r="T14" s="27">
        <f>IF((COUNTIFS(Input_Konektivitas!$A$3:$A$563,$A14,Input_Konektivitas!$B$3:$B$563,T$3,Input_Konektivitas!$D$3:$D$563,"&gt;0")+COUNTIFS(Input_Konektivitas!$A$3:$A$563,T$3,Input_Konektivitas!$B$3:$B$563,$A14,Input_Konektivitas!$D$3:$D$563,"&gt;0"))=0,"",SUMIFS(Input_Konektivitas!$D$3:$D$563,Input_Konektivitas!$A$3:$A$563,$A14,Input_Konektivitas!$B$3:$B$563,T$3)+SUMIFS(Input_Konektivitas!$D$3:$D$563,Input_Konektivitas!$A$3:$A$563,T$3,Input_Konektivitas!$B$3:$B$563,$A14))</f>
        <v>2.25</v>
      </c>
      <c r="U14" s="27">
        <f>IF((COUNTIFS(Input_Konektivitas!$A$3:$A$563,$A14,Input_Konektivitas!$B$3:$B$563,U$3,Input_Konektivitas!$D$3:$D$563,"&gt;0")+COUNTIFS(Input_Konektivitas!$A$3:$A$563,U$3,Input_Konektivitas!$B$3:$B$563,$A14,Input_Konektivitas!$D$3:$D$563,"&gt;0"))=0,"",SUMIFS(Input_Konektivitas!$D$3:$D$563,Input_Konektivitas!$A$3:$A$563,$A14,Input_Konektivitas!$B$3:$B$563,U$3)+SUMIFS(Input_Konektivitas!$D$3:$D$563,Input_Konektivitas!$A$3:$A$563,U$3,Input_Konektivitas!$B$3:$B$563,$A14))</f>
        <v>1.42</v>
      </c>
      <c r="V14" s="27">
        <f>IF((COUNTIFS(Input_Konektivitas!$A$3:$A$563,$A14,Input_Konektivitas!$B$3:$B$563,V$3,Input_Konektivitas!$D$3:$D$563,"&gt;0")+COUNTIFS(Input_Konektivitas!$A$3:$A$563,V$3,Input_Konektivitas!$B$3:$B$563,$A14,Input_Konektivitas!$D$3:$D$563,"&gt;0"))=0,"",SUMIFS(Input_Konektivitas!$D$3:$D$563,Input_Konektivitas!$A$3:$A$563,$A14,Input_Konektivitas!$B$3:$B$563,V$3)+SUMIFS(Input_Konektivitas!$D$3:$D$563,Input_Konektivitas!$A$3:$A$563,V$3,Input_Konektivitas!$B$3:$B$563,$A14))</f>
        <v>1.75</v>
      </c>
      <c r="W14" s="27">
        <f>IF((COUNTIFS(Input_Konektivitas!$A$3:$A$563,$A14,Input_Konektivitas!$B$3:$B$563,W$3,Input_Konektivitas!$D$3:$D$563,"&gt;0")+COUNTIFS(Input_Konektivitas!$A$3:$A$563,W$3,Input_Konektivitas!$B$3:$B$563,$A14,Input_Konektivitas!$D$3:$D$563,"&gt;0"))=0,"",SUMIFS(Input_Konektivitas!$D$3:$D$563,Input_Konektivitas!$A$3:$A$563,$A14,Input_Konektivitas!$B$3:$B$563,W$3)+SUMIFS(Input_Konektivitas!$D$3:$D$563,Input_Konektivitas!$A$3:$A$563,W$3,Input_Konektivitas!$B$3:$B$563,$A14))</f>
        <v>1.83</v>
      </c>
      <c r="X14" s="27">
        <f>IF((COUNTIFS(Input_Konektivitas!$A$3:$A$563,$A14,Input_Konektivitas!$B$3:$B$563,X$3,Input_Konektivitas!$D$3:$D$563,"&gt;0")+COUNTIFS(Input_Konektivitas!$A$3:$A$563,X$3,Input_Konektivitas!$B$3:$B$563,$A14,Input_Konektivitas!$D$3:$D$563,"&gt;0"))=0,"",SUMIFS(Input_Konektivitas!$D$3:$D$563,Input_Konektivitas!$A$3:$A$563,$A14,Input_Konektivitas!$B$3:$B$563,X$3)+SUMIFS(Input_Konektivitas!$D$3:$D$563,Input_Konektivitas!$A$3:$A$563,X$3,Input_Konektivitas!$B$3:$B$563,$A14))</f>
        <v>2.17</v>
      </c>
      <c r="Y14" s="27">
        <f>IF((COUNTIFS(Input_Konektivitas!$A$3:$A$563,$A14,Input_Konektivitas!$B$3:$B$563,Y$3,Input_Konektivitas!$D$3:$D$563,"&gt;0")+COUNTIFS(Input_Konektivitas!$A$3:$A$563,Y$3,Input_Konektivitas!$B$3:$B$563,$A14,Input_Konektivitas!$D$3:$D$563,"&gt;0"))=0,"",SUMIFS(Input_Konektivitas!$D$3:$D$563,Input_Konektivitas!$A$3:$A$563,$A14,Input_Konektivitas!$B$3:$B$563,Y$3)+SUMIFS(Input_Konektivitas!$D$3:$D$563,Input_Konektivitas!$A$3:$A$563,Y$3,Input_Konektivitas!$B$3:$B$563,$A14))</f>
        <v>2.83</v>
      </c>
      <c r="Z14" s="27">
        <f>IF((COUNTIFS(Input_Konektivitas!$A$3:$A$563,$A14,Input_Konektivitas!$B$3:$B$563,Z$3,Input_Konektivitas!$D$3:$D$563,"&gt;0")+COUNTIFS(Input_Konektivitas!$A$3:$A$563,Z$3,Input_Konektivitas!$B$3:$B$563,$A14,Input_Konektivitas!$D$3:$D$563,"&gt;0"))=0,"",SUMIFS(Input_Konektivitas!$D$3:$D$563,Input_Konektivitas!$A$3:$A$563,$A14,Input_Konektivitas!$B$3:$B$563,Z$3)+SUMIFS(Input_Konektivitas!$D$3:$D$563,Input_Konektivitas!$A$3:$A$563,Z$3,Input_Konektivitas!$B$3:$B$563,$A14))</f>
        <v>3.42</v>
      </c>
      <c r="AA14" s="27">
        <f>IF((COUNTIFS(Input_Konektivitas!$A$3:$A$563,$A14,Input_Konektivitas!$B$3:$B$563,AA$3,Input_Konektivitas!$D$3:$D$563,"&gt;0")+COUNTIFS(Input_Konektivitas!$A$3:$A$563,AA$3,Input_Konektivitas!$B$3:$B$563,$A14,Input_Konektivitas!$D$3:$D$563,"&gt;0"))=0,"",SUMIFS(Input_Konektivitas!$D$3:$D$563,Input_Konektivitas!$A$3:$A$563,$A14,Input_Konektivitas!$B$3:$B$563,AA$3)+SUMIFS(Input_Konektivitas!$D$3:$D$563,Input_Konektivitas!$A$3:$A$563,AA$3,Input_Konektivitas!$B$3:$B$563,$A14))</f>
        <v>4.17</v>
      </c>
      <c r="AB14" s="27">
        <f>IF((COUNTIFS(Input_Konektivitas!$A$3:$A$563,$A14,Input_Konektivitas!$B$3:$B$563,AB$3,Input_Konektivitas!$D$3:$D$563,"&gt;0")+COUNTIFS(Input_Konektivitas!$A$3:$A$563,AB$3,Input_Konektivitas!$B$3:$B$563,$A14,Input_Konektivitas!$D$3:$D$563,"&gt;0"))=0,"",SUMIFS(Input_Konektivitas!$D$3:$D$563,Input_Konektivitas!$A$3:$A$563,$A14,Input_Konektivitas!$B$3:$B$563,AB$3)+SUMIFS(Input_Konektivitas!$D$3:$D$563,Input_Konektivitas!$A$3:$A$563,AB$3,Input_Konektivitas!$B$3:$B$563,$A14))</f>
        <v>2.33</v>
      </c>
      <c r="AC14" s="27">
        <f>IF((COUNTIFS(Input_Konektivitas!$A$3:$A$563,$A14,Input_Konektivitas!$B$3:$B$563,AC$3,Input_Konektivitas!$D$3:$D$563,"&gt;0")+COUNTIFS(Input_Konektivitas!$A$3:$A$563,AC$3,Input_Konektivitas!$B$3:$B$563,$A14,Input_Konektivitas!$D$3:$D$563,"&gt;0"))=0,"",SUMIFS(Input_Konektivitas!$D$3:$D$563,Input_Konektivitas!$A$3:$A$563,$A14,Input_Konektivitas!$B$3:$B$563,AC$3)+SUMIFS(Input_Konektivitas!$D$3:$D$563,Input_Konektivitas!$A$3:$A$563,AC$3,Input_Konektivitas!$B$3:$B$563,$A14))</f>
        <v>2.83</v>
      </c>
      <c r="AD14" s="27">
        <f>IF((COUNTIFS(Input_Konektivitas!$A$3:$A$563,$A14,Input_Konektivitas!$B$3:$B$563,AD$3,Input_Konektivitas!$D$3:$D$563,"&gt;0")+COUNTIFS(Input_Konektivitas!$A$3:$A$563,AD$3,Input_Konektivitas!$B$3:$B$563,$A14,Input_Konektivitas!$D$3:$D$563,"&gt;0"))=0,"",SUMIFS(Input_Konektivitas!$D$3:$D$563,Input_Konektivitas!$A$3:$A$563,$A14,Input_Konektivitas!$B$3:$B$563,AD$3)+SUMIFS(Input_Konektivitas!$D$3:$D$563,Input_Konektivitas!$A$3:$A$563,AD$3,Input_Konektivitas!$B$3:$B$563,$A14))</f>
        <v>3.083</v>
      </c>
      <c r="AE14" s="27">
        <f>IF((COUNTIFS(Input_Konektivitas!$A$3:$A$563,$A14,Input_Konektivitas!$B$3:$B$563,AE$3,Input_Konektivitas!$D$3:$D$563,"&gt;0")+COUNTIFS(Input_Konektivitas!$A$3:$A$563,AE$3,Input_Konektivitas!$B$3:$B$563,$A14,Input_Konektivitas!$D$3:$D$563,"&gt;0"))=0,"",SUMIFS(Input_Konektivitas!$D$3:$D$563,Input_Konektivitas!$A$3:$A$563,$A14,Input_Konektivitas!$B$3:$B$563,AE$3)+SUMIFS(Input_Konektivitas!$D$3:$D$563,Input_Konektivitas!$A$3:$A$563,AE$3,Input_Konektivitas!$B$3:$B$563,$A14))</f>
        <v>4.67</v>
      </c>
      <c r="AF14" s="27">
        <f>IF((COUNTIFS(Input_Konektivitas!$A$3:$A$563,$A14,Input_Konektivitas!$B$3:$B$563,AF$3,Input_Konektivitas!$D$3:$D$563,"&gt;0")+COUNTIFS(Input_Konektivitas!$A$3:$A$563,AF$3,Input_Konektivitas!$B$3:$B$563,$A14,Input_Konektivitas!$D$3:$D$563,"&gt;0"))=0,"",SUMIFS(Input_Konektivitas!$D$3:$D$563,Input_Konektivitas!$A$3:$A$563,$A14,Input_Konektivitas!$B$3:$B$563,AF$3)+SUMIFS(Input_Konektivitas!$D$3:$D$563,Input_Konektivitas!$A$3:$A$563,AF$3,Input_Konektivitas!$B$3:$B$563,$A14))</f>
        <v>3.583</v>
      </c>
      <c r="AG14" s="27">
        <f>IF((COUNTIFS(Input_Konektivitas!$A$3:$A$563,$A14,Input_Konektivitas!$B$3:$B$563,AG$3,Input_Konektivitas!$D$3:$D$563,"&gt;0")+COUNTIFS(Input_Konektivitas!$A$3:$A$563,AG$3,Input_Konektivitas!$B$3:$B$563,$A14,Input_Konektivitas!$D$3:$D$563,"&gt;0"))=0,"",SUMIFS(Input_Konektivitas!$D$3:$D$563,Input_Konektivitas!$A$3:$A$563,$A14,Input_Konektivitas!$B$3:$B$563,AG$3)+SUMIFS(Input_Konektivitas!$D$3:$D$563,Input_Konektivitas!$A$3:$A$563,AG$3,Input_Konektivitas!$B$3:$B$563,$A14))</f>
        <v>3.67</v>
      </c>
      <c r="AH14" s="27">
        <f>IF((COUNTIFS(Input_Konektivitas!$A$3:$A$563,$A14,Input_Konektivitas!$B$3:$B$563,AH$3,Input_Konektivitas!$D$3:$D$563,"&gt;0")+COUNTIFS(Input_Konektivitas!$A$3:$A$563,AH$3,Input_Konektivitas!$B$3:$B$563,$A14,Input_Konektivitas!$D$3:$D$563,"&gt;0"))=0,"",SUMIFS(Input_Konektivitas!$D$3:$D$563,Input_Konektivitas!$A$3:$A$563,$A14,Input_Konektivitas!$B$3:$B$563,AH$3)+SUMIFS(Input_Konektivitas!$D$3:$D$563,Input_Konektivitas!$A$3:$A$563,AH$3,Input_Konektivitas!$B$3:$B$563,$A14))</f>
        <v>4.083</v>
      </c>
      <c r="AI14" s="27">
        <f>IF((COUNTIFS(Input_Konektivitas!$A$3:$A$563,$A14,Input_Konektivitas!$B$3:$B$563,AI$3,Input_Konektivitas!$D$3:$D$563,"&gt;0")+COUNTIFS(Input_Konektivitas!$A$3:$A$563,AI$3,Input_Konektivitas!$B$3:$B$563,$A14,Input_Konektivitas!$D$3:$D$563,"&gt;0"))=0,"",SUMIFS(Input_Konektivitas!$D$3:$D$563,Input_Konektivitas!$A$3:$A$563,$A14,Input_Konektivitas!$B$3:$B$563,AI$3)+SUMIFS(Input_Konektivitas!$D$3:$D$563,Input_Konektivitas!$A$3:$A$563,AI$3,Input_Konektivitas!$B$3:$B$563,$A14))</f>
        <v>5.33</v>
      </c>
    </row>
    <row r="15" ht="14.25" customHeight="1">
      <c r="A15" s="22" t="s">
        <v>33</v>
      </c>
      <c r="B15" s="27">
        <f>IF((COUNTIFS(Input_Konektivitas!$A$3:$A$563,$A15,Input_Konektivitas!$B$3:$B$563,B$3,Input_Konektivitas!$D$3:$D$563,"&gt;0")+COUNTIFS(Input_Konektivitas!$A$3:$A$563,B$3,Input_Konektivitas!$B$3:$B$563,$A15,Input_Konektivitas!$D$3:$D$563,"&gt;0"))=0,"",SUMIFS(Input_Konektivitas!$D$3:$D$563,Input_Konektivitas!$A$3:$A$563,$A15,Input_Konektivitas!$B$3:$B$563,B$3)+SUMIFS(Input_Konektivitas!$D$3:$D$563,Input_Konektivitas!$A$3:$A$563,B$3,Input_Konektivitas!$B$3:$B$563,$A15))</f>
        <v>20.75</v>
      </c>
      <c r="C15" s="27">
        <f>IF((COUNTIFS(Input_Konektivitas!$A$3:$A$563,$A15,Input_Konektivitas!$B$3:$B$563,C$3,Input_Konektivitas!$D$3:$D$563,"&gt;0")+COUNTIFS(Input_Konektivitas!$A$3:$A$563,C$3,Input_Konektivitas!$B$3:$B$563,$A15,Input_Konektivitas!$D$3:$D$563,"&gt;0"))=0,"",SUMIFS(Input_Konektivitas!$D$3:$D$563,Input_Konektivitas!$A$3:$A$563,$A15,Input_Konektivitas!$B$3:$B$563,C$3)+SUMIFS(Input_Konektivitas!$D$3:$D$563,Input_Konektivitas!$A$3:$A$563,C$3,Input_Konektivitas!$B$3:$B$563,$A15))</f>
        <v>2.667</v>
      </c>
      <c r="D15" s="27">
        <f>IF((COUNTIFS(Input_Konektivitas!$A$3:$A$563,$A15,Input_Konektivitas!$B$3:$B$563,D$3,Input_Konektivitas!$D$3:$D$563,"&gt;0")+COUNTIFS(Input_Konektivitas!$A$3:$A$563,D$3,Input_Konektivitas!$B$3:$B$563,$A15,Input_Konektivitas!$D$3:$D$563,"&gt;0"))=0,"",SUMIFS(Input_Konektivitas!$D$3:$D$563,Input_Konektivitas!$A$3:$A$563,$A15,Input_Konektivitas!$B$3:$B$563,D$3)+SUMIFS(Input_Konektivitas!$D$3:$D$563,Input_Konektivitas!$A$3:$A$563,D$3,Input_Konektivitas!$B$3:$B$563,$A15))</f>
        <v>19.167</v>
      </c>
      <c r="E15" s="27">
        <f>IF((COUNTIFS(Input_Konektivitas!$A$3:$A$563,$A15,Input_Konektivitas!$B$3:$B$563,E$3,Input_Konektivitas!$D$3:$D$563,"&gt;0")+COUNTIFS(Input_Konektivitas!$A$3:$A$563,E$3,Input_Konektivitas!$B$3:$B$563,$A15,Input_Konektivitas!$D$3:$D$563,"&gt;0"))=0,"",SUMIFS(Input_Konektivitas!$D$3:$D$563,Input_Konektivitas!$A$3:$A$563,$A15,Input_Konektivitas!$B$3:$B$563,E$3)+SUMIFS(Input_Konektivitas!$D$3:$D$563,Input_Konektivitas!$A$3:$A$563,E$3,Input_Konektivitas!$B$3:$B$563,$A15))</f>
        <v>6.33</v>
      </c>
      <c r="F15" s="27" t="str">
        <f>IF((COUNTIFS(Input_Konektivitas!$A$3:$A$563,$A15,Input_Konektivitas!$B$3:$B$563,F$3,Input_Konektivitas!$D$3:$D$563,"&gt;0")+COUNTIFS(Input_Konektivitas!$A$3:$A$563,F$3,Input_Konektivitas!$B$3:$B$563,$A15,Input_Konektivitas!$D$3:$D$563,"&gt;0"))=0,"",SUMIFS(Input_Konektivitas!$D$3:$D$563,Input_Konektivitas!$A$3:$A$563,$A15,Input_Konektivitas!$B$3:$B$563,F$3)+SUMIFS(Input_Konektivitas!$D$3:$D$563,Input_Konektivitas!$A$3:$A$563,F$3,Input_Konektivitas!$B$3:$B$563,$A15))</f>
        <v/>
      </c>
      <c r="G15" s="27">
        <f>IF((COUNTIFS(Input_Konektivitas!$A$3:$A$563,$A15,Input_Konektivitas!$B$3:$B$563,G$3,Input_Konektivitas!$D$3:$D$563,"&gt;0")+COUNTIFS(Input_Konektivitas!$A$3:$A$563,G$3,Input_Konektivitas!$B$3:$B$563,$A15,Input_Konektivitas!$D$3:$D$563,"&gt;0"))=0,"",SUMIFS(Input_Konektivitas!$D$3:$D$563,Input_Konektivitas!$A$3:$A$563,$A15,Input_Konektivitas!$B$3:$B$563,G$3)+SUMIFS(Input_Konektivitas!$D$3:$D$563,Input_Konektivitas!$A$3:$A$563,G$3,Input_Konektivitas!$B$3:$B$563,$A15))</f>
        <v>6.5</v>
      </c>
      <c r="H15" s="27" t="str">
        <f>IF((COUNTIFS(Input_Konektivitas!$A$3:$A$563,$A15,Input_Konektivitas!$B$3:$B$563,H$3,Input_Konektivitas!$D$3:$D$563,"&gt;0")+COUNTIFS(Input_Konektivitas!$A$3:$A$563,H$3,Input_Konektivitas!$B$3:$B$563,$A15,Input_Konektivitas!$D$3:$D$563,"&gt;0"))=0,"",SUMIFS(Input_Konektivitas!$D$3:$D$563,Input_Konektivitas!$A$3:$A$563,$A15,Input_Konektivitas!$B$3:$B$563,H$3)+SUMIFS(Input_Konektivitas!$D$3:$D$563,Input_Konektivitas!$A$3:$A$563,H$3,Input_Konektivitas!$B$3:$B$563,$A15))</f>
        <v/>
      </c>
      <c r="I15" s="27">
        <f>IF((COUNTIFS(Input_Konektivitas!$A$3:$A$563,$A15,Input_Konektivitas!$B$3:$B$563,I$3,Input_Konektivitas!$D$3:$D$563,"&gt;0")+COUNTIFS(Input_Konektivitas!$A$3:$A$563,I$3,Input_Konektivitas!$B$3:$B$563,$A15,Input_Konektivitas!$D$3:$D$563,"&gt;0"))=0,"",SUMIFS(Input_Konektivitas!$D$3:$D$563,Input_Konektivitas!$A$3:$A$563,$A15,Input_Konektivitas!$B$3:$B$563,I$3)+SUMIFS(Input_Konektivitas!$D$3:$D$563,Input_Konektivitas!$A$3:$A$563,I$3,Input_Konektivitas!$B$3:$B$563,$A15))</f>
        <v>22.25</v>
      </c>
      <c r="J15" s="27" t="str">
        <f>IF((COUNTIFS(Input_Konektivitas!$A$3:$A$563,$A15,Input_Konektivitas!$B$3:$B$563,J$3,Input_Konektivitas!$D$3:$D$563,"&gt;0")+COUNTIFS(Input_Konektivitas!$A$3:$A$563,J$3,Input_Konektivitas!$B$3:$B$563,$A15,Input_Konektivitas!$D$3:$D$563,"&gt;0"))=0,"",SUMIFS(Input_Konektivitas!$D$3:$D$563,Input_Konektivitas!$A$3:$A$563,$A15,Input_Konektivitas!$B$3:$B$563,J$3)+SUMIFS(Input_Konektivitas!$D$3:$D$563,Input_Konektivitas!$A$3:$A$563,J$3,Input_Konektivitas!$B$3:$B$563,$A15))</f>
        <v/>
      </c>
      <c r="K15" s="27" t="str">
        <f>IF((COUNTIFS(Input_Konektivitas!$A$3:$A$563,$A15,Input_Konektivitas!$B$3:$B$563,K$3,Input_Konektivitas!$D$3:$D$563,"&gt;0")+COUNTIFS(Input_Konektivitas!$A$3:$A$563,K$3,Input_Konektivitas!$B$3:$B$563,$A15,Input_Konektivitas!$D$3:$D$563,"&gt;0"))=0,"",SUMIFS(Input_Konektivitas!$D$3:$D$563,Input_Konektivitas!$A$3:$A$563,$A15,Input_Konektivitas!$B$3:$B$563,K$3)+SUMIFS(Input_Konektivitas!$D$3:$D$563,Input_Konektivitas!$A$3:$A$563,K$3,Input_Konektivitas!$B$3:$B$563,$A15))</f>
        <v/>
      </c>
      <c r="L15" s="27">
        <f>IF((COUNTIFS(Input_Konektivitas!$A$3:$A$563,$A15,Input_Konektivitas!$B$3:$B$563,L$3,Input_Konektivitas!$D$3:$D$563,"&gt;0")+COUNTIFS(Input_Konektivitas!$A$3:$A$563,L$3,Input_Konektivitas!$B$3:$B$563,$A15,Input_Konektivitas!$D$3:$D$563,"&gt;0"))=0,"",SUMIFS(Input_Konektivitas!$D$3:$D$563,Input_Konektivitas!$A$3:$A$563,$A15,Input_Konektivitas!$B$3:$B$563,L$3)+SUMIFS(Input_Konektivitas!$D$3:$D$563,Input_Konektivitas!$A$3:$A$563,L$3,Input_Konektivitas!$B$3:$B$563,$A15))</f>
        <v>1.5</v>
      </c>
      <c r="M15" s="23">
        <v>0.0</v>
      </c>
      <c r="N15" s="27" t="str">
        <f>IF((COUNTIFS(Input_Konektivitas!$A$3:$A$563,$A15,Input_Konektivitas!$B$3:$B$563,N$3,Input_Konektivitas!$D$3:$D$563,"&gt;0")+COUNTIFS(Input_Konektivitas!$A$3:$A$563,N$3,Input_Konektivitas!$B$3:$B$563,$A15,Input_Konektivitas!$D$3:$D$563,"&gt;0"))=0,"",SUMIFS(Input_Konektivitas!$D$3:$D$563,Input_Konektivitas!$A$3:$A$563,$A15,Input_Konektivitas!$B$3:$B$563,N$3)+SUMIFS(Input_Konektivitas!$D$3:$D$563,Input_Konektivitas!$A$3:$A$563,N$3,Input_Konektivitas!$B$3:$B$563,$A15))</f>
        <v/>
      </c>
      <c r="O15" s="27" t="str">
        <f>IF((COUNTIFS(Input_Konektivitas!$A$3:$A$563,$A15,Input_Konektivitas!$B$3:$B$563,O$3,Input_Konektivitas!$D$3:$D$563,"&gt;0")+COUNTIFS(Input_Konektivitas!$A$3:$A$563,O$3,Input_Konektivitas!$B$3:$B$563,$A15,Input_Konektivitas!$D$3:$D$563,"&gt;0"))=0,"",SUMIFS(Input_Konektivitas!$D$3:$D$563,Input_Konektivitas!$A$3:$A$563,$A15,Input_Konektivitas!$B$3:$B$563,O$3)+SUMIFS(Input_Konektivitas!$D$3:$D$563,Input_Konektivitas!$A$3:$A$563,O$3,Input_Konektivitas!$B$3:$B$563,$A15))</f>
        <v/>
      </c>
      <c r="P15" s="27">
        <f>IF((COUNTIFS(Input_Konektivitas!$A$3:$A$563,$A15,Input_Konektivitas!$B$3:$B$563,P$3,Input_Konektivitas!$D$3:$D$563,"&gt;0")+COUNTIFS(Input_Konektivitas!$A$3:$A$563,P$3,Input_Konektivitas!$B$3:$B$563,$A15,Input_Konektivitas!$D$3:$D$563,"&gt;0"))=0,"",SUMIFS(Input_Konektivitas!$D$3:$D$563,Input_Konektivitas!$A$3:$A$563,$A15,Input_Konektivitas!$B$3:$B$563,P$3)+SUMIFS(Input_Konektivitas!$D$3:$D$563,Input_Konektivitas!$A$3:$A$563,P$3,Input_Konektivitas!$B$3:$B$563,$A15))</f>
        <v>1.67</v>
      </c>
      <c r="Q15" s="27" t="str">
        <f>IF((COUNTIFS(Input_Konektivitas!$A$3:$A$563,$A15,Input_Konektivitas!$B$3:$B$563,Q$3,Input_Konektivitas!$D$3:$D$563,"&gt;0")+COUNTIFS(Input_Konektivitas!$A$3:$A$563,Q$3,Input_Konektivitas!$B$3:$B$563,$A15,Input_Konektivitas!$D$3:$D$563,"&gt;0"))=0,"",SUMIFS(Input_Konektivitas!$D$3:$D$563,Input_Konektivitas!$A$3:$A$563,$A15,Input_Konektivitas!$B$3:$B$563,Q$3)+SUMIFS(Input_Konektivitas!$D$3:$D$563,Input_Konektivitas!$A$3:$A$563,Q$3,Input_Konektivitas!$B$3:$B$563,$A15))</f>
        <v/>
      </c>
      <c r="R15" s="27">
        <f>IF((COUNTIFS(Input_Konektivitas!$A$3:$A$563,$A15,Input_Konektivitas!$B$3:$B$563,R$3,Input_Konektivitas!$D$3:$D$563,"&gt;0")+COUNTIFS(Input_Konektivitas!$A$3:$A$563,R$3,Input_Konektivitas!$B$3:$B$563,$A15,Input_Konektivitas!$D$3:$D$563,"&gt;0"))=0,"",SUMIFS(Input_Konektivitas!$D$3:$D$563,Input_Konektivitas!$A$3:$A$563,$A15,Input_Konektivitas!$B$3:$B$563,R$3)+SUMIFS(Input_Konektivitas!$D$3:$D$563,Input_Konektivitas!$A$3:$A$563,R$3,Input_Konektivitas!$B$3:$B$563,$A15))</f>
        <v>1.75</v>
      </c>
      <c r="S15" s="27">
        <f>IF((COUNTIFS(Input_Konektivitas!$A$3:$A$563,$A15,Input_Konektivitas!$B$3:$B$563,S$3,Input_Konektivitas!$D$3:$D$563,"&gt;0")+COUNTIFS(Input_Konektivitas!$A$3:$A$563,S$3,Input_Konektivitas!$B$3:$B$563,$A15,Input_Konektivitas!$D$3:$D$563,"&gt;0"))=0,"",SUMIFS(Input_Konektivitas!$D$3:$D$563,Input_Konektivitas!$A$3:$A$563,$A15,Input_Konektivitas!$B$3:$B$563,S$3)+SUMIFS(Input_Konektivitas!$D$3:$D$563,Input_Konektivitas!$A$3:$A$563,S$3,Input_Konektivitas!$B$3:$B$563,$A15))</f>
        <v>5.47</v>
      </c>
      <c r="T15" s="27">
        <f>IF((COUNTIFS(Input_Konektivitas!$A$3:$A$563,$A15,Input_Konektivitas!$B$3:$B$563,T$3,Input_Konektivitas!$D$3:$D$563,"&gt;0")+COUNTIFS(Input_Konektivitas!$A$3:$A$563,T$3,Input_Konektivitas!$B$3:$B$563,$A15,Input_Konektivitas!$D$3:$D$563,"&gt;0"))=0,"",SUMIFS(Input_Konektivitas!$D$3:$D$563,Input_Konektivitas!$A$3:$A$563,$A15,Input_Konektivitas!$B$3:$B$563,T$3)+SUMIFS(Input_Konektivitas!$D$3:$D$563,Input_Konektivitas!$A$3:$A$563,T$3,Input_Konektivitas!$B$3:$B$563,$A15))</f>
        <v>6</v>
      </c>
      <c r="U15" s="27">
        <f>IF((COUNTIFS(Input_Konektivitas!$A$3:$A$563,$A15,Input_Konektivitas!$B$3:$B$563,U$3,Input_Konektivitas!$D$3:$D$563,"&gt;0")+COUNTIFS(Input_Konektivitas!$A$3:$A$563,U$3,Input_Konektivitas!$B$3:$B$563,$A15,Input_Konektivitas!$D$3:$D$563,"&gt;0"))=0,"",SUMIFS(Input_Konektivitas!$D$3:$D$563,Input_Konektivitas!$A$3:$A$563,$A15,Input_Konektivitas!$B$3:$B$563,U$3)+SUMIFS(Input_Konektivitas!$D$3:$D$563,Input_Konektivitas!$A$3:$A$563,U$3,Input_Konektivitas!$B$3:$B$563,$A15))</f>
        <v>18.75</v>
      </c>
      <c r="V15" s="27" t="str">
        <f>IF((COUNTIFS(Input_Konektivitas!$A$3:$A$563,$A15,Input_Konektivitas!$B$3:$B$563,V$3,Input_Konektivitas!$D$3:$D$563,"&gt;0")+COUNTIFS(Input_Konektivitas!$A$3:$A$563,V$3,Input_Konektivitas!$B$3:$B$563,$A15,Input_Konektivitas!$D$3:$D$563,"&gt;0"))=0,"",SUMIFS(Input_Konektivitas!$D$3:$D$563,Input_Konektivitas!$A$3:$A$563,$A15,Input_Konektivitas!$B$3:$B$563,V$3)+SUMIFS(Input_Konektivitas!$D$3:$D$563,Input_Konektivitas!$A$3:$A$563,V$3,Input_Konektivitas!$B$3:$B$563,$A15))</f>
        <v/>
      </c>
      <c r="W15" s="27">
        <f>IF((COUNTIFS(Input_Konektivitas!$A$3:$A$563,$A15,Input_Konektivitas!$B$3:$B$563,W$3,Input_Konektivitas!$D$3:$D$563,"&gt;0")+COUNTIFS(Input_Konektivitas!$A$3:$A$563,W$3,Input_Konektivitas!$B$3:$B$563,$A15,Input_Konektivitas!$D$3:$D$563,"&gt;0"))=0,"",SUMIFS(Input_Konektivitas!$D$3:$D$563,Input_Konektivitas!$A$3:$A$563,$A15,Input_Konektivitas!$B$3:$B$563,W$3)+SUMIFS(Input_Konektivitas!$D$3:$D$563,Input_Konektivitas!$A$3:$A$563,W$3,Input_Konektivitas!$B$3:$B$563,$A15))</f>
        <v>5.5</v>
      </c>
      <c r="X15" s="27">
        <f>IF((COUNTIFS(Input_Konektivitas!$A$3:$A$563,$A15,Input_Konektivitas!$B$3:$B$563,X$3,Input_Konektivitas!$D$3:$D$563,"&gt;0")+COUNTIFS(Input_Konektivitas!$A$3:$A$563,X$3,Input_Konektivitas!$B$3:$B$563,$A15,Input_Konektivitas!$D$3:$D$563,"&gt;0"))=0,"",SUMIFS(Input_Konektivitas!$D$3:$D$563,Input_Konektivitas!$A$3:$A$563,$A15,Input_Konektivitas!$B$3:$B$563,X$3)+SUMIFS(Input_Konektivitas!$D$3:$D$563,Input_Konektivitas!$A$3:$A$563,X$3,Input_Konektivitas!$B$3:$B$563,$A15))</f>
        <v>2.17</v>
      </c>
      <c r="Y15" s="27" t="str">
        <f>IF((COUNTIFS(Input_Konektivitas!$A$3:$A$563,$A15,Input_Konektivitas!$B$3:$B$563,Y$3,Input_Konektivitas!$D$3:$D$563,"&gt;0")+COUNTIFS(Input_Konektivitas!$A$3:$A$563,Y$3,Input_Konektivitas!$B$3:$B$563,$A15,Input_Konektivitas!$D$3:$D$563,"&gt;0"))=0,"",SUMIFS(Input_Konektivitas!$D$3:$D$563,Input_Konektivitas!$A$3:$A$563,$A15,Input_Konektivitas!$B$3:$B$563,Y$3)+SUMIFS(Input_Konektivitas!$D$3:$D$563,Input_Konektivitas!$A$3:$A$563,Y$3,Input_Konektivitas!$B$3:$B$563,$A15))</f>
        <v/>
      </c>
      <c r="Z15" s="27">
        <f>IF((COUNTIFS(Input_Konektivitas!$A$3:$A$563,$A15,Input_Konektivitas!$B$3:$B$563,Z$3,Input_Konektivitas!$D$3:$D$563,"&gt;0")+COUNTIFS(Input_Konektivitas!$A$3:$A$563,Z$3,Input_Konektivitas!$B$3:$B$563,$A15,Input_Konektivitas!$D$3:$D$563,"&gt;0"))=0,"",SUMIFS(Input_Konektivitas!$D$3:$D$563,Input_Konektivitas!$A$3:$A$563,$A15,Input_Konektivitas!$B$3:$B$563,Z$3)+SUMIFS(Input_Konektivitas!$D$3:$D$563,Input_Konektivitas!$A$3:$A$563,Z$3,Input_Konektivitas!$B$3:$B$563,$A15))</f>
        <v>8.42</v>
      </c>
      <c r="AA15" s="27" t="str">
        <f>IF((COUNTIFS(Input_Konektivitas!$A$3:$A$563,$A15,Input_Konektivitas!$B$3:$B$563,AA$3,Input_Konektivitas!$D$3:$D$563,"&gt;0")+COUNTIFS(Input_Konektivitas!$A$3:$A$563,AA$3,Input_Konektivitas!$B$3:$B$563,$A15,Input_Konektivitas!$D$3:$D$563,"&gt;0"))=0,"",SUMIFS(Input_Konektivitas!$D$3:$D$563,Input_Konektivitas!$A$3:$A$563,$A15,Input_Konektivitas!$B$3:$B$563,AA$3)+SUMIFS(Input_Konektivitas!$D$3:$D$563,Input_Konektivitas!$A$3:$A$563,AA$3,Input_Konektivitas!$B$3:$B$563,$A15))</f>
        <v/>
      </c>
      <c r="AB15" s="27">
        <f>IF((COUNTIFS(Input_Konektivitas!$A$3:$A$563,$A15,Input_Konektivitas!$B$3:$B$563,AB$3,Input_Konektivitas!$D$3:$D$563,"&gt;0")+COUNTIFS(Input_Konektivitas!$A$3:$A$563,AB$3,Input_Konektivitas!$B$3:$B$563,$A15,Input_Konektivitas!$D$3:$D$563,"&gt;0"))=0,"",SUMIFS(Input_Konektivitas!$D$3:$D$563,Input_Konektivitas!$A$3:$A$563,$A15,Input_Konektivitas!$B$3:$B$563,AB$3)+SUMIFS(Input_Konektivitas!$D$3:$D$563,Input_Konektivitas!$A$3:$A$563,AB$3,Input_Konektivitas!$B$3:$B$563,$A15))</f>
        <v>6.92</v>
      </c>
      <c r="AC15" s="27">
        <f>IF((COUNTIFS(Input_Konektivitas!$A$3:$A$563,$A15,Input_Konektivitas!$B$3:$B$563,AC$3,Input_Konektivitas!$D$3:$D$563,"&gt;0")+COUNTIFS(Input_Konektivitas!$A$3:$A$563,AC$3,Input_Konektivitas!$B$3:$B$563,$A15,Input_Konektivitas!$D$3:$D$563,"&gt;0"))=0,"",SUMIFS(Input_Konektivitas!$D$3:$D$563,Input_Konektivitas!$A$3:$A$563,$A15,Input_Konektivitas!$B$3:$B$563,AC$3)+SUMIFS(Input_Konektivitas!$D$3:$D$563,Input_Konektivitas!$A$3:$A$563,AC$3,Input_Konektivitas!$B$3:$B$563,$A15))</f>
        <v>20.67</v>
      </c>
      <c r="AD15" s="27">
        <f>IF((COUNTIFS(Input_Konektivitas!$A$3:$A$563,$A15,Input_Konektivitas!$B$3:$B$563,AD$3,Input_Konektivitas!$D$3:$D$563,"&gt;0")+COUNTIFS(Input_Konektivitas!$A$3:$A$563,AD$3,Input_Konektivitas!$B$3:$B$563,$A15,Input_Konektivitas!$D$3:$D$563,"&gt;0"))=0,"",SUMIFS(Input_Konektivitas!$D$3:$D$563,Input_Konektivitas!$A$3:$A$563,$A15,Input_Konektivitas!$B$3:$B$563,AD$3)+SUMIFS(Input_Konektivitas!$D$3:$D$563,Input_Konektivitas!$A$3:$A$563,AD$3,Input_Konektivitas!$B$3:$B$563,$A15))</f>
        <v>18.83</v>
      </c>
      <c r="AE15" s="27">
        <f>IF((COUNTIFS(Input_Konektivitas!$A$3:$A$563,$A15,Input_Konektivitas!$B$3:$B$563,AE$3,Input_Konektivitas!$D$3:$D$563,"&gt;0")+COUNTIFS(Input_Konektivitas!$A$3:$A$563,AE$3,Input_Konektivitas!$B$3:$B$563,$A15,Input_Konektivitas!$D$3:$D$563,"&gt;0"))=0,"",SUMIFS(Input_Konektivitas!$D$3:$D$563,Input_Konektivitas!$A$3:$A$563,$A15,Input_Konektivitas!$B$3:$B$563,AE$3)+SUMIFS(Input_Konektivitas!$D$3:$D$563,Input_Konektivitas!$A$3:$A$563,AE$3,Input_Konektivitas!$B$3:$B$563,$A15))</f>
        <v>23.083</v>
      </c>
      <c r="AF15" s="27">
        <f>IF((COUNTIFS(Input_Konektivitas!$A$3:$A$563,$A15,Input_Konektivitas!$B$3:$B$563,AF$3,Input_Konektivitas!$D$3:$D$563,"&gt;0")+COUNTIFS(Input_Konektivitas!$A$3:$A$563,AF$3,Input_Konektivitas!$B$3:$B$563,$A15,Input_Konektivitas!$D$3:$D$563,"&gt;0"))=0,"",SUMIFS(Input_Konektivitas!$D$3:$D$563,Input_Konektivitas!$A$3:$A$563,$A15,Input_Konektivitas!$B$3:$B$563,AF$3)+SUMIFS(Input_Konektivitas!$D$3:$D$563,Input_Konektivitas!$A$3:$A$563,AF$3,Input_Konektivitas!$B$3:$B$563,$A15))</f>
        <v>13.17</v>
      </c>
      <c r="AG15" s="27">
        <f>IF((COUNTIFS(Input_Konektivitas!$A$3:$A$563,$A15,Input_Konektivitas!$B$3:$B$563,AG$3,Input_Konektivitas!$D$3:$D$563,"&gt;0")+COUNTIFS(Input_Konektivitas!$A$3:$A$563,AG$3,Input_Konektivitas!$B$3:$B$563,$A15,Input_Konektivitas!$D$3:$D$563,"&gt;0"))=0,"",SUMIFS(Input_Konektivitas!$D$3:$D$563,Input_Konektivitas!$A$3:$A$563,$A15,Input_Konektivitas!$B$3:$B$563,AG$3)+SUMIFS(Input_Konektivitas!$D$3:$D$563,Input_Konektivitas!$A$3:$A$563,AG$3,Input_Konektivitas!$B$3:$B$563,$A15))</f>
        <v>15.92</v>
      </c>
      <c r="AH15" s="27">
        <f>IF((COUNTIFS(Input_Konektivitas!$A$3:$A$563,$A15,Input_Konektivitas!$B$3:$B$563,AH$3,Input_Konektivitas!$D$3:$D$563,"&gt;0")+COUNTIFS(Input_Konektivitas!$A$3:$A$563,AH$3,Input_Konektivitas!$B$3:$B$563,$A15,Input_Konektivitas!$D$3:$D$563,"&gt;0"))=0,"",SUMIFS(Input_Konektivitas!$D$3:$D$563,Input_Konektivitas!$A$3:$A$563,$A15,Input_Konektivitas!$B$3:$B$563,AH$3)+SUMIFS(Input_Konektivitas!$D$3:$D$563,Input_Konektivitas!$A$3:$A$563,AH$3,Input_Konektivitas!$B$3:$B$563,$A15))</f>
        <v>13.17</v>
      </c>
      <c r="AI15" s="27">
        <f>IF((COUNTIFS(Input_Konektivitas!$A$3:$A$563,$A15,Input_Konektivitas!$B$3:$B$563,AI$3,Input_Konektivitas!$D$3:$D$563,"&gt;0")+COUNTIFS(Input_Konektivitas!$A$3:$A$563,AI$3,Input_Konektivitas!$B$3:$B$563,$A15,Input_Konektivitas!$D$3:$D$563,"&gt;0"))=0,"",SUMIFS(Input_Konektivitas!$D$3:$D$563,Input_Konektivitas!$A$3:$A$563,$A15,Input_Konektivitas!$B$3:$B$563,AI$3)+SUMIFS(Input_Konektivitas!$D$3:$D$563,Input_Konektivitas!$A$3:$A$563,AI$3,Input_Konektivitas!$B$3:$B$563,$A15))</f>
        <v>13.25</v>
      </c>
    </row>
    <row r="16" ht="14.25" customHeight="1">
      <c r="A16" s="22" t="s">
        <v>37</v>
      </c>
      <c r="B16" s="27">
        <f>IF((COUNTIFS(Input_Konektivitas!$A$3:$A$563,$A16,Input_Konektivitas!$B$3:$B$563,B$3,Input_Konektivitas!$D$3:$D$563,"&gt;0")+COUNTIFS(Input_Konektivitas!$A$3:$A$563,B$3,Input_Konektivitas!$B$3:$B$563,$A16,Input_Konektivitas!$D$3:$D$563,"&gt;0"))=0,"",SUMIFS(Input_Konektivitas!$D$3:$D$563,Input_Konektivitas!$A$3:$A$563,$A16,Input_Konektivitas!$B$3:$B$563,B$3)+SUMIFS(Input_Konektivitas!$D$3:$D$563,Input_Konektivitas!$A$3:$A$563,B$3,Input_Konektivitas!$B$3:$B$563,$A16))</f>
        <v>5.08333</v>
      </c>
      <c r="C16" s="27">
        <f>IF((COUNTIFS(Input_Konektivitas!$A$3:$A$563,$A16,Input_Konektivitas!$B$3:$B$563,C$3,Input_Konektivitas!$D$3:$D$563,"&gt;0")+COUNTIFS(Input_Konektivitas!$A$3:$A$563,C$3,Input_Konektivitas!$B$3:$B$563,$A16,Input_Konektivitas!$D$3:$D$563,"&gt;0"))=0,"",SUMIFS(Input_Konektivitas!$D$3:$D$563,Input_Konektivitas!$A$3:$A$563,$A16,Input_Konektivitas!$B$3:$B$563,C$3)+SUMIFS(Input_Konektivitas!$D$3:$D$563,Input_Konektivitas!$A$3:$A$563,C$3,Input_Konektivitas!$B$3:$B$563,$A16))</f>
        <v>5</v>
      </c>
      <c r="D16" s="27">
        <f>IF((COUNTIFS(Input_Konektivitas!$A$3:$A$563,$A16,Input_Konektivitas!$B$3:$B$563,D$3,Input_Konektivitas!$D$3:$D$563,"&gt;0")+COUNTIFS(Input_Konektivitas!$A$3:$A$563,D$3,Input_Konektivitas!$B$3:$B$563,$A16,Input_Konektivitas!$D$3:$D$563,"&gt;0"))=0,"",SUMIFS(Input_Konektivitas!$D$3:$D$563,Input_Konektivitas!$A$3:$A$563,$A16,Input_Konektivitas!$B$3:$B$563,D$3)+SUMIFS(Input_Konektivitas!$D$3:$D$563,Input_Konektivitas!$A$3:$A$563,D$3,Input_Konektivitas!$B$3:$B$563,$A16))</f>
        <v>3.833</v>
      </c>
      <c r="E16" s="27">
        <f>IF((COUNTIFS(Input_Konektivitas!$A$3:$A$563,$A16,Input_Konektivitas!$B$3:$B$563,E$3,Input_Konektivitas!$D$3:$D$563,"&gt;0")+COUNTIFS(Input_Konektivitas!$A$3:$A$563,E$3,Input_Konektivitas!$B$3:$B$563,$A16,Input_Konektivitas!$D$3:$D$563,"&gt;0"))=0,"",SUMIFS(Input_Konektivitas!$D$3:$D$563,Input_Konektivitas!$A$3:$A$563,$A16,Input_Konektivitas!$B$3:$B$563,E$3)+SUMIFS(Input_Konektivitas!$D$3:$D$563,Input_Konektivitas!$A$3:$A$563,E$3,Input_Konektivitas!$B$3:$B$563,$A16))</f>
        <v>4.92</v>
      </c>
      <c r="F16" s="27">
        <f>IF((COUNTIFS(Input_Konektivitas!$A$3:$A$563,$A16,Input_Konektivitas!$B$3:$B$563,F$3,Input_Konektivitas!$D$3:$D$563,"&gt;0")+COUNTIFS(Input_Konektivitas!$A$3:$A$563,F$3,Input_Konektivitas!$B$3:$B$563,$A16,Input_Konektivitas!$D$3:$D$563,"&gt;0"))=0,"",SUMIFS(Input_Konektivitas!$D$3:$D$563,Input_Konektivitas!$A$3:$A$563,$A16,Input_Konektivitas!$B$3:$B$563,F$3)+SUMIFS(Input_Konektivitas!$D$3:$D$563,Input_Konektivitas!$A$3:$A$563,F$3,Input_Konektivitas!$B$3:$B$563,$A16))</f>
        <v>3.167</v>
      </c>
      <c r="G16" s="27">
        <f>IF((COUNTIFS(Input_Konektivitas!$A$3:$A$563,$A16,Input_Konektivitas!$B$3:$B$563,G$3,Input_Konektivitas!$D$3:$D$563,"&gt;0")+COUNTIFS(Input_Konektivitas!$A$3:$A$563,G$3,Input_Konektivitas!$B$3:$B$563,$A16,Input_Konektivitas!$D$3:$D$563,"&gt;0"))=0,"",SUMIFS(Input_Konektivitas!$D$3:$D$563,Input_Konektivitas!$A$3:$A$563,$A16,Input_Konektivitas!$B$3:$B$563,G$3)+SUMIFS(Input_Konektivitas!$D$3:$D$563,Input_Konektivitas!$A$3:$A$563,G$3,Input_Konektivitas!$B$3:$B$563,$A16))</f>
        <v>3</v>
      </c>
      <c r="H16" s="27">
        <f>IF((COUNTIFS(Input_Konektivitas!$A$3:$A$563,$A16,Input_Konektivitas!$B$3:$B$563,H$3,Input_Konektivitas!$D$3:$D$563,"&gt;0")+COUNTIFS(Input_Konektivitas!$A$3:$A$563,H$3,Input_Konektivitas!$B$3:$B$563,$A16,Input_Konektivitas!$D$3:$D$563,"&gt;0"))=0,"",SUMIFS(Input_Konektivitas!$D$3:$D$563,Input_Konektivitas!$A$3:$A$563,$A16,Input_Konektivitas!$B$3:$B$563,H$3)+SUMIFS(Input_Konektivitas!$D$3:$D$563,Input_Konektivitas!$A$3:$A$563,H$3,Input_Konektivitas!$B$3:$B$563,$A16))</f>
        <v>3.33</v>
      </c>
      <c r="I16" s="27">
        <f>IF((COUNTIFS(Input_Konektivitas!$A$3:$A$563,$A16,Input_Konektivitas!$B$3:$B$563,I$3,Input_Konektivitas!$D$3:$D$563,"&gt;0")+COUNTIFS(Input_Konektivitas!$A$3:$A$563,I$3,Input_Konektivitas!$B$3:$B$563,$A16,Input_Konektivitas!$D$3:$D$563,"&gt;0"))=0,"",SUMIFS(Input_Konektivitas!$D$3:$D$563,Input_Konektivitas!$A$3:$A$563,$A16,Input_Konektivitas!$B$3:$B$563,I$3)+SUMIFS(Input_Konektivitas!$D$3:$D$563,Input_Konektivitas!$A$3:$A$563,I$3,Input_Konektivitas!$B$3:$B$563,$A16))</f>
        <v>4.33</v>
      </c>
      <c r="J16" s="27">
        <f>IF((COUNTIFS(Input_Konektivitas!$A$3:$A$563,$A16,Input_Konektivitas!$B$3:$B$563,J$3,Input_Konektivitas!$D$3:$D$563,"&gt;0")+COUNTIFS(Input_Konektivitas!$A$3:$A$563,J$3,Input_Konektivitas!$B$3:$B$563,$A16,Input_Konektivitas!$D$3:$D$563,"&gt;0"))=0,"",SUMIFS(Input_Konektivitas!$D$3:$D$563,Input_Konektivitas!$A$3:$A$563,$A16,Input_Konektivitas!$B$3:$B$563,J$3)+SUMIFS(Input_Konektivitas!$D$3:$D$563,Input_Konektivitas!$A$3:$A$563,J$3,Input_Konektivitas!$B$3:$B$563,$A16))</f>
        <v>3.17</v>
      </c>
      <c r="K16" s="27">
        <f>IF((COUNTIFS(Input_Konektivitas!$A$3:$A$563,$A16,Input_Konektivitas!$B$3:$B$563,K$3,Input_Konektivitas!$D$3:$D$563,"&gt;0")+COUNTIFS(Input_Konektivitas!$A$3:$A$563,K$3,Input_Konektivitas!$B$3:$B$563,$A16,Input_Konektivitas!$D$3:$D$563,"&gt;0"))=0,"",SUMIFS(Input_Konektivitas!$D$3:$D$563,Input_Konektivitas!$A$3:$A$563,$A16,Input_Konektivitas!$B$3:$B$563,K$3)+SUMIFS(Input_Konektivitas!$D$3:$D$563,Input_Konektivitas!$A$3:$A$563,K$3,Input_Konektivitas!$B$3:$B$563,$A16))</f>
        <v>2</v>
      </c>
      <c r="L16" s="27">
        <f>IF((COUNTIFS(Input_Konektivitas!$A$3:$A$563,$A16,Input_Konektivitas!$B$3:$B$563,L$3,Input_Konektivitas!$D$3:$D$563,"&gt;0")+COUNTIFS(Input_Konektivitas!$A$3:$A$563,L$3,Input_Konektivitas!$B$3:$B$563,$A16,Input_Konektivitas!$D$3:$D$563,"&gt;0"))=0,"",SUMIFS(Input_Konektivitas!$D$3:$D$563,Input_Konektivitas!$A$3:$A$563,$A16,Input_Konektivitas!$B$3:$B$563,L$3)+SUMIFS(Input_Konektivitas!$D$3:$D$563,Input_Konektivitas!$A$3:$A$563,L$3,Input_Konektivitas!$B$3:$B$563,$A16))</f>
        <v>1.16</v>
      </c>
      <c r="M16" s="27" t="str">
        <f>IF((COUNTIFS(Input_Konektivitas!$A$3:$A$563,$A16,Input_Konektivitas!$B$3:$B$563,M$3,Input_Konektivitas!$D$3:$D$563,"&gt;0")+COUNTIFS(Input_Konektivitas!$A$3:$A$563,M$3,Input_Konektivitas!$B$3:$B$563,$A16,Input_Konektivitas!$D$3:$D$563,"&gt;0"))=0,"",SUMIFS(Input_Konektivitas!$D$3:$D$563,Input_Konektivitas!$A$3:$A$563,$A16,Input_Konektivitas!$B$3:$B$563,M$3)+SUMIFS(Input_Konektivitas!$D$3:$D$563,Input_Konektivitas!$A$3:$A$563,M$3,Input_Konektivitas!$B$3:$B$563,$A16))</f>
        <v/>
      </c>
      <c r="N16" s="23">
        <v>0.0</v>
      </c>
      <c r="O16" s="27">
        <f>IF((COUNTIFS(Input_Konektivitas!$A$3:$A$563,$A16,Input_Konektivitas!$B$3:$B$563,O$3,Input_Konektivitas!$D$3:$D$563,"&gt;0")+COUNTIFS(Input_Konektivitas!$A$3:$A$563,O$3,Input_Konektivitas!$B$3:$B$563,$A16,Input_Konektivitas!$D$3:$D$563,"&gt;0"))=0,"",SUMIFS(Input_Konektivitas!$D$3:$D$563,Input_Konektivitas!$A$3:$A$563,$A16,Input_Konektivitas!$B$3:$B$563,O$3)+SUMIFS(Input_Konektivitas!$D$3:$D$563,Input_Konektivitas!$A$3:$A$563,O$3,Input_Konektivitas!$B$3:$B$563,$A16))</f>
        <v>3.5</v>
      </c>
      <c r="P16" s="27">
        <f>IF((COUNTIFS(Input_Konektivitas!$A$3:$A$563,$A16,Input_Konektivitas!$B$3:$B$563,P$3,Input_Konektivitas!$D$3:$D$563,"&gt;0")+COUNTIFS(Input_Konektivitas!$A$3:$A$563,P$3,Input_Konektivitas!$B$3:$B$563,$A16,Input_Konektivitas!$D$3:$D$563,"&gt;0"))=0,"",SUMIFS(Input_Konektivitas!$D$3:$D$563,Input_Konektivitas!$A$3:$A$563,$A16,Input_Konektivitas!$B$3:$B$563,P$3)+SUMIFS(Input_Konektivitas!$D$3:$D$563,Input_Konektivitas!$A$3:$A$563,P$3,Input_Konektivitas!$B$3:$B$563,$A16))</f>
        <v>1.17</v>
      </c>
      <c r="Q16" s="27" t="str">
        <f>IF((COUNTIFS(Input_Konektivitas!$A$3:$A$563,$A16,Input_Konektivitas!$B$3:$B$563,Q$3,Input_Konektivitas!$D$3:$D$563,"&gt;0")+COUNTIFS(Input_Konektivitas!$A$3:$A$563,Q$3,Input_Konektivitas!$B$3:$B$563,$A16,Input_Konektivitas!$D$3:$D$563,"&gt;0"))=0,"",SUMIFS(Input_Konektivitas!$D$3:$D$563,Input_Konektivitas!$A$3:$A$563,$A16,Input_Konektivitas!$B$3:$B$563,Q$3)+SUMIFS(Input_Konektivitas!$D$3:$D$563,Input_Konektivitas!$A$3:$A$563,Q$3,Input_Konektivitas!$B$3:$B$563,$A16))</f>
        <v/>
      </c>
      <c r="R16" s="27">
        <f>IF((COUNTIFS(Input_Konektivitas!$A$3:$A$563,$A16,Input_Konektivitas!$B$3:$B$563,R$3,Input_Konektivitas!$D$3:$D$563,"&gt;0")+COUNTIFS(Input_Konektivitas!$A$3:$A$563,R$3,Input_Konektivitas!$B$3:$B$563,$A16,Input_Konektivitas!$D$3:$D$563,"&gt;0"))=0,"",SUMIFS(Input_Konektivitas!$D$3:$D$563,Input_Konektivitas!$A$3:$A$563,$A16,Input_Konektivitas!$B$3:$B$563,R$3)+SUMIFS(Input_Konektivitas!$D$3:$D$563,Input_Konektivitas!$A$3:$A$563,R$3,Input_Konektivitas!$B$3:$B$563,$A16))</f>
        <v>1.25</v>
      </c>
      <c r="S16" s="27">
        <f>IF((COUNTIFS(Input_Konektivitas!$A$3:$A$563,$A16,Input_Konektivitas!$B$3:$B$563,S$3,Input_Konektivitas!$D$3:$D$563,"&gt;0")+COUNTIFS(Input_Konektivitas!$A$3:$A$563,S$3,Input_Konektivitas!$B$3:$B$563,$A16,Input_Konektivitas!$D$3:$D$563,"&gt;0"))=0,"",SUMIFS(Input_Konektivitas!$D$3:$D$563,Input_Konektivitas!$A$3:$A$563,$A16,Input_Konektivitas!$B$3:$B$563,S$3)+SUMIFS(Input_Konektivitas!$D$3:$D$563,Input_Konektivitas!$A$3:$A$563,S$3,Input_Konektivitas!$B$3:$B$563,$A16))</f>
        <v>3.83</v>
      </c>
      <c r="T16" s="27">
        <f>IF((COUNTIFS(Input_Konektivitas!$A$3:$A$563,$A16,Input_Konektivitas!$B$3:$B$563,T$3,Input_Konektivitas!$D$3:$D$563,"&gt;0")+COUNTIFS(Input_Konektivitas!$A$3:$A$563,T$3,Input_Konektivitas!$B$3:$B$563,$A16,Input_Konektivitas!$D$3:$D$563,"&gt;0"))=0,"",SUMIFS(Input_Konektivitas!$D$3:$D$563,Input_Konektivitas!$A$3:$A$563,$A16,Input_Konektivitas!$B$3:$B$563,T$3)+SUMIFS(Input_Konektivitas!$D$3:$D$563,Input_Konektivitas!$A$3:$A$563,T$3,Input_Konektivitas!$B$3:$B$563,$A16))</f>
        <v>4.83</v>
      </c>
      <c r="U16" s="27">
        <f>IF((COUNTIFS(Input_Konektivitas!$A$3:$A$563,$A16,Input_Konektivitas!$B$3:$B$563,U$3,Input_Konektivitas!$D$3:$D$563,"&gt;0")+COUNTIFS(Input_Konektivitas!$A$3:$A$563,U$3,Input_Konektivitas!$B$3:$B$563,$A16,Input_Konektivitas!$D$3:$D$563,"&gt;0"))=0,"",SUMIFS(Input_Konektivitas!$D$3:$D$563,Input_Konektivitas!$A$3:$A$563,$A16,Input_Konektivitas!$B$3:$B$563,U$3)+SUMIFS(Input_Konektivitas!$D$3:$D$563,Input_Konektivitas!$A$3:$A$563,U$3,Input_Konektivitas!$B$3:$B$563,$A16))</f>
        <v>1.5</v>
      </c>
      <c r="V16" s="27">
        <f>IF((COUNTIFS(Input_Konektivitas!$A$3:$A$563,$A16,Input_Konektivitas!$B$3:$B$563,V$3,Input_Konektivitas!$D$3:$D$563,"&gt;0")+COUNTIFS(Input_Konektivitas!$A$3:$A$563,V$3,Input_Konektivitas!$B$3:$B$563,$A16,Input_Konektivitas!$D$3:$D$563,"&gt;0"))=0,"",SUMIFS(Input_Konektivitas!$D$3:$D$563,Input_Konektivitas!$A$3:$A$563,$A16,Input_Konektivitas!$B$3:$B$563,V$3)+SUMIFS(Input_Konektivitas!$D$3:$D$563,Input_Konektivitas!$A$3:$A$563,V$3,Input_Konektivitas!$B$3:$B$563,$A16))</f>
        <v>1.33</v>
      </c>
      <c r="W16" s="27">
        <f>IF((COUNTIFS(Input_Konektivitas!$A$3:$A$563,$A16,Input_Konektivitas!$B$3:$B$563,W$3,Input_Konektivitas!$D$3:$D$563,"&gt;0")+COUNTIFS(Input_Konektivitas!$A$3:$A$563,W$3,Input_Konektivitas!$B$3:$B$563,$A16,Input_Konektivitas!$D$3:$D$563,"&gt;0"))=0,"",SUMIFS(Input_Konektivitas!$D$3:$D$563,Input_Konektivitas!$A$3:$A$563,$A16,Input_Konektivitas!$B$3:$B$563,W$3)+SUMIFS(Input_Konektivitas!$D$3:$D$563,Input_Konektivitas!$A$3:$A$563,W$3,Input_Konektivitas!$B$3:$B$563,$A16))</f>
        <v>1.25</v>
      </c>
      <c r="X16" s="27">
        <f>IF((COUNTIFS(Input_Konektivitas!$A$3:$A$563,$A16,Input_Konektivitas!$B$3:$B$563,X$3,Input_Konektivitas!$D$3:$D$563,"&gt;0")+COUNTIFS(Input_Konektivitas!$A$3:$A$563,X$3,Input_Konektivitas!$B$3:$B$563,$A16,Input_Konektivitas!$D$3:$D$563,"&gt;0"))=0,"",SUMIFS(Input_Konektivitas!$D$3:$D$563,Input_Konektivitas!$A$3:$A$563,$A16,Input_Konektivitas!$B$3:$B$563,X$3)+SUMIFS(Input_Konektivitas!$D$3:$D$563,Input_Konektivitas!$A$3:$A$563,X$3,Input_Konektivitas!$B$3:$B$563,$A16))</f>
        <v>1.75</v>
      </c>
      <c r="Y16" s="27">
        <f>IF((COUNTIFS(Input_Konektivitas!$A$3:$A$563,$A16,Input_Konektivitas!$B$3:$B$563,Y$3,Input_Konektivitas!$D$3:$D$563,"&gt;0")+COUNTIFS(Input_Konektivitas!$A$3:$A$563,Y$3,Input_Konektivitas!$B$3:$B$563,$A16,Input_Konektivitas!$D$3:$D$563,"&gt;0"))=0,"",SUMIFS(Input_Konektivitas!$D$3:$D$563,Input_Konektivitas!$A$3:$A$563,$A16,Input_Konektivitas!$B$3:$B$563,Y$3)+SUMIFS(Input_Konektivitas!$D$3:$D$563,Input_Konektivitas!$A$3:$A$563,Y$3,Input_Konektivitas!$B$3:$B$563,$A16))</f>
        <v>4.083</v>
      </c>
      <c r="Z16" s="27">
        <f>IF((COUNTIFS(Input_Konektivitas!$A$3:$A$563,$A16,Input_Konektivitas!$B$3:$B$563,Z$3,Input_Konektivitas!$D$3:$D$563,"&gt;0")+COUNTIFS(Input_Konektivitas!$A$3:$A$563,Z$3,Input_Konektivitas!$B$3:$B$563,$A16,Input_Konektivitas!$D$3:$D$563,"&gt;0"))=0,"",SUMIFS(Input_Konektivitas!$D$3:$D$563,Input_Konektivitas!$A$3:$A$563,$A16,Input_Konektivitas!$B$3:$B$563,Z$3)+SUMIFS(Input_Konektivitas!$D$3:$D$563,Input_Konektivitas!$A$3:$A$563,Z$3,Input_Konektivitas!$B$3:$B$563,$A16))</f>
        <v>5.67</v>
      </c>
      <c r="AA16" s="27">
        <f>IF((COUNTIFS(Input_Konektivitas!$A$3:$A$563,$A16,Input_Konektivitas!$B$3:$B$563,AA$3,Input_Konektivitas!$D$3:$D$563,"&gt;0")+COUNTIFS(Input_Konektivitas!$A$3:$A$563,AA$3,Input_Konektivitas!$B$3:$B$563,$A16,Input_Konektivitas!$D$3:$D$563,"&gt;0"))=0,"",SUMIFS(Input_Konektivitas!$D$3:$D$563,Input_Konektivitas!$A$3:$A$563,$A16,Input_Konektivitas!$B$3:$B$563,AA$3)+SUMIFS(Input_Konektivitas!$D$3:$D$563,Input_Konektivitas!$A$3:$A$563,AA$3,Input_Konektivitas!$B$3:$B$563,$A16))</f>
        <v>6.92</v>
      </c>
      <c r="AB16" s="27">
        <f>IF((COUNTIFS(Input_Konektivitas!$A$3:$A$563,$A16,Input_Konektivitas!$B$3:$B$563,AB$3,Input_Konektivitas!$D$3:$D$563,"&gt;0")+COUNTIFS(Input_Konektivitas!$A$3:$A$563,AB$3,Input_Konektivitas!$B$3:$B$563,$A16,Input_Konektivitas!$D$3:$D$563,"&gt;0"))=0,"",SUMIFS(Input_Konektivitas!$D$3:$D$563,Input_Konektivitas!$A$3:$A$563,$A16,Input_Konektivitas!$B$3:$B$563,AB$3)+SUMIFS(Input_Konektivitas!$D$3:$D$563,Input_Konektivitas!$A$3:$A$563,AB$3,Input_Konektivitas!$B$3:$B$563,$A16))</f>
        <v>1.75</v>
      </c>
      <c r="AC16" s="27">
        <f>IF((COUNTIFS(Input_Konektivitas!$A$3:$A$563,$A16,Input_Konektivitas!$B$3:$B$563,AC$3,Input_Konektivitas!$D$3:$D$563,"&gt;0")+COUNTIFS(Input_Konektivitas!$A$3:$A$563,AC$3,Input_Konektivitas!$B$3:$B$563,$A16,Input_Konektivitas!$D$3:$D$563,"&gt;0"))=0,"",SUMIFS(Input_Konektivitas!$D$3:$D$563,Input_Konektivitas!$A$3:$A$563,$A16,Input_Konektivitas!$B$3:$B$563,AC$3)+SUMIFS(Input_Konektivitas!$D$3:$D$563,Input_Konektivitas!$A$3:$A$563,AC$3,Input_Konektivitas!$B$3:$B$563,$A16))</f>
        <v>6.33</v>
      </c>
      <c r="AD16" s="27">
        <f>IF((COUNTIFS(Input_Konektivitas!$A$3:$A$563,$A16,Input_Konektivitas!$B$3:$B$563,AD$3,Input_Konektivitas!$D$3:$D$563,"&gt;0")+COUNTIFS(Input_Konektivitas!$A$3:$A$563,AD$3,Input_Konektivitas!$B$3:$B$563,$A16,Input_Konektivitas!$D$3:$D$563,"&gt;0"))=0,"",SUMIFS(Input_Konektivitas!$D$3:$D$563,Input_Konektivitas!$A$3:$A$563,$A16,Input_Konektivitas!$B$3:$B$563,AD$3)+SUMIFS(Input_Konektivitas!$D$3:$D$563,Input_Konektivitas!$A$3:$A$563,AD$3,Input_Konektivitas!$B$3:$B$563,$A16))</f>
        <v>11.17</v>
      </c>
      <c r="AE16" s="27">
        <f>IF((COUNTIFS(Input_Konektivitas!$A$3:$A$563,$A16,Input_Konektivitas!$B$3:$B$563,AE$3,Input_Konektivitas!$D$3:$D$563,"&gt;0")+COUNTIFS(Input_Konektivitas!$A$3:$A$563,AE$3,Input_Konektivitas!$B$3:$B$563,$A16,Input_Konektivitas!$D$3:$D$563,"&gt;0"))=0,"",SUMIFS(Input_Konektivitas!$D$3:$D$563,Input_Konektivitas!$A$3:$A$563,$A16,Input_Konektivitas!$B$3:$B$563,AE$3)+SUMIFS(Input_Konektivitas!$D$3:$D$563,Input_Konektivitas!$A$3:$A$563,AE$3,Input_Konektivitas!$B$3:$B$563,$A16))</f>
        <v>7.92</v>
      </c>
      <c r="AF16" s="27">
        <f>IF((COUNTIFS(Input_Konektivitas!$A$3:$A$563,$A16,Input_Konektivitas!$B$3:$B$563,AF$3,Input_Konektivitas!$D$3:$D$563,"&gt;0")+COUNTIFS(Input_Konektivitas!$A$3:$A$563,AF$3,Input_Konektivitas!$B$3:$B$563,$A16,Input_Konektivitas!$D$3:$D$563,"&gt;0"))=0,"",SUMIFS(Input_Konektivitas!$D$3:$D$563,Input_Konektivitas!$A$3:$A$563,$A16,Input_Konektivitas!$B$3:$B$563,AF$3)+SUMIFS(Input_Konektivitas!$D$3:$D$563,Input_Konektivitas!$A$3:$A$563,AF$3,Input_Konektivitas!$B$3:$B$563,$A16))</f>
        <v>6.25</v>
      </c>
      <c r="AG16" s="27">
        <f>IF((COUNTIFS(Input_Konektivitas!$A$3:$A$563,$A16,Input_Konektivitas!$B$3:$B$563,AG$3,Input_Konektivitas!$D$3:$D$563,"&gt;0")+COUNTIFS(Input_Konektivitas!$A$3:$A$563,AG$3,Input_Konektivitas!$B$3:$B$563,$A16,Input_Konektivitas!$D$3:$D$563,"&gt;0"))=0,"",SUMIFS(Input_Konektivitas!$D$3:$D$563,Input_Konektivitas!$A$3:$A$563,$A16,Input_Konektivitas!$B$3:$B$563,AG$3)+SUMIFS(Input_Konektivitas!$D$3:$D$563,Input_Konektivitas!$A$3:$A$563,AG$3,Input_Konektivitas!$B$3:$B$563,$A16))</f>
        <v>9.92</v>
      </c>
      <c r="AH16" s="27">
        <f>IF((COUNTIFS(Input_Konektivitas!$A$3:$A$563,$A16,Input_Konektivitas!$B$3:$B$563,AH$3,Input_Konektivitas!$D$3:$D$563,"&gt;0")+COUNTIFS(Input_Konektivitas!$A$3:$A$563,AH$3,Input_Konektivitas!$B$3:$B$563,$A16,Input_Konektivitas!$D$3:$D$563,"&gt;0"))=0,"",SUMIFS(Input_Konektivitas!$D$3:$D$563,Input_Konektivitas!$A$3:$A$563,$A16,Input_Konektivitas!$B$3:$B$563,AH$3)+SUMIFS(Input_Konektivitas!$D$3:$D$563,Input_Konektivitas!$A$3:$A$563,AH$3,Input_Konektivitas!$B$3:$B$563,$A16))</f>
        <v>8.75</v>
      </c>
      <c r="AI16" s="27">
        <f>IF((COUNTIFS(Input_Konektivitas!$A$3:$A$563,$A16,Input_Konektivitas!$B$3:$B$563,AI$3,Input_Konektivitas!$D$3:$D$563,"&gt;0")+COUNTIFS(Input_Konektivitas!$A$3:$A$563,AI$3,Input_Konektivitas!$B$3:$B$563,$A16,Input_Konektivitas!$D$3:$D$563,"&gt;0"))=0,"",SUMIFS(Input_Konektivitas!$D$3:$D$563,Input_Konektivitas!$A$3:$A$563,$A16,Input_Konektivitas!$B$3:$B$563,AI$3)+SUMIFS(Input_Konektivitas!$D$3:$D$563,Input_Konektivitas!$A$3:$A$563,AI$3,Input_Konektivitas!$B$3:$B$563,$A16))</f>
        <v>9.83</v>
      </c>
    </row>
    <row r="17" ht="14.25" customHeight="1">
      <c r="A17" s="22" t="s">
        <v>40</v>
      </c>
      <c r="B17" s="27">
        <f>IF((COUNTIFS(Input_Konektivitas!$A$3:$A$563,$A17,Input_Konektivitas!$B$3:$B$563,B$3,Input_Konektivitas!$D$3:$D$563,"&gt;0")+COUNTIFS(Input_Konektivitas!$A$3:$A$563,B$3,Input_Konektivitas!$B$3:$B$563,$A17,Input_Konektivitas!$D$3:$D$563,"&gt;0"))=0,"",SUMIFS(Input_Konektivitas!$D$3:$D$563,Input_Konektivitas!$A$3:$A$563,$A17,Input_Konektivitas!$B$3:$B$563,B$3)+SUMIFS(Input_Konektivitas!$D$3:$D$563,Input_Konektivitas!$A$3:$A$563,B$3,Input_Konektivitas!$B$3:$B$563,$A17))</f>
        <v>5.16667</v>
      </c>
      <c r="C17" s="27">
        <f>IF((COUNTIFS(Input_Konektivitas!$A$3:$A$563,$A17,Input_Konektivitas!$B$3:$B$563,C$3,Input_Konektivitas!$D$3:$D$563,"&gt;0")+COUNTIFS(Input_Konektivitas!$A$3:$A$563,C$3,Input_Konektivitas!$B$3:$B$563,$A17,Input_Konektivitas!$D$3:$D$563,"&gt;0"))=0,"",SUMIFS(Input_Konektivitas!$D$3:$D$563,Input_Konektivitas!$A$3:$A$563,$A17,Input_Konektivitas!$B$3:$B$563,C$3)+SUMIFS(Input_Konektivitas!$D$3:$D$563,Input_Konektivitas!$A$3:$A$563,C$3,Input_Konektivitas!$B$3:$B$563,$A17))</f>
        <v>2.83</v>
      </c>
      <c r="D17" s="27">
        <f>IF((COUNTIFS(Input_Konektivitas!$A$3:$A$563,$A17,Input_Konektivitas!$B$3:$B$563,D$3,Input_Konektivitas!$D$3:$D$563,"&gt;0")+COUNTIFS(Input_Konektivitas!$A$3:$A$563,D$3,Input_Konektivitas!$B$3:$B$563,$A17,Input_Konektivitas!$D$3:$D$563,"&gt;0"))=0,"",SUMIFS(Input_Konektivitas!$D$3:$D$563,Input_Konektivitas!$A$3:$A$563,$A17,Input_Konektivitas!$B$3:$B$563,D$3)+SUMIFS(Input_Konektivitas!$D$3:$D$563,Input_Konektivitas!$A$3:$A$563,D$3,Input_Konektivitas!$B$3:$B$563,$A17))</f>
        <v>2.25</v>
      </c>
      <c r="E17" s="27">
        <f>IF((COUNTIFS(Input_Konektivitas!$A$3:$A$563,$A17,Input_Konektivitas!$B$3:$B$563,E$3,Input_Konektivitas!$D$3:$D$563,"&gt;0")+COUNTIFS(Input_Konektivitas!$A$3:$A$563,E$3,Input_Konektivitas!$B$3:$B$563,$A17,Input_Konektivitas!$D$3:$D$563,"&gt;0"))=0,"",SUMIFS(Input_Konektivitas!$D$3:$D$563,Input_Konektivitas!$A$3:$A$563,$A17,Input_Konektivitas!$B$3:$B$563,E$3)+SUMIFS(Input_Konektivitas!$D$3:$D$563,Input_Konektivitas!$A$3:$A$563,E$3,Input_Konektivitas!$B$3:$B$563,$A17))</f>
        <v>5</v>
      </c>
      <c r="F17" s="27">
        <f>IF((COUNTIFS(Input_Konektivitas!$A$3:$A$563,$A17,Input_Konektivitas!$B$3:$B$563,F$3,Input_Konektivitas!$D$3:$D$563,"&gt;0")+COUNTIFS(Input_Konektivitas!$A$3:$A$563,F$3,Input_Konektivitas!$B$3:$B$563,$A17,Input_Konektivitas!$D$3:$D$563,"&gt;0"))=0,"",SUMIFS(Input_Konektivitas!$D$3:$D$563,Input_Konektivitas!$A$3:$A$563,$A17,Input_Konektivitas!$B$3:$B$563,F$3)+SUMIFS(Input_Konektivitas!$D$3:$D$563,Input_Konektivitas!$A$3:$A$563,F$3,Input_Konektivitas!$B$3:$B$563,$A17))</f>
        <v>4.83</v>
      </c>
      <c r="G17" s="27">
        <f>IF((COUNTIFS(Input_Konektivitas!$A$3:$A$563,$A17,Input_Konektivitas!$B$3:$B$563,G$3,Input_Konektivitas!$D$3:$D$563,"&gt;0")+COUNTIFS(Input_Konektivitas!$A$3:$A$563,G$3,Input_Konektivitas!$B$3:$B$563,$A17,Input_Konektivitas!$D$3:$D$563,"&gt;0"))=0,"",SUMIFS(Input_Konektivitas!$D$3:$D$563,Input_Konektivitas!$A$3:$A$563,$A17,Input_Konektivitas!$B$3:$B$563,G$3)+SUMIFS(Input_Konektivitas!$D$3:$D$563,Input_Konektivitas!$A$3:$A$563,G$3,Input_Konektivitas!$B$3:$B$563,$A17))</f>
        <v>1.58</v>
      </c>
      <c r="H17" s="27">
        <f>IF((COUNTIFS(Input_Konektivitas!$A$3:$A$563,$A17,Input_Konektivitas!$B$3:$B$563,H$3,Input_Konektivitas!$D$3:$D$563,"&gt;0")+COUNTIFS(Input_Konektivitas!$A$3:$A$563,H$3,Input_Konektivitas!$B$3:$B$563,$A17,Input_Konektivitas!$D$3:$D$563,"&gt;0"))=0,"",SUMIFS(Input_Konektivitas!$D$3:$D$563,Input_Konektivitas!$A$3:$A$563,$A17,Input_Konektivitas!$B$3:$B$563,H$3)+SUMIFS(Input_Konektivitas!$D$3:$D$563,Input_Konektivitas!$A$3:$A$563,H$3,Input_Konektivitas!$B$3:$B$563,$A17))</f>
        <v>3.67</v>
      </c>
      <c r="I17" s="27">
        <f>IF((COUNTIFS(Input_Konektivitas!$A$3:$A$563,$A17,Input_Konektivitas!$B$3:$B$563,I$3,Input_Konektivitas!$D$3:$D$563,"&gt;0")+COUNTIFS(Input_Konektivitas!$A$3:$A$563,I$3,Input_Konektivitas!$B$3:$B$563,$A17,Input_Konektivitas!$D$3:$D$563,"&gt;0"))=0,"",SUMIFS(Input_Konektivitas!$D$3:$D$563,Input_Konektivitas!$A$3:$A$563,$A17,Input_Konektivitas!$B$3:$B$563,I$3)+SUMIFS(Input_Konektivitas!$D$3:$D$563,Input_Konektivitas!$A$3:$A$563,I$3,Input_Konektivitas!$B$3:$B$563,$A17))</f>
        <v>2.92</v>
      </c>
      <c r="J17" s="27">
        <f>IF((COUNTIFS(Input_Konektivitas!$A$3:$A$563,$A17,Input_Konektivitas!$B$3:$B$563,J$3,Input_Konektivitas!$D$3:$D$563,"&gt;0")+COUNTIFS(Input_Konektivitas!$A$3:$A$563,J$3,Input_Konektivitas!$B$3:$B$563,$A17,Input_Konektivitas!$D$3:$D$563,"&gt;0"))=0,"",SUMIFS(Input_Konektivitas!$D$3:$D$563,Input_Konektivitas!$A$3:$A$563,$A17,Input_Konektivitas!$B$3:$B$563,J$3)+SUMIFS(Input_Konektivitas!$D$3:$D$563,Input_Konektivitas!$A$3:$A$563,J$3,Input_Konektivitas!$B$3:$B$563,$A17))</f>
        <v>3.25</v>
      </c>
      <c r="K17" s="27">
        <f>IF((COUNTIFS(Input_Konektivitas!$A$3:$A$563,$A17,Input_Konektivitas!$B$3:$B$563,K$3,Input_Konektivitas!$D$3:$D$563,"&gt;0")+COUNTIFS(Input_Konektivitas!$A$3:$A$563,K$3,Input_Konektivitas!$B$3:$B$563,$A17,Input_Konektivitas!$D$3:$D$563,"&gt;0"))=0,"",SUMIFS(Input_Konektivitas!$D$3:$D$563,Input_Konektivitas!$A$3:$A$563,$A17,Input_Konektivitas!$B$3:$B$563,K$3)+SUMIFS(Input_Konektivitas!$D$3:$D$563,Input_Konektivitas!$A$3:$A$563,K$3,Input_Konektivitas!$B$3:$B$563,$A17))</f>
        <v>2.25</v>
      </c>
      <c r="L17" s="27">
        <f>IF((COUNTIFS(Input_Konektivitas!$A$3:$A$563,$A17,Input_Konektivitas!$B$3:$B$563,L$3,Input_Konektivitas!$D$3:$D$563,"&gt;0")+COUNTIFS(Input_Konektivitas!$A$3:$A$563,L$3,Input_Konektivitas!$B$3:$B$563,$A17,Input_Konektivitas!$D$3:$D$563,"&gt;0"))=0,"",SUMIFS(Input_Konektivitas!$D$3:$D$563,Input_Konektivitas!$A$3:$A$563,$A17,Input_Konektivitas!$B$3:$B$563,L$3)+SUMIFS(Input_Konektivitas!$D$3:$D$563,Input_Konektivitas!$A$3:$A$563,L$3,Input_Konektivitas!$B$3:$B$563,$A17))</f>
        <v>1.16</v>
      </c>
      <c r="M17" s="27" t="str">
        <f>IF((COUNTIFS(Input_Konektivitas!$A$3:$A$563,$A17,Input_Konektivitas!$B$3:$B$563,M$3,Input_Konektivitas!$D$3:$D$563,"&gt;0")+COUNTIFS(Input_Konektivitas!$A$3:$A$563,M$3,Input_Konektivitas!$B$3:$B$563,$A17,Input_Konektivitas!$D$3:$D$563,"&gt;0"))=0,"",SUMIFS(Input_Konektivitas!$D$3:$D$563,Input_Konektivitas!$A$3:$A$563,$A17,Input_Konektivitas!$B$3:$B$563,M$3)+SUMIFS(Input_Konektivitas!$D$3:$D$563,Input_Konektivitas!$A$3:$A$563,M$3,Input_Konektivitas!$B$3:$B$563,$A17))</f>
        <v/>
      </c>
      <c r="N17" s="27">
        <f>IF((COUNTIFS(Input_Konektivitas!$A$3:$A$563,$A17,Input_Konektivitas!$B$3:$B$563,N$3,Input_Konektivitas!$D$3:$D$563,"&gt;0")+COUNTIFS(Input_Konektivitas!$A$3:$A$563,N$3,Input_Konektivitas!$B$3:$B$563,$A17,Input_Konektivitas!$D$3:$D$563,"&gt;0"))=0,"",SUMIFS(Input_Konektivitas!$D$3:$D$563,Input_Konektivitas!$A$3:$A$563,$A17,Input_Konektivitas!$B$3:$B$563,N$3)+SUMIFS(Input_Konektivitas!$D$3:$D$563,Input_Konektivitas!$A$3:$A$563,N$3,Input_Konektivitas!$B$3:$B$563,$A17))</f>
        <v>3.5</v>
      </c>
      <c r="O17" s="23">
        <v>0.0</v>
      </c>
      <c r="P17" s="27">
        <f>IF((COUNTIFS(Input_Konektivitas!$A$3:$A$563,$A17,Input_Konektivitas!$B$3:$B$563,P$3,Input_Konektivitas!$D$3:$D$563,"&gt;0")+COUNTIFS(Input_Konektivitas!$A$3:$A$563,P$3,Input_Konektivitas!$B$3:$B$563,$A17,Input_Konektivitas!$D$3:$D$563,"&gt;0"))=0,"",SUMIFS(Input_Konektivitas!$D$3:$D$563,Input_Konektivitas!$A$3:$A$563,$A17,Input_Konektivitas!$B$3:$B$563,P$3)+SUMIFS(Input_Konektivitas!$D$3:$D$563,Input_Konektivitas!$A$3:$A$563,P$3,Input_Konektivitas!$B$3:$B$563,$A17))</f>
        <v>3.5</v>
      </c>
      <c r="Q17" s="27" t="str">
        <f>IF((COUNTIFS(Input_Konektivitas!$A$3:$A$563,$A17,Input_Konektivitas!$B$3:$B$563,Q$3,Input_Konektivitas!$D$3:$D$563,"&gt;0")+COUNTIFS(Input_Konektivitas!$A$3:$A$563,Q$3,Input_Konektivitas!$B$3:$B$563,$A17,Input_Konektivitas!$D$3:$D$563,"&gt;0"))=0,"",SUMIFS(Input_Konektivitas!$D$3:$D$563,Input_Konektivitas!$A$3:$A$563,$A17,Input_Konektivitas!$B$3:$B$563,Q$3)+SUMIFS(Input_Konektivitas!$D$3:$D$563,Input_Konektivitas!$A$3:$A$563,Q$3,Input_Konektivitas!$B$3:$B$563,$A17))</f>
        <v/>
      </c>
      <c r="R17" s="27">
        <f>IF((COUNTIFS(Input_Konektivitas!$A$3:$A$563,$A17,Input_Konektivitas!$B$3:$B$563,R$3,Input_Konektivitas!$D$3:$D$563,"&gt;0")+COUNTIFS(Input_Konektivitas!$A$3:$A$563,R$3,Input_Konektivitas!$B$3:$B$563,$A17,Input_Konektivitas!$D$3:$D$563,"&gt;0"))=0,"",SUMIFS(Input_Konektivitas!$D$3:$D$563,Input_Konektivitas!$A$3:$A$563,$A17,Input_Konektivitas!$B$3:$B$563,R$3)+SUMIFS(Input_Konektivitas!$D$3:$D$563,Input_Konektivitas!$A$3:$A$563,R$3,Input_Konektivitas!$B$3:$B$563,$A17))</f>
        <v>1.42</v>
      </c>
      <c r="S17" s="27">
        <f>IF((COUNTIFS(Input_Konektivitas!$A$3:$A$563,$A17,Input_Konektivitas!$B$3:$B$563,S$3,Input_Konektivitas!$D$3:$D$563,"&gt;0")+COUNTIFS(Input_Konektivitas!$A$3:$A$563,S$3,Input_Konektivitas!$B$3:$B$563,$A17,Input_Konektivitas!$D$3:$D$563,"&gt;0"))=0,"",SUMIFS(Input_Konektivitas!$D$3:$D$563,Input_Konektivitas!$A$3:$A$563,$A17,Input_Konektivitas!$B$3:$B$563,S$3)+SUMIFS(Input_Konektivitas!$D$3:$D$563,Input_Konektivitas!$A$3:$A$563,S$3,Input_Konektivitas!$B$3:$B$563,$A17))</f>
        <v>1.5</v>
      </c>
      <c r="T17" s="27">
        <f>IF((COUNTIFS(Input_Konektivitas!$A$3:$A$563,$A17,Input_Konektivitas!$B$3:$B$563,T$3,Input_Konektivitas!$D$3:$D$563,"&gt;0")+COUNTIFS(Input_Konektivitas!$A$3:$A$563,T$3,Input_Konektivitas!$B$3:$B$563,$A17,Input_Konektivitas!$D$3:$D$563,"&gt;0"))=0,"",SUMIFS(Input_Konektivitas!$D$3:$D$563,Input_Konektivitas!$A$3:$A$563,$A17,Input_Konektivitas!$B$3:$B$563,T$3)+SUMIFS(Input_Konektivitas!$D$3:$D$563,Input_Konektivitas!$A$3:$A$563,T$3,Input_Konektivitas!$B$3:$B$563,$A17))</f>
        <v>4.92</v>
      </c>
      <c r="U17" s="27">
        <f>IF((COUNTIFS(Input_Konektivitas!$A$3:$A$563,$A17,Input_Konektivitas!$B$3:$B$563,U$3,Input_Konektivitas!$D$3:$D$563,"&gt;0")+COUNTIFS(Input_Konektivitas!$A$3:$A$563,U$3,Input_Konektivitas!$B$3:$B$563,$A17,Input_Konektivitas!$D$3:$D$563,"&gt;0"))=0,"",SUMIFS(Input_Konektivitas!$D$3:$D$563,Input_Konektivitas!$A$3:$A$563,$A17,Input_Konektivitas!$B$3:$B$563,U$3)+SUMIFS(Input_Konektivitas!$D$3:$D$563,Input_Konektivitas!$A$3:$A$563,U$3,Input_Konektivitas!$B$3:$B$563,$A17))</f>
        <v>1.83</v>
      </c>
      <c r="V17" s="27">
        <f>IF((COUNTIFS(Input_Konektivitas!$A$3:$A$563,$A17,Input_Konektivitas!$B$3:$B$563,V$3,Input_Konektivitas!$D$3:$D$563,"&gt;0")+COUNTIFS(Input_Konektivitas!$A$3:$A$563,V$3,Input_Konektivitas!$B$3:$B$563,$A17,Input_Konektivitas!$D$3:$D$563,"&gt;0"))=0,"",SUMIFS(Input_Konektivitas!$D$3:$D$563,Input_Konektivitas!$A$3:$A$563,$A17,Input_Konektivitas!$B$3:$B$563,V$3)+SUMIFS(Input_Konektivitas!$D$3:$D$563,Input_Konektivitas!$A$3:$A$563,V$3,Input_Konektivitas!$B$3:$B$563,$A17))</f>
        <v>1.583</v>
      </c>
      <c r="W17" s="27">
        <f>IF((COUNTIFS(Input_Konektivitas!$A$3:$A$563,$A17,Input_Konektivitas!$B$3:$B$563,W$3,Input_Konektivitas!$D$3:$D$563,"&gt;0")+COUNTIFS(Input_Konektivitas!$A$3:$A$563,W$3,Input_Konektivitas!$B$3:$B$563,$A17,Input_Konektivitas!$D$3:$D$563,"&gt;0"))=0,"",SUMIFS(Input_Konektivitas!$D$3:$D$563,Input_Konektivitas!$A$3:$A$563,$A17,Input_Konektivitas!$B$3:$B$563,W$3)+SUMIFS(Input_Konektivitas!$D$3:$D$563,Input_Konektivitas!$A$3:$A$563,W$3,Input_Konektivitas!$B$3:$B$563,$A17))</f>
        <v>1.5</v>
      </c>
      <c r="X17" s="27">
        <f>IF((COUNTIFS(Input_Konektivitas!$A$3:$A$563,$A17,Input_Konektivitas!$B$3:$B$563,X$3,Input_Konektivitas!$D$3:$D$563,"&gt;0")+COUNTIFS(Input_Konektivitas!$A$3:$A$563,X$3,Input_Konektivitas!$B$3:$B$563,$A17,Input_Konektivitas!$D$3:$D$563,"&gt;0"))=0,"",SUMIFS(Input_Konektivitas!$D$3:$D$563,Input_Konektivitas!$A$3:$A$563,$A17,Input_Konektivitas!$B$3:$B$563,X$3)+SUMIFS(Input_Konektivitas!$D$3:$D$563,Input_Konektivitas!$A$3:$A$563,X$3,Input_Konektivitas!$B$3:$B$563,$A17))</f>
        <v>1.92</v>
      </c>
      <c r="Y17" s="27">
        <f>IF((COUNTIFS(Input_Konektivitas!$A$3:$A$563,$A17,Input_Konektivitas!$B$3:$B$563,Y$3,Input_Konektivitas!$D$3:$D$563,"&gt;0")+COUNTIFS(Input_Konektivitas!$A$3:$A$563,Y$3,Input_Konektivitas!$B$3:$B$563,$A17,Input_Konektivitas!$D$3:$D$563,"&gt;0"))=0,"",SUMIFS(Input_Konektivitas!$D$3:$D$563,Input_Konektivitas!$A$3:$A$563,$A17,Input_Konektivitas!$B$3:$B$563,Y$3)+SUMIFS(Input_Konektivitas!$D$3:$D$563,Input_Konektivitas!$A$3:$A$563,Y$3,Input_Konektivitas!$B$3:$B$563,$A17))</f>
        <v>4.75</v>
      </c>
      <c r="Z17" s="27">
        <f>IF((COUNTIFS(Input_Konektivitas!$A$3:$A$563,$A17,Input_Konektivitas!$B$3:$B$563,Z$3,Input_Konektivitas!$D$3:$D$563,"&gt;0")+COUNTIFS(Input_Konektivitas!$A$3:$A$563,Z$3,Input_Konektivitas!$B$3:$B$563,$A17,Input_Konektivitas!$D$3:$D$563,"&gt;0"))=0,"",SUMIFS(Input_Konektivitas!$D$3:$D$563,Input_Konektivitas!$A$3:$A$563,$A17,Input_Konektivitas!$B$3:$B$563,Z$3)+SUMIFS(Input_Konektivitas!$D$3:$D$563,Input_Konektivitas!$A$3:$A$563,Z$3,Input_Konektivitas!$B$3:$B$563,$A17))</f>
        <v>4.67</v>
      </c>
      <c r="AA17" s="27">
        <f>IF((COUNTIFS(Input_Konektivitas!$A$3:$A$563,$A17,Input_Konektivitas!$B$3:$B$563,AA$3,Input_Konektivitas!$D$3:$D$563,"&gt;0")+COUNTIFS(Input_Konektivitas!$A$3:$A$563,AA$3,Input_Konektivitas!$B$3:$B$563,$A17,Input_Konektivitas!$D$3:$D$563,"&gt;0"))=0,"",SUMIFS(Input_Konektivitas!$D$3:$D$563,Input_Konektivitas!$A$3:$A$563,$A17,Input_Konektivitas!$B$3:$B$563,AA$3)+SUMIFS(Input_Konektivitas!$D$3:$D$563,Input_Konektivitas!$A$3:$A$563,AA$3,Input_Konektivitas!$B$3:$B$563,$A17))</f>
        <v>3.83</v>
      </c>
      <c r="AB17" s="27">
        <f>IF((COUNTIFS(Input_Konektivitas!$A$3:$A$563,$A17,Input_Konektivitas!$B$3:$B$563,AB$3,Input_Konektivitas!$D$3:$D$563,"&gt;0")+COUNTIFS(Input_Konektivitas!$A$3:$A$563,AB$3,Input_Konektivitas!$B$3:$B$563,$A17,Input_Konektivitas!$D$3:$D$563,"&gt;0"))=0,"",SUMIFS(Input_Konektivitas!$D$3:$D$563,Input_Konektivitas!$A$3:$A$563,$A17,Input_Konektivitas!$B$3:$B$563,AB$3)+SUMIFS(Input_Konektivitas!$D$3:$D$563,Input_Konektivitas!$A$3:$A$563,AB$3,Input_Konektivitas!$B$3:$B$563,$A17))</f>
        <v>1.83</v>
      </c>
      <c r="AC17" s="27">
        <f>IF((COUNTIFS(Input_Konektivitas!$A$3:$A$563,$A17,Input_Konektivitas!$B$3:$B$563,AC$3,Input_Konektivitas!$D$3:$D$563,"&gt;0")+COUNTIFS(Input_Konektivitas!$A$3:$A$563,AC$3,Input_Konektivitas!$B$3:$B$563,$A17,Input_Konektivitas!$D$3:$D$563,"&gt;0"))=0,"",SUMIFS(Input_Konektivitas!$D$3:$D$563,Input_Konektivitas!$A$3:$A$563,$A17,Input_Konektivitas!$B$3:$B$563,AC$3)+SUMIFS(Input_Konektivitas!$D$3:$D$563,Input_Konektivitas!$A$3:$A$563,AC$3,Input_Konektivitas!$B$3:$B$563,$A17))</f>
        <v>3.583</v>
      </c>
      <c r="AD17" s="27">
        <f>IF((COUNTIFS(Input_Konektivitas!$A$3:$A$563,$A17,Input_Konektivitas!$B$3:$B$563,AD$3,Input_Konektivitas!$D$3:$D$563,"&gt;0")+COUNTIFS(Input_Konektivitas!$A$3:$A$563,AD$3,Input_Konektivitas!$B$3:$B$563,$A17,Input_Konektivitas!$D$3:$D$563,"&gt;0"))=0,"",SUMIFS(Input_Konektivitas!$D$3:$D$563,Input_Konektivitas!$A$3:$A$563,$A17,Input_Konektivitas!$B$3:$B$563,AD$3)+SUMIFS(Input_Konektivitas!$D$3:$D$563,Input_Konektivitas!$A$3:$A$563,AD$3,Input_Konektivitas!$B$3:$B$563,$A17))</f>
        <v>11</v>
      </c>
      <c r="AE17" s="27">
        <f>IF((COUNTIFS(Input_Konektivitas!$A$3:$A$563,$A17,Input_Konektivitas!$B$3:$B$563,AE$3,Input_Konektivitas!$D$3:$D$563,"&gt;0")+COUNTIFS(Input_Konektivitas!$A$3:$A$563,AE$3,Input_Konektivitas!$B$3:$B$563,$A17,Input_Konektivitas!$D$3:$D$563,"&gt;0"))=0,"",SUMIFS(Input_Konektivitas!$D$3:$D$563,Input_Konektivitas!$A$3:$A$563,$A17,Input_Konektivitas!$B$3:$B$563,AE$3)+SUMIFS(Input_Konektivitas!$D$3:$D$563,Input_Konektivitas!$A$3:$A$563,AE$3,Input_Konektivitas!$B$3:$B$563,$A17))</f>
        <v>4.83</v>
      </c>
      <c r="AF17" s="27">
        <f>IF((COUNTIFS(Input_Konektivitas!$A$3:$A$563,$A17,Input_Konektivitas!$B$3:$B$563,AF$3,Input_Konektivitas!$D$3:$D$563,"&gt;0")+COUNTIFS(Input_Konektivitas!$A$3:$A$563,AF$3,Input_Konektivitas!$B$3:$B$563,$A17,Input_Konektivitas!$D$3:$D$563,"&gt;0"))=0,"",SUMIFS(Input_Konektivitas!$D$3:$D$563,Input_Konektivitas!$A$3:$A$563,$A17,Input_Konektivitas!$B$3:$B$563,AF$3)+SUMIFS(Input_Konektivitas!$D$3:$D$563,Input_Konektivitas!$A$3:$A$563,AF$3,Input_Konektivitas!$B$3:$B$563,$A17))</f>
        <v>6.5</v>
      </c>
      <c r="AG17" s="27">
        <f>IF((COUNTIFS(Input_Konektivitas!$A$3:$A$563,$A17,Input_Konektivitas!$B$3:$B$563,AG$3,Input_Konektivitas!$D$3:$D$563,"&gt;0")+COUNTIFS(Input_Konektivitas!$A$3:$A$563,AG$3,Input_Konektivitas!$B$3:$B$563,$A17,Input_Konektivitas!$D$3:$D$563,"&gt;0"))=0,"",SUMIFS(Input_Konektivitas!$D$3:$D$563,Input_Konektivitas!$A$3:$A$563,$A17,Input_Konektivitas!$B$3:$B$563,AG$3)+SUMIFS(Input_Konektivitas!$D$3:$D$563,Input_Konektivitas!$A$3:$A$563,AG$3,Input_Konektivitas!$B$3:$B$563,$A17))</f>
        <v>6.83</v>
      </c>
      <c r="AH17" s="27">
        <f>IF((COUNTIFS(Input_Konektivitas!$A$3:$A$563,$A17,Input_Konektivitas!$B$3:$B$563,AH$3,Input_Konektivitas!$D$3:$D$563,"&gt;0")+COUNTIFS(Input_Konektivitas!$A$3:$A$563,AH$3,Input_Konektivitas!$B$3:$B$563,$A17,Input_Konektivitas!$D$3:$D$563,"&gt;0"))=0,"",SUMIFS(Input_Konektivitas!$D$3:$D$563,Input_Konektivitas!$A$3:$A$563,$A17,Input_Konektivitas!$B$3:$B$563,AH$3)+SUMIFS(Input_Konektivitas!$D$3:$D$563,Input_Konektivitas!$A$3:$A$563,AH$3,Input_Konektivitas!$B$3:$B$563,$A17))</f>
        <v>8</v>
      </c>
      <c r="AI17" s="27">
        <f>IF((COUNTIFS(Input_Konektivitas!$A$3:$A$563,$A17,Input_Konektivitas!$B$3:$B$563,AI$3,Input_Konektivitas!$D$3:$D$563,"&gt;0")+COUNTIFS(Input_Konektivitas!$A$3:$A$563,AI$3,Input_Konektivitas!$B$3:$B$563,$A17,Input_Konektivitas!$D$3:$D$563,"&gt;0"))=0,"",SUMIFS(Input_Konektivitas!$D$3:$D$563,Input_Konektivitas!$A$3:$A$563,$A17,Input_Konektivitas!$B$3:$B$563,AI$3)+SUMIFS(Input_Konektivitas!$D$3:$D$563,Input_Konektivitas!$A$3:$A$563,AI$3,Input_Konektivitas!$B$3:$B$563,$A17))</f>
        <v>8.083</v>
      </c>
    </row>
    <row r="18" ht="14.25" customHeight="1">
      <c r="A18" s="22" t="s">
        <v>43</v>
      </c>
      <c r="B18" s="27">
        <f>IF((COUNTIFS(Input_Konektivitas!$A$3:$A$563,$A18,Input_Konektivitas!$B$3:$B$563,B$3,Input_Konektivitas!$D$3:$D$563,"&gt;0")+COUNTIFS(Input_Konektivitas!$A$3:$A$563,B$3,Input_Konektivitas!$B$3:$B$563,$A18,Input_Konektivitas!$D$3:$D$563,"&gt;0"))=0,"",SUMIFS(Input_Konektivitas!$D$3:$D$563,Input_Konektivitas!$A$3:$A$563,$A18,Input_Konektivitas!$B$3:$B$563,B$3)+SUMIFS(Input_Konektivitas!$D$3:$D$563,Input_Konektivitas!$A$3:$A$563,B$3,Input_Konektivitas!$B$3:$B$563,$A18))</f>
        <v>5.9167</v>
      </c>
      <c r="C18" s="27">
        <f>IF((COUNTIFS(Input_Konektivitas!$A$3:$A$563,$A18,Input_Konektivitas!$B$3:$B$563,C$3,Input_Konektivitas!$D$3:$D$563,"&gt;0")+COUNTIFS(Input_Konektivitas!$A$3:$A$563,C$3,Input_Konektivitas!$B$3:$B$563,$A18,Input_Konektivitas!$D$3:$D$563,"&gt;0"))=0,"",SUMIFS(Input_Konektivitas!$D$3:$D$563,Input_Konektivitas!$A$3:$A$563,$A18,Input_Konektivitas!$B$3:$B$563,C$3)+SUMIFS(Input_Konektivitas!$D$3:$D$563,Input_Konektivitas!$A$3:$A$563,C$3,Input_Konektivitas!$B$3:$B$563,$A18))</f>
        <v>3.17</v>
      </c>
      <c r="D18" s="27">
        <f>IF((COUNTIFS(Input_Konektivitas!$A$3:$A$563,$A18,Input_Konektivitas!$B$3:$B$563,D$3,Input_Konektivitas!$D$3:$D$563,"&gt;0")+COUNTIFS(Input_Konektivitas!$A$3:$A$563,D$3,Input_Konektivitas!$B$3:$B$563,$A18,Input_Konektivitas!$D$3:$D$563,"&gt;0"))=0,"",SUMIFS(Input_Konektivitas!$D$3:$D$563,Input_Konektivitas!$A$3:$A$563,$A18,Input_Konektivitas!$B$3:$B$563,D$3)+SUMIFS(Input_Konektivitas!$D$3:$D$563,Input_Konektivitas!$A$3:$A$563,D$3,Input_Konektivitas!$B$3:$B$563,$A18))</f>
        <v>4.58</v>
      </c>
      <c r="E18" s="27">
        <f>IF((COUNTIFS(Input_Konektivitas!$A$3:$A$563,$A18,Input_Konektivitas!$B$3:$B$563,E$3,Input_Konektivitas!$D$3:$D$563,"&gt;0")+COUNTIFS(Input_Konektivitas!$A$3:$A$563,E$3,Input_Konektivitas!$B$3:$B$563,$A18,Input_Konektivitas!$D$3:$D$563,"&gt;0"))=0,"",SUMIFS(Input_Konektivitas!$D$3:$D$563,Input_Konektivitas!$A$3:$A$563,$A18,Input_Konektivitas!$B$3:$B$563,E$3)+SUMIFS(Input_Konektivitas!$D$3:$D$563,Input_Konektivitas!$A$3:$A$563,E$3,Input_Konektivitas!$B$3:$B$563,$A18))</f>
        <v>6.25</v>
      </c>
      <c r="F18" s="27">
        <f>IF((COUNTIFS(Input_Konektivitas!$A$3:$A$563,$A18,Input_Konektivitas!$B$3:$B$563,F$3,Input_Konektivitas!$D$3:$D$563,"&gt;0")+COUNTIFS(Input_Konektivitas!$A$3:$A$563,F$3,Input_Konektivitas!$B$3:$B$563,$A18,Input_Konektivitas!$D$3:$D$563,"&gt;0"))=0,"",SUMIFS(Input_Konektivitas!$D$3:$D$563,Input_Konektivitas!$A$3:$A$563,$A18,Input_Konektivitas!$B$3:$B$563,F$3)+SUMIFS(Input_Konektivitas!$D$3:$D$563,Input_Konektivitas!$A$3:$A$563,F$3,Input_Konektivitas!$B$3:$B$563,$A18))</f>
        <v>3.75</v>
      </c>
      <c r="G18" s="27">
        <f>IF((COUNTIFS(Input_Konektivitas!$A$3:$A$563,$A18,Input_Konektivitas!$B$3:$B$563,G$3,Input_Konektivitas!$D$3:$D$563,"&gt;0")+COUNTIFS(Input_Konektivitas!$A$3:$A$563,G$3,Input_Konektivitas!$B$3:$B$563,$A18,Input_Konektivitas!$D$3:$D$563,"&gt;0"))=0,"",SUMIFS(Input_Konektivitas!$D$3:$D$563,Input_Konektivitas!$A$3:$A$563,$A18,Input_Konektivitas!$B$3:$B$563,G$3)+SUMIFS(Input_Konektivitas!$D$3:$D$563,Input_Konektivitas!$A$3:$A$563,G$3,Input_Konektivitas!$B$3:$B$563,$A18))</f>
        <v>2</v>
      </c>
      <c r="H18" s="27">
        <f>IF((COUNTIFS(Input_Konektivitas!$A$3:$A$563,$A18,Input_Konektivitas!$B$3:$B$563,H$3,Input_Konektivitas!$D$3:$D$563,"&gt;0")+COUNTIFS(Input_Konektivitas!$A$3:$A$563,H$3,Input_Konektivitas!$B$3:$B$563,$A18,Input_Konektivitas!$D$3:$D$563,"&gt;0"))=0,"",SUMIFS(Input_Konektivitas!$D$3:$D$563,Input_Konektivitas!$A$3:$A$563,$A18,Input_Konektivitas!$B$3:$B$563,H$3)+SUMIFS(Input_Konektivitas!$D$3:$D$563,Input_Konektivitas!$A$3:$A$563,H$3,Input_Konektivitas!$B$3:$B$563,$A18))</f>
        <v>3.75</v>
      </c>
      <c r="I18" s="27">
        <f>IF((COUNTIFS(Input_Konektivitas!$A$3:$A$563,$A18,Input_Konektivitas!$B$3:$B$563,I$3,Input_Konektivitas!$D$3:$D$563,"&gt;0")+COUNTIFS(Input_Konektivitas!$A$3:$A$563,I$3,Input_Konektivitas!$B$3:$B$563,$A18,Input_Konektivitas!$D$3:$D$563,"&gt;0"))=0,"",SUMIFS(Input_Konektivitas!$D$3:$D$563,Input_Konektivitas!$A$3:$A$563,$A18,Input_Konektivitas!$B$3:$B$563,I$3)+SUMIFS(Input_Konektivitas!$D$3:$D$563,Input_Konektivitas!$A$3:$A$563,I$3,Input_Konektivitas!$B$3:$B$563,$A18))</f>
        <v>3.25</v>
      </c>
      <c r="J18" s="27">
        <f>IF((COUNTIFS(Input_Konektivitas!$A$3:$A$563,$A18,Input_Konektivitas!$B$3:$B$563,J$3,Input_Konektivitas!$D$3:$D$563,"&gt;0")+COUNTIFS(Input_Konektivitas!$A$3:$A$563,J$3,Input_Konektivitas!$B$3:$B$563,$A18,Input_Konektivitas!$D$3:$D$563,"&gt;0"))=0,"",SUMIFS(Input_Konektivitas!$D$3:$D$563,Input_Konektivitas!$A$3:$A$563,$A18,Input_Konektivitas!$B$3:$B$563,J$3)+SUMIFS(Input_Konektivitas!$D$3:$D$563,Input_Konektivitas!$A$3:$A$563,J$3,Input_Konektivitas!$B$3:$B$563,$A18))</f>
        <v>3.33</v>
      </c>
      <c r="K18" s="27">
        <f>IF((COUNTIFS(Input_Konektivitas!$A$3:$A$563,$A18,Input_Konektivitas!$B$3:$B$563,K$3,Input_Konektivitas!$D$3:$D$563,"&gt;0")+COUNTIFS(Input_Konektivitas!$A$3:$A$563,K$3,Input_Konektivitas!$B$3:$B$563,$A18,Input_Konektivitas!$D$3:$D$563,"&gt;0"))=0,"",SUMIFS(Input_Konektivitas!$D$3:$D$563,Input_Konektivitas!$A$3:$A$563,$A18,Input_Konektivitas!$B$3:$B$563,K$3)+SUMIFS(Input_Konektivitas!$D$3:$D$563,Input_Konektivitas!$A$3:$A$563,K$3,Input_Konektivitas!$B$3:$B$563,$A18))</f>
        <v>4.17</v>
      </c>
      <c r="L18" s="27">
        <f>IF((COUNTIFS(Input_Konektivitas!$A$3:$A$563,$A18,Input_Konektivitas!$B$3:$B$563,L$3,Input_Konektivitas!$D$3:$D$563,"&gt;0")+COUNTIFS(Input_Konektivitas!$A$3:$A$563,L$3,Input_Konektivitas!$B$3:$B$563,$A18,Input_Konektivitas!$D$3:$D$563,"&gt;0"))=0,"",SUMIFS(Input_Konektivitas!$D$3:$D$563,Input_Konektivitas!$A$3:$A$563,$A18,Input_Konektivitas!$B$3:$B$563,L$3)+SUMIFS(Input_Konektivitas!$D$3:$D$563,Input_Konektivitas!$A$3:$A$563,L$3,Input_Konektivitas!$B$3:$B$563,$A18))</f>
        <v>1.5</v>
      </c>
      <c r="M18" s="27">
        <f>IF((COUNTIFS(Input_Konektivitas!$A$3:$A$563,$A18,Input_Konektivitas!$B$3:$B$563,M$3,Input_Konektivitas!$D$3:$D$563,"&gt;0")+COUNTIFS(Input_Konektivitas!$A$3:$A$563,M$3,Input_Konektivitas!$B$3:$B$563,$A18,Input_Konektivitas!$D$3:$D$563,"&gt;0"))=0,"",SUMIFS(Input_Konektivitas!$D$3:$D$563,Input_Konektivitas!$A$3:$A$563,$A18,Input_Konektivitas!$B$3:$B$563,M$3)+SUMIFS(Input_Konektivitas!$D$3:$D$563,Input_Konektivitas!$A$3:$A$563,M$3,Input_Konektivitas!$B$3:$B$563,$A18))</f>
        <v>1.67</v>
      </c>
      <c r="N18" s="27">
        <f>IF((COUNTIFS(Input_Konektivitas!$A$3:$A$563,$A18,Input_Konektivitas!$B$3:$B$563,N$3,Input_Konektivitas!$D$3:$D$563,"&gt;0")+COUNTIFS(Input_Konektivitas!$A$3:$A$563,N$3,Input_Konektivitas!$B$3:$B$563,$A18,Input_Konektivitas!$D$3:$D$563,"&gt;0"))=0,"",SUMIFS(Input_Konektivitas!$D$3:$D$563,Input_Konektivitas!$A$3:$A$563,$A18,Input_Konektivitas!$B$3:$B$563,N$3)+SUMIFS(Input_Konektivitas!$D$3:$D$563,Input_Konektivitas!$A$3:$A$563,N$3,Input_Konektivitas!$B$3:$B$563,$A18))</f>
        <v>1.17</v>
      </c>
      <c r="O18" s="27">
        <f>IF((COUNTIFS(Input_Konektivitas!$A$3:$A$563,$A18,Input_Konektivitas!$B$3:$B$563,O$3,Input_Konektivitas!$D$3:$D$563,"&gt;0")+COUNTIFS(Input_Konektivitas!$A$3:$A$563,O$3,Input_Konektivitas!$B$3:$B$563,$A18,Input_Konektivitas!$D$3:$D$563,"&gt;0"))=0,"",SUMIFS(Input_Konektivitas!$D$3:$D$563,Input_Konektivitas!$A$3:$A$563,$A18,Input_Konektivitas!$B$3:$B$563,O$3)+SUMIFS(Input_Konektivitas!$D$3:$D$563,Input_Konektivitas!$A$3:$A$563,O$3,Input_Konektivitas!$B$3:$B$563,$A18))</f>
        <v>3.5</v>
      </c>
      <c r="P18" s="23">
        <v>0.0</v>
      </c>
      <c r="Q18" s="27" t="str">
        <f>IF((COUNTIFS(Input_Konektivitas!$A$3:$A$563,$A18,Input_Konektivitas!$B$3:$B$563,Q$3,Input_Konektivitas!$D$3:$D$563,"&gt;0")+COUNTIFS(Input_Konektivitas!$A$3:$A$563,Q$3,Input_Konektivitas!$B$3:$B$563,$A18,Input_Konektivitas!$D$3:$D$563,"&gt;0"))=0,"",SUMIFS(Input_Konektivitas!$D$3:$D$563,Input_Konektivitas!$A$3:$A$563,$A18,Input_Konektivitas!$B$3:$B$563,Q$3)+SUMIFS(Input_Konektivitas!$D$3:$D$563,Input_Konektivitas!$A$3:$A$563,Q$3,Input_Konektivitas!$B$3:$B$563,$A18))</f>
        <v/>
      </c>
      <c r="R18" s="27">
        <f>IF((COUNTIFS(Input_Konektivitas!$A$3:$A$563,$A18,Input_Konektivitas!$B$3:$B$563,R$3,Input_Konektivitas!$D$3:$D$563,"&gt;0")+COUNTIFS(Input_Konektivitas!$A$3:$A$563,R$3,Input_Konektivitas!$B$3:$B$563,$A18,Input_Konektivitas!$D$3:$D$563,"&gt;0"))=0,"",SUMIFS(Input_Konektivitas!$D$3:$D$563,Input_Konektivitas!$A$3:$A$563,$A18,Input_Konektivitas!$B$3:$B$563,R$3)+SUMIFS(Input_Konektivitas!$D$3:$D$563,Input_Konektivitas!$A$3:$A$563,R$3,Input_Konektivitas!$B$3:$B$563,$A18))</f>
        <v>1</v>
      </c>
      <c r="S18" s="27">
        <f>IF((COUNTIFS(Input_Konektivitas!$A$3:$A$563,$A18,Input_Konektivitas!$B$3:$B$563,S$3,Input_Konektivitas!$D$3:$D$563,"&gt;0")+COUNTIFS(Input_Konektivitas!$A$3:$A$563,S$3,Input_Konektivitas!$B$3:$B$563,$A18,Input_Konektivitas!$D$3:$D$563,"&gt;0"))=0,"",SUMIFS(Input_Konektivitas!$D$3:$D$563,Input_Konektivitas!$A$3:$A$563,$A18,Input_Konektivitas!$B$3:$B$563,S$3)+SUMIFS(Input_Konektivitas!$D$3:$D$563,Input_Konektivitas!$A$3:$A$563,S$3,Input_Konektivitas!$B$3:$B$563,$A18))</f>
        <v>1.083</v>
      </c>
      <c r="T18" s="27">
        <f>IF((COUNTIFS(Input_Konektivitas!$A$3:$A$563,$A18,Input_Konektivitas!$B$3:$B$563,T$3,Input_Konektivitas!$D$3:$D$563,"&gt;0")+COUNTIFS(Input_Konektivitas!$A$3:$A$563,T$3,Input_Konektivitas!$B$3:$B$563,$A18,Input_Konektivitas!$D$3:$D$563,"&gt;0"))=0,"",SUMIFS(Input_Konektivitas!$D$3:$D$563,Input_Konektivitas!$A$3:$A$563,$A18,Input_Konektivitas!$B$3:$B$563,T$3)+SUMIFS(Input_Konektivitas!$D$3:$D$563,Input_Konektivitas!$A$3:$A$563,T$3,Input_Konektivitas!$B$3:$B$563,$A18))</f>
        <v>1.5</v>
      </c>
      <c r="U18" s="27">
        <f>IF((COUNTIFS(Input_Konektivitas!$A$3:$A$563,$A18,Input_Konektivitas!$B$3:$B$563,U$3,Input_Konektivitas!$D$3:$D$563,"&gt;0")+COUNTIFS(Input_Konektivitas!$A$3:$A$563,U$3,Input_Konektivitas!$B$3:$B$563,$A18,Input_Konektivitas!$D$3:$D$563,"&gt;0"))=0,"",SUMIFS(Input_Konektivitas!$D$3:$D$563,Input_Konektivitas!$A$3:$A$563,$A18,Input_Konektivitas!$B$3:$B$563,U$3)+SUMIFS(Input_Konektivitas!$D$3:$D$563,Input_Konektivitas!$A$3:$A$563,U$3,Input_Konektivitas!$B$3:$B$563,$A18))</f>
        <v>1.67</v>
      </c>
      <c r="V18" s="27">
        <f>IF((COUNTIFS(Input_Konektivitas!$A$3:$A$563,$A18,Input_Konektivitas!$B$3:$B$563,V$3,Input_Konektivitas!$D$3:$D$563,"&gt;0")+COUNTIFS(Input_Konektivitas!$A$3:$A$563,V$3,Input_Konektivitas!$B$3:$B$563,$A18,Input_Konektivitas!$D$3:$D$563,"&gt;0"))=0,"",SUMIFS(Input_Konektivitas!$D$3:$D$563,Input_Konektivitas!$A$3:$A$563,$A18,Input_Konektivitas!$B$3:$B$563,V$3)+SUMIFS(Input_Konektivitas!$D$3:$D$563,Input_Konektivitas!$A$3:$A$563,V$3,Input_Konektivitas!$B$3:$B$563,$A18))</f>
        <v>1.25</v>
      </c>
      <c r="W18" s="27">
        <f>IF((COUNTIFS(Input_Konektivitas!$A$3:$A$563,$A18,Input_Konektivitas!$B$3:$B$563,W$3,Input_Konektivitas!$D$3:$D$563,"&gt;0")+COUNTIFS(Input_Konektivitas!$A$3:$A$563,W$3,Input_Konektivitas!$B$3:$B$563,$A18,Input_Konektivitas!$D$3:$D$563,"&gt;0"))=0,"",SUMIFS(Input_Konektivitas!$D$3:$D$563,Input_Konektivitas!$A$3:$A$563,$A18,Input_Konektivitas!$B$3:$B$563,W$3)+SUMIFS(Input_Konektivitas!$D$3:$D$563,Input_Konektivitas!$A$3:$A$563,W$3,Input_Konektivitas!$B$3:$B$563,$A18))</f>
        <v>1.167</v>
      </c>
      <c r="X18" s="27">
        <f>IF((COUNTIFS(Input_Konektivitas!$A$3:$A$563,$A18,Input_Konektivitas!$B$3:$B$563,X$3,Input_Konektivitas!$D$3:$D$563,"&gt;0")+COUNTIFS(Input_Konektivitas!$A$3:$A$563,X$3,Input_Konektivitas!$B$3:$B$563,$A18,Input_Konektivitas!$D$3:$D$563,"&gt;0"))=0,"",SUMIFS(Input_Konektivitas!$D$3:$D$563,Input_Konektivitas!$A$3:$A$563,$A18,Input_Konektivitas!$B$3:$B$563,X$3)+SUMIFS(Input_Konektivitas!$D$3:$D$563,Input_Konektivitas!$A$3:$A$563,X$3,Input_Konektivitas!$B$3:$B$563,$A18))</f>
        <v>1.583</v>
      </c>
      <c r="Y18" s="27">
        <f>IF((COUNTIFS(Input_Konektivitas!$A$3:$A$563,$A18,Input_Konektivitas!$B$3:$B$563,Y$3,Input_Konektivitas!$D$3:$D$563,"&gt;0")+COUNTIFS(Input_Konektivitas!$A$3:$A$563,Y$3,Input_Konektivitas!$B$3:$B$563,$A18,Input_Konektivitas!$D$3:$D$563,"&gt;0"))=0,"",SUMIFS(Input_Konektivitas!$D$3:$D$563,Input_Konektivitas!$A$3:$A$563,$A18,Input_Konektivitas!$B$3:$B$563,Y$3)+SUMIFS(Input_Konektivitas!$D$3:$D$563,Input_Konektivitas!$A$3:$A$563,Y$3,Input_Konektivitas!$B$3:$B$563,$A18))</f>
        <v>2.083</v>
      </c>
      <c r="Z18" s="27">
        <f>IF((COUNTIFS(Input_Konektivitas!$A$3:$A$563,$A18,Input_Konektivitas!$B$3:$B$563,Z$3,Input_Konektivitas!$D$3:$D$563,"&gt;0")+COUNTIFS(Input_Konektivitas!$A$3:$A$563,Z$3,Input_Konektivitas!$B$3:$B$563,$A18,Input_Konektivitas!$D$3:$D$563,"&gt;0"))=0,"",SUMIFS(Input_Konektivitas!$D$3:$D$563,Input_Konektivitas!$A$3:$A$563,$A18,Input_Konektivitas!$B$3:$B$563,Z$3)+SUMIFS(Input_Konektivitas!$D$3:$D$563,Input_Konektivitas!$A$3:$A$563,Z$3,Input_Konektivitas!$B$3:$B$563,$A18))</f>
        <v>2.67</v>
      </c>
      <c r="AA18" s="27">
        <f>IF((COUNTIFS(Input_Konektivitas!$A$3:$A$563,$A18,Input_Konektivitas!$B$3:$B$563,AA$3,Input_Konektivitas!$D$3:$D$563,"&gt;0")+COUNTIFS(Input_Konektivitas!$A$3:$A$563,AA$3,Input_Konektivitas!$B$3:$B$563,$A18,Input_Konektivitas!$D$3:$D$563,"&gt;0"))=0,"",SUMIFS(Input_Konektivitas!$D$3:$D$563,Input_Konektivitas!$A$3:$A$563,$A18,Input_Konektivitas!$B$3:$B$563,AA$3)+SUMIFS(Input_Konektivitas!$D$3:$D$563,Input_Konektivitas!$A$3:$A$563,AA$3,Input_Konektivitas!$B$3:$B$563,$A18))</f>
        <v>3.583</v>
      </c>
      <c r="AB18" s="27">
        <f>IF((COUNTIFS(Input_Konektivitas!$A$3:$A$563,$A18,Input_Konektivitas!$B$3:$B$563,AB$3,Input_Konektivitas!$D$3:$D$563,"&gt;0")+COUNTIFS(Input_Konektivitas!$A$3:$A$563,AB$3,Input_Konektivitas!$B$3:$B$563,$A18,Input_Konektivitas!$D$3:$D$563,"&gt;0"))=0,"",SUMIFS(Input_Konektivitas!$D$3:$D$563,Input_Konektivitas!$A$3:$A$563,$A18,Input_Konektivitas!$B$3:$B$563,AB$3)+SUMIFS(Input_Konektivitas!$D$3:$D$563,Input_Konektivitas!$A$3:$A$563,AB$3,Input_Konektivitas!$B$3:$B$563,$A18))</f>
        <v>1.416</v>
      </c>
      <c r="AC18" s="27">
        <f>IF((COUNTIFS(Input_Konektivitas!$A$3:$A$563,$A18,Input_Konektivitas!$B$3:$B$563,AC$3,Input_Konektivitas!$D$3:$D$563,"&gt;0")+COUNTIFS(Input_Konektivitas!$A$3:$A$563,AC$3,Input_Konektivitas!$B$3:$B$563,$A18,Input_Konektivitas!$D$3:$D$563,"&gt;0"))=0,"",SUMIFS(Input_Konektivitas!$D$3:$D$563,Input_Konektivitas!$A$3:$A$563,$A18,Input_Konektivitas!$B$3:$B$563,AC$3)+SUMIFS(Input_Konektivitas!$D$3:$D$563,Input_Konektivitas!$A$3:$A$563,AC$3,Input_Konektivitas!$B$3:$B$563,$A18))</f>
        <v>2</v>
      </c>
      <c r="AD18" s="27">
        <f>IF((COUNTIFS(Input_Konektivitas!$A$3:$A$563,$A18,Input_Konektivitas!$B$3:$B$563,AD$3,Input_Konektivitas!$D$3:$D$563,"&gt;0")+COUNTIFS(Input_Konektivitas!$A$3:$A$563,AD$3,Input_Konektivitas!$B$3:$B$563,$A18,Input_Konektivitas!$D$3:$D$563,"&gt;0"))=0,"",SUMIFS(Input_Konektivitas!$D$3:$D$563,Input_Konektivitas!$A$3:$A$563,$A18,Input_Konektivitas!$B$3:$B$563,AD$3)+SUMIFS(Input_Konektivitas!$D$3:$D$563,Input_Konektivitas!$A$3:$A$563,AD$3,Input_Konektivitas!$B$3:$B$563,$A18))</f>
        <v>6.416</v>
      </c>
      <c r="AE18" s="27">
        <f>IF((COUNTIFS(Input_Konektivitas!$A$3:$A$563,$A18,Input_Konektivitas!$B$3:$B$563,AE$3,Input_Konektivitas!$D$3:$D$563,"&gt;0")+COUNTIFS(Input_Konektivitas!$A$3:$A$563,AE$3,Input_Konektivitas!$B$3:$B$563,$A18,Input_Konektivitas!$D$3:$D$563,"&gt;0"))=0,"",SUMIFS(Input_Konektivitas!$D$3:$D$563,Input_Konektivitas!$A$3:$A$563,$A18,Input_Konektivitas!$B$3:$B$563,AE$3)+SUMIFS(Input_Konektivitas!$D$3:$D$563,Input_Konektivitas!$A$3:$A$563,AE$3,Input_Konektivitas!$B$3:$B$563,$A18))</f>
        <v>3.167</v>
      </c>
      <c r="AF18" s="27">
        <f>IF((COUNTIFS(Input_Konektivitas!$A$3:$A$563,$A18,Input_Konektivitas!$B$3:$B$563,AF$3,Input_Konektivitas!$D$3:$D$563,"&gt;0")+COUNTIFS(Input_Konektivitas!$A$3:$A$563,AF$3,Input_Konektivitas!$B$3:$B$563,$A18,Input_Konektivitas!$D$3:$D$563,"&gt;0"))=0,"",SUMIFS(Input_Konektivitas!$D$3:$D$563,Input_Konektivitas!$A$3:$A$563,$A18,Input_Konektivitas!$B$3:$B$563,AF$3)+SUMIFS(Input_Konektivitas!$D$3:$D$563,Input_Konektivitas!$A$3:$A$563,AF$3,Input_Konektivitas!$B$3:$B$563,$A18))</f>
        <v>2.666</v>
      </c>
      <c r="AG18" s="27">
        <f>IF((COUNTIFS(Input_Konektivitas!$A$3:$A$563,$A18,Input_Konektivitas!$B$3:$B$563,AG$3,Input_Konektivitas!$D$3:$D$563,"&gt;0")+COUNTIFS(Input_Konektivitas!$A$3:$A$563,AG$3,Input_Konektivitas!$B$3:$B$563,$A18,Input_Konektivitas!$D$3:$D$563,"&gt;0"))=0,"",SUMIFS(Input_Konektivitas!$D$3:$D$563,Input_Konektivitas!$A$3:$A$563,$A18,Input_Konektivitas!$B$3:$B$563,AG$3)+SUMIFS(Input_Konektivitas!$D$3:$D$563,Input_Konektivitas!$A$3:$A$563,AG$3,Input_Konektivitas!$B$3:$B$563,$A18))</f>
        <v>2.9166</v>
      </c>
      <c r="AH18" s="27">
        <f>IF((COUNTIFS(Input_Konektivitas!$A$3:$A$563,$A18,Input_Konektivitas!$B$3:$B$563,AH$3,Input_Konektivitas!$D$3:$D$563,"&gt;0")+COUNTIFS(Input_Konektivitas!$A$3:$A$563,AH$3,Input_Konektivitas!$B$3:$B$563,$A18,Input_Konektivitas!$D$3:$D$563,"&gt;0"))=0,"",SUMIFS(Input_Konektivitas!$D$3:$D$563,Input_Konektivitas!$A$3:$A$563,$A18,Input_Konektivitas!$B$3:$B$563,AH$3)+SUMIFS(Input_Konektivitas!$D$3:$D$563,Input_Konektivitas!$A$3:$A$563,AH$3,Input_Konektivitas!$B$3:$B$563,$A18))</f>
        <v>4.416</v>
      </c>
      <c r="AI18" s="27">
        <f>IF((COUNTIFS(Input_Konektivitas!$A$3:$A$563,$A18,Input_Konektivitas!$B$3:$B$563,AI$3,Input_Konektivitas!$D$3:$D$563,"&gt;0")+COUNTIFS(Input_Konektivitas!$A$3:$A$563,AI$3,Input_Konektivitas!$B$3:$B$563,$A18,Input_Konektivitas!$D$3:$D$563,"&gt;0"))=0,"",SUMIFS(Input_Konektivitas!$D$3:$D$563,Input_Konektivitas!$A$3:$A$563,$A18,Input_Konektivitas!$B$3:$B$563,AI$3)+SUMIFS(Input_Konektivitas!$D$3:$D$563,Input_Konektivitas!$A$3:$A$563,AI$3,Input_Konektivitas!$B$3:$B$563,$A18))</f>
        <v>7.916</v>
      </c>
    </row>
    <row r="19" ht="14.25" customHeight="1">
      <c r="A19" s="22" t="s">
        <v>46</v>
      </c>
      <c r="B19" s="27" t="str">
        <f>IF((COUNTIFS(Input_Konektivitas!$A$3:$A$563,$A19,Input_Konektivitas!$B$3:$B$563,B$3,Input_Konektivitas!$D$3:$D$563,"&gt;0")+COUNTIFS(Input_Konektivitas!$A$3:$A$563,B$3,Input_Konektivitas!$B$3:$B$563,$A19,Input_Konektivitas!$D$3:$D$563,"&gt;0"))=0,"",SUMIFS(Input_Konektivitas!$D$3:$D$563,Input_Konektivitas!$A$3:$A$563,$A19,Input_Konektivitas!$B$3:$B$563,B$3)+SUMIFS(Input_Konektivitas!$D$3:$D$563,Input_Konektivitas!$A$3:$A$563,B$3,Input_Konektivitas!$B$3:$B$563,$A19))</f>
        <v/>
      </c>
      <c r="C19" s="27" t="str">
        <f>IF((COUNTIFS(Input_Konektivitas!$A$3:$A$563,$A19,Input_Konektivitas!$B$3:$B$563,C$3,Input_Konektivitas!$D$3:$D$563,"&gt;0")+COUNTIFS(Input_Konektivitas!$A$3:$A$563,C$3,Input_Konektivitas!$B$3:$B$563,$A19,Input_Konektivitas!$D$3:$D$563,"&gt;0"))=0,"",SUMIFS(Input_Konektivitas!$D$3:$D$563,Input_Konektivitas!$A$3:$A$563,$A19,Input_Konektivitas!$B$3:$B$563,C$3)+SUMIFS(Input_Konektivitas!$D$3:$D$563,Input_Konektivitas!$A$3:$A$563,C$3,Input_Konektivitas!$B$3:$B$563,$A19))</f>
        <v/>
      </c>
      <c r="D19" s="27" t="str">
        <f>IF((COUNTIFS(Input_Konektivitas!$A$3:$A$563,$A19,Input_Konektivitas!$B$3:$B$563,D$3,Input_Konektivitas!$D$3:$D$563,"&gt;0")+COUNTIFS(Input_Konektivitas!$A$3:$A$563,D$3,Input_Konektivitas!$B$3:$B$563,$A19,Input_Konektivitas!$D$3:$D$563,"&gt;0"))=0,"",SUMIFS(Input_Konektivitas!$D$3:$D$563,Input_Konektivitas!$A$3:$A$563,$A19,Input_Konektivitas!$B$3:$B$563,D$3)+SUMIFS(Input_Konektivitas!$D$3:$D$563,Input_Konektivitas!$A$3:$A$563,D$3,Input_Konektivitas!$B$3:$B$563,$A19))</f>
        <v/>
      </c>
      <c r="E19" s="27" t="str">
        <f>IF((COUNTIFS(Input_Konektivitas!$A$3:$A$563,$A19,Input_Konektivitas!$B$3:$B$563,E$3,Input_Konektivitas!$D$3:$D$563,"&gt;0")+COUNTIFS(Input_Konektivitas!$A$3:$A$563,E$3,Input_Konektivitas!$B$3:$B$563,$A19,Input_Konektivitas!$D$3:$D$563,"&gt;0"))=0,"",SUMIFS(Input_Konektivitas!$D$3:$D$563,Input_Konektivitas!$A$3:$A$563,$A19,Input_Konektivitas!$B$3:$B$563,E$3)+SUMIFS(Input_Konektivitas!$D$3:$D$563,Input_Konektivitas!$A$3:$A$563,E$3,Input_Konektivitas!$B$3:$B$563,$A19))</f>
        <v/>
      </c>
      <c r="F19" s="27" t="str">
        <f>IF((COUNTIFS(Input_Konektivitas!$A$3:$A$563,$A19,Input_Konektivitas!$B$3:$B$563,F$3,Input_Konektivitas!$D$3:$D$563,"&gt;0")+COUNTIFS(Input_Konektivitas!$A$3:$A$563,F$3,Input_Konektivitas!$B$3:$B$563,$A19,Input_Konektivitas!$D$3:$D$563,"&gt;0"))=0,"",SUMIFS(Input_Konektivitas!$D$3:$D$563,Input_Konektivitas!$A$3:$A$563,$A19,Input_Konektivitas!$B$3:$B$563,F$3)+SUMIFS(Input_Konektivitas!$D$3:$D$563,Input_Konektivitas!$A$3:$A$563,F$3,Input_Konektivitas!$B$3:$B$563,$A19))</f>
        <v/>
      </c>
      <c r="G19" s="27" t="str">
        <f>IF((COUNTIFS(Input_Konektivitas!$A$3:$A$563,$A19,Input_Konektivitas!$B$3:$B$563,G$3,Input_Konektivitas!$D$3:$D$563,"&gt;0")+COUNTIFS(Input_Konektivitas!$A$3:$A$563,G$3,Input_Konektivitas!$B$3:$B$563,$A19,Input_Konektivitas!$D$3:$D$563,"&gt;0"))=0,"",SUMIFS(Input_Konektivitas!$D$3:$D$563,Input_Konektivitas!$A$3:$A$563,$A19,Input_Konektivitas!$B$3:$B$563,G$3)+SUMIFS(Input_Konektivitas!$D$3:$D$563,Input_Konektivitas!$A$3:$A$563,G$3,Input_Konektivitas!$B$3:$B$563,$A19))</f>
        <v/>
      </c>
      <c r="H19" s="27" t="str">
        <f>IF((COUNTIFS(Input_Konektivitas!$A$3:$A$563,$A19,Input_Konektivitas!$B$3:$B$563,H$3,Input_Konektivitas!$D$3:$D$563,"&gt;0")+COUNTIFS(Input_Konektivitas!$A$3:$A$563,H$3,Input_Konektivitas!$B$3:$B$563,$A19,Input_Konektivitas!$D$3:$D$563,"&gt;0"))=0,"",SUMIFS(Input_Konektivitas!$D$3:$D$563,Input_Konektivitas!$A$3:$A$563,$A19,Input_Konektivitas!$B$3:$B$563,H$3)+SUMIFS(Input_Konektivitas!$D$3:$D$563,Input_Konektivitas!$A$3:$A$563,H$3,Input_Konektivitas!$B$3:$B$563,$A19))</f>
        <v/>
      </c>
      <c r="I19" s="27" t="str">
        <f>IF((COUNTIFS(Input_Konektivitas!$A$3:$A$563,$A19,Input_Konektivitas!$B$3:$B$563,I$3,Input_Konektivitas!$D$3:$D$563,"&gt;0")+COUNTIFS(Input_Konektivitas!$A$3:$A$563,I$3,Input_Konektivitas!$B$3:$B$563,$A19,Input_Konektivitas!$D$3:$D$563,"&gt;0"))=0,"",SUMIFS(Input_Konektivitas!$D$3:$D$563,Input_Konektivitas!$A$3:$A$563,$A19,Input_Konektivitas!$B$3:$B$563,I$3)+SUMIFS(Input_Konektivitas!$D$3:$D$563,Input_Konektivitas!$A$3:$A$563,I$3,Input_Konektivitas!$B$3:$B$563,$A19))</f>
        <v/>
      </c>
      <c r="J19" s="27" t="str">
        <f>IF((COUNTIFS(Input_Konektivitas!$A$3:$A$563,$A19,Input_Konektivitas!$B$3:$B$563,J$3,Input_Konektivitas!$D$3:$D$563,"&gt;0")+COUNTIFS(Input_Konektivitas!$A$3:$A$563,J$3,Input_Konektivitas!$B$3:$B$563,$A19,Input_Konektivitas!$D$3:$D$563,"&gt;0"))=0,"",SUMIFS(Input_Konektivitas!$D$3:$D$563,Input_Konektivitas!$A$3:$A$563,$A19,Input_Konektivitas!$B$3:$B$563,J$3)+SUMIFS(Input_Konektivitas!$D$3:$D$563,Input_Konektivitas!$A$3:$A$563,J$3,Input_Konektivitas!$B$3:$B$563,$A19))</f>
        <v/>
      </c>
      <c r="K19" s="27" t="str">
        <f>IF((COUNTIFS(Input_Konektivitas!$A$3:$A$563,$A19,Input_Konektivitas!$B$3:$B$563,K$3,Input_Konektivitas!$D$3:$D$563,"&gt;0")+COUNTIFS(Input_Konektivitas!$A$3:$A$563,K$3,Input_Konektivitas!$B$3:$B$563,$A19,Input_Konektivitas!$D$3:$D$563,"&gt;0"))=0,"",SUMIFS(Input_Konektivitas!$D$3:$D$563,Input_Konektivitas!$A$3:$A$563,$A19,Input_Konektivitas!$B$3:$B$563,K$3)+SUMIFS(Input_Konektivitas!$D$3:$D$563,Input_Konektivitas!$A$3:$A$563,K$3,Input_Konektivitas!$B$3:$B$563,$A19))</f>
        <v/>
      </c>
      <c r="L19" s="27" t="str">
        <f>IF((COUNTIFS(Input_Konektivitas!$A$3:$A$563,$A19,Input_Konektivitas!$B$3:$B$563,L$3,Input_Konektivitas!$D$3:$D$563,"&gt;0")+COUNTIFS(Input_Konektivitas!$A$3:$A$563,L$3,Input_Konektivitas!$B$3:$B$563,$A19,Input_Konektivitas!$D$3:$D$563,"&gt;0"))=0,"",SUMIFS(Input_Konektivitas!$D$3:$D$563,Input_Konektivitas!$A$3:$A$563,$A19,Input_Konektivitas!$B$3:$B$563,L$3)+SUMIFS(Input_Konektivitas!$D$3:$D$563,Input_Konektivitas!$A$3:$A$563,L$3,Input_Konektivitas!$B$3:$B$563,$A19))</f>
        <v/>
      </c>
      <c r="M19" s="27" t="str">
        <f>IF((COUNTIFS(Input_Konektivitas!$A$3:$A$563,$A19,Input_Konektivitas!$B$3:$B$563,M$3,Input_Konektivitas!$D$3:$D$563,"&gt;0")+COUNTIFS(Input_Konektivitas!$A$3:$A$563,M$3,Input_Konektivitas!$B$3:$B$563,$A19,Input_Konektivitas!$D$3:$D$563,"&gt;0"))=0,"",SUMIFS(Input_Konektivitas!$D$3:$D$563,Input_Konektivitas!$A$3:$A$563,$A19,Input_Konektivitas!$B$3:$B$563,M$3)+SUMIFS(Input_Konektivitas!$D$3:$D$563,Input_Konektivitas!$A$3:$A$563,M$3,Input_Konektivitas!$B$3:$B$563,$A19))</f>
        <v/>
      </c>
      <c r="N19" s="27" t="str">
        <f>IF((COUNTIFS(Input_Konektivitas!$A$3:$A$563,$A19,Input_Konektivitas!$B$3:$B$563,N$3,Input_Konektivitas!$D$3:$D$563,"&gt;0")+COUNTIFS(Input_Konektivitas!$A$3:$A$563,N$3,Input_Konektivitas!$B$3:$B$563,$A19,Input_Konektivitas!$D$3:$D$563,"&gt;0"))=0,"",SUMIFS(Input_Konektivitas!$D$3:$D$563,Input_Konektivitas!$A$3:$A$563,$A19,Input_Konektivitas!$B$3:$B$563,N$3)+SUMIFS(Input_Konektivitas!$D$3:$D$563,Input_Konektivitas!$A$3:$A$563,N$3,Input_Konektivitas!$B$3:$B$563,$A19))</f>
        <v/>
      </c>
      <c r="O19" s="27" t="str">
        <f>IF((COUNTIFS(Input_Konektivitas!$A$3:$A$563,$A19,Input_Konektivitas!$B$3:$B$563,O$3,Input_Konektivitas!$D$3:$D$563,"&gt;0")+COUNTIFS(Input_Konektivitas!$A$3:$A$563,O$3,Input_Konektivitas!$B$3:$B$563,$A19,Input_Konektivitas!$D$3:$D$563,"&gt;0"))=0,"",SUMIFS(Input_Konektivitas!$D$3:$D$563,Input_Konektivitas!$A$3:$A$563,$A19,Input_Konektivitas!$B$3:$B$563,O$3)+SUMIFS(Input_Konektivitas!$D$3:$D$563,Input_Konektivitas!$A$3:$A$563,O$3,Input_Konektivitas!$B$3:$B$563,$A19))</f>
        <v/>
      </c>
      <c r="P19" s="27" t="str">
        <f>IF((COUNTIFS(Input_Konektivitas!$A$3:$A$563,$A19,Input_Konektivitas!$B$3:$B$563,P$3,Input_Konektivitas!$D$3:$D$563,"&gt;0")+COUNTIFS(Input_Konektivitas!$A$3:$A$563,P$3,Input_Konektivitas!$B$3:$B$563,$A19,Input_Konektivitas!$D$3:$D$563,"&gt;0"))=0,"",SUMIFS(Input_Konektivitas!$D$3:$D$563,Input_Konektivitas!$A$3:$A$563,$A19,Input_Konektivitas!$B$3:$B$563,P$3)+SUMIFS(Input_Konektivitas!$D$3:$D$563,Input_Konektivitas!$A$3:$A$563,P$3,Input_Konektivitas!$B$3:$B$563,$A19))</f>
        <v/>
      </c>
      <c r="Q19" s="23">
        <v>0.0</v>
      </c>
      <c r="R19" s="27" t="str">
        <f>IF((COUNTIFS(Input_Konektivitas!$A$3:$A$563,$A19,Input_Konektivitas!$B$3:$B$563,R$3,Input_Konektivitas!$D$3:$D$563,"&gt;0")+COUNTIFS(Input_Konektivitas!$A$3:$A$563,R$3,Input_Konektivitas!$B$3:$B$563,$A19,Input_Konektivitas!$D$3:$D$563,"&gt;0"))=0,"",SUMIFS(Input_Konektivitas!$D$3:$D$563,Input_Konektivitas!$A$3:$A$563,$A19,Input_Konektivitas!$B$3:$B$563,R$3)+SUMIFS(Input_Konektivitas!$D$3:$D$563,Input_Konektivitas!$A$3:$A$563,R$3,Input_Konektivitas!$B$3:$B$563,$A19))</f>
        <v/>
      </c>
      <c r="S19" s="27" t="str">
        <f>IF((COUNTIFS(Input_Konektivitas!$A$3:$A$563,$A19,Input_Konektivitas!$B$3:$B$563,S$3,Input_Konektivitas!$D$3:$D$563,"&gt;0")+COUNTIFS(Input_Konektivitas!$A$3:$A$563,S$3,Input_Konektivitas!$B$3:$B$563,$A19,Input_Konektivitas!$D$3:$D$563,"&gt;0"))=0,"",SUMIFS(Input_Konektivitas!$D$3:$D$563,Input_Konektivitas!$A$3:$A$563,$A19,Input_Konektivitas!$B$3:$B$563,S$3)+SUMIFS(Input_Konektivitas!$D$3:$D$563,Input_Konektivitas!$A$3:$A$563,S$3,Input_Konektivitas!$B$3:$B$563,$A19))</f>
        <v/>
      </c>
      <c r="T19" s="27" t="str">
        <f>IF((COUNTIFS(Input_Konektivitas!$A$3:$A$563,$A19,Input_Konektivitas!$B$3:$B$563,T$3,Input_Konektivitas!$D$3:$D$563,"&gt;0")+COUNTIFS(Input_Konektivitas!$A$3:$A$563,T$3,Input_Konektivitas!$B$3:$B$563,$A19,Input_Konektivitas!$D$3:$D$563,"&gt;0"))=0,"",SUMIFS(Input_Konektivitas!$D$3:$D$563,Input_Konektivitas!$A$3:$A$563,$A19,Input_Konektivitas!$B$3:$B$563,T$3)+SUMIFS(Input_Konektivitas!$D$3:$D$563,Input_Konektivitas!$A$3:$A$563,T$3,Input_Konektivitas!$B$3:$B$563,$A19))</f>
        <v/>
      </c>
      <c r="U19" s="27" t="str">
        <f>IF((COUNTIFS(Input_Konektivitas!$A$3:$A$563,$A19,Input_Konektivitas!$B$3:$B$563,U$3,Input_Konektivitas!$D$3:$D$563,"&gt;0")+COUNTIFS(Input_Konektivitas!$A$3:$A$563,U$3,Input_Konektivitas!$B$3:$B$563,$A19,Input_Konektivitas!$D$3:$D$563,"&gt;0"))=0,"",SUMIFS(Input_Konektivitas!$D$3:$D$563,Input_Konektivitas!$A$3:$A$563,$A19,Input_Konektivitas!$B$3:$B$563,U$3)+SUMIFS(Input_Konektivitas!$D$3:$D$563,Input_Konektivitas!$A$3:$A$563,U$3,Input_Konektivitas!$B$3:$B$563,$A19))</f>
        <v/>
      </c>
      <c r="V19" s="27" t="str">
        <f>IF((COUNTIFS(Input_Konektivitas!$A$3:$A$563,$A19,Input_Konektivitas!$B$3:$B$563,V$3,Input_Konektivitas!$D$3:$D$563,"&gt;0")+COUNTIFS(Input_Konektivitas!$A$3:$A$563,V$3,Input_Konektivitas!$B$3:$B$563,$A19,Input_Konektivitas!$D$3:$D$563,"&gt;0"))=0,"",SUMIFS(Input_Konektivitas!$D$3:$D$563,Input_Konektivitas!$A$3:$A$563,$A19,Input_Konektivitas!$B$3:$B$563,V$3)+SUMIFS(Input_Konektivitas!$D$3:$D$563,Input_Konektivitas!$A$3:$A$563,V$3,Input_Konektivitas!$B$3:$B$563,$A19))</f>
        <v/>
      </c>
      <c r="W19" s="27" t="str">
        <f>IF((COUNTIFS(Input_Konektivitas!$A$3:$A$563,$A19,Input_Konektivitas!$B$3:$B$563,W$3,Input_Konektivitas!$D$3:$D$563,"&gt;0")+COUNTIFS(Input_Konektivitas!$A$3:$A$563,W$3,Input_Konektivitas!$B$3:$B$563,$A19,Input_Konektivitas!$D$3:$D$563,"&gt;0"))=0,"",SUMIFS(Input_Konektivitas!$D$3:$D$563,Input_Konektivitas!$A$3:$A$563,$A19,Input_Konektivitas!$B$3:$B$563,W$3)+SUMIFS(Input_Konektivitas!$D$3:$D$563,Input_Konektivitas!$A$3:$A$563,W$3,Input_Konektivitas!$B$3:$B$563,$A19))</f>
        <v/>
      </c>
      <c r="X19" s="27" t="str">
        <f>IF((COUNTIFS(Input_Konektivitas!$A$3:$A$563,$A19,Input_Konektivitas!$B$3:$B$563,X$3,Input_Konektivitas!$D$3:$D$563,"&gt;0")+COUNTIFS(Input_Konektivitas!$A$3:$A$563,X$3,Input_Konektivitas!$B$3:$B$563,$A19,Input_Konektivitas!$D$3:$D$563,"&gt;0"))=0,"",SUMIFS(Input_Konektivitas!$D$3:$D$563,Input_Konektivitas!$A$3:$A$563,$A19,Input_Konektivitas!$B$3:$B$563,X$3)+SUMIFS(Input_Konektivitas!$D$3:$D$563,Input_Konektivitas!$A$3:$A$563,X$3,Input_Konektivitas!$B$3:$B$563,$A19))</f>
        <v/>
      </c>
      <c r="Y19" s="27" t="str">
        <f>IF((COUNTIFS(Input_Konektivitas!$A$3:$A$563,$A19,Input_Konektivitas!$B$3:$B$563,Y$3,Input_Konektivitas!$D$3:$D$563,"&gt;0")+COUNTIFS(Input_Konektivitas!$A$3:$A$563,Y$3,Input_Konektivitas!$B$3:$B$563,$A19,Input_Konektivitas!$D$3:$D$563,"&gt;0"))=0,"",SUMIFS(Input_Konektivitas!$D$3:$D$563,Input_Konektivitas!$A$3:$A$563,$A19,Input_Konektivitas!$B$3:$B$563,Y$3)+SUMIFS(Input_Konektivitas!$D$3:$D$563,Input_Konektivitas!$A$3:$A$563,Y$3,Input_Konektivitas!$B$3:$B$563,$A19))</f>
        <v/>
      </c>
      <c r="Z19" s="27" t="str">
        <f>IF((COUNTIFS(Input_Konektivitas!$A$3:$A$563,$A19,Input_Konektivitas!$B$3:$B$563,Z$3,Input_Konektivitas!$D$3:$D$563,"&gt;0")+COUNTIFS(Input_Konektivitas!$A$3:$A$563,Z$3,Input_Konektivitas!$B$3:$B$563,$A19,Input_Konektivitas!$D$3:$D$563,"&gt;0"))=0,"",SUMIFS(Input_Konektivitas!$D$3:$D$563,Input_Konektivitas!$A$3:$A$563,$A19,Input_Konektivitas!$B$3:$B$563,Z$3)+SUMIFS(Input_Konektivitas!$D$3:$D$563,Input_Konektivitas!$A$3:$A$563,Z$3,Input_Konektivitas!$B$3:$B$563,$A19))</f>
        <v/>
      </c>
      <c r="AA19" s="27" t="str">
        <f>IF((COUNTIFS(Input_Konektivitas!$A$3:$A$563,$A19,Input_Konektivitas!$B$3:$B$563,AA$3,Input_Konektivitas!$D$3:$D$563,"&gt;0")+COUNTIFS(Input_Konektivitas!$A$3:$A$563,AA$3,Input_Konektivitas!$B$3:$B$563,$A19,Input_Konektivitas!$D$3:$D$563,"&gt;0"))=0,"",SUMIFS(Input_Konektivitas!$D$3:$D$563,Input_Konektivitas!$A$3:$A$563,$A19,Input_Konektivitas!$B$3:$B$563,AA$3)+SUMIFS(Input_Konektivitas!$D$3:$D$563,Input_Konektivitas!$A$3:$A$563,AA$3,Input_Konektivitas!$B$3:$B$563,$A19))</f>
        <v/>
      </c>
      <c r="AB19" s="27" t="str">
        <f>IF((COUNTIFS(Input_Konektivitas!$A$3:$A$563,$A19,Input_Konektivitas!$B$3:$B$563,AB$3,Input_Konektivitas!$D$3:$D$563,"&gt;0")+COUNTIFS(Input_Konektivitas!$A$3:$A$563,AB$3,Input_Konektivitas!$B$3:$B$563,$A19,Input_Konektivitas!$D$3:$D$563,"&gt;0"))=0,"",SUMIFS(Input_Konektivitas!$D$3:$D$563,Input_Konektivitas!$A$3:$A$563,$A19,Input_Konektivitas!$B$3:$B$563,AB$3)+SUMIFS(Input_Konektivitas!$D$3:$D$563,Input_Konektivitas!$A$3:$A$563,AB$3,Input_Konektivitas!$B$3:$B$563,$A19))</f>
        <v/>
      </c>
      <c r="AC19" s="27" t="str">
        <f>IF((COUNTIFS(Input_Konektivitas!$A$3:$A$563,$A19,Input_Konektivitas!$B$3:$B$563,AC$3,Input_Konektivitas!$D$3:$D$563,"&gt;0")+COUNTIFS(Input_Konektivitas!$A$3:$A$563,AC$3,Input_Konektivitas!$B$3:$B$563,$A19,Input_Konektivitas!$D$3:$D$563,"&gt;0"))=0,"",SUMIFS(Input_Konektivitas!$D$3:$D$563,Input_Konektivitas!$A$3:$A$563,$A19,Input_Konektivitas!$B$3:$B$563,AC$3)+SUMIFS(Input_Konektivitas!$D$3:$D$563,Input_Konektivitas!$A$3:$A$563,AC$3,Input_Konektivitas!$B$3:$B$563,$A19))</f>
        <v/>
      </c>
      <c r="AD19" s="27" t="str">
        <f>IF((COUNTIFS(Input_Konektivitas!$A$3:$A$563,$A19,Input_Konektivitas!$B$3:$B$563,AD$3,Input_Konektivitas!$D$3:$D$563,"&gt;0")+COUNTIFS(Input_Konektivitas!$A$3:$A$563,AD$3,Input_Konektivitas!$B$3:$B$563,$A19,Input_Konektivitas!$D$3:$D$563,"&gt;0"))=0,"",SUMIFS(Input_Konektivitas!$D$3:$D$563,Input_Konektivitas!$A$3:$A$563,$A19,Input_Konektivitas!$B$3:$B$563,AD$3)+SUMIFS(Input_Konektivitas!$D$3:$D$563,Input_Konektivitas!$A$3:$A$563,AD$3,Input_Konektivitas!$B$3:$B$563,$A19))</f>
        <v/>
      </c>
      <c r="AE19" s="27" t="str">
        <f>IF((COUNTIFS(Input_Konektivitas!$A$3:$A$563,$A19,Input_Konektivitas!$B$3:$B$563,AE$3,Input_Konektivitas!$D$3:$D$563,"&gt;0")+COUNTIFS(Input_Konektivitas!$A$3:$A$563,AE$3,Input_Konektivitas!$B$3:$B$563,$A19,Input_Konektivitas!$D$3:$D$563,"&gt;0"))=0,"",SUMIFS(Input_Konektivitas!$D$3:$D$563,Input_Konektivitas!$A$3:$A$563,$A19,Input_Konektivitas!$B$3:$B$563,AE$3)+SUMIFS(Input_Konektivitas!$D$3:$D$563,Input_Konektivitas!$A$3:$A$563,AE$3,Input_Konektivitas!$B$3:$B$563,$A19))</f>
        <v/>
      </c>
      <c r="AF19" s="27" t="str">
        <f>IF((COUNTIFS(Input_Konektivitas!$A$3:$A$563,$A19,Input_Konektivitas!$B$3:$B$563,AF$3,Input_Konektivitas!$D$3:$D$563,"&gt;0")+COUNTIFS(Input_Konektivitas!$A$3:$A$563,AF$3,Input_Konektivitas!$B$3:$B$563,$A19,Input_Konektivitas!$D$3:$D$563,"&gt;0"))=0,"",SUMIFS(Input_Konektivitas!$D$3:$D$563,Input_Konektivitas!$A$3:$A$563,$A19,Input_Konektivitas!$B$3:$B$563,AF$3)+SUMIFS(Input_Konektivitas!$D$3:$D$563,Input_Konektivitas!$A$3:$A$563,AF$3,Input_Konektivitas!$B$3:$B$563,$A19))</f>
        <v/>
      </c>
      <c r="AG19" s="27" t="str">
        <f>IF((COUNTIFS(Input_Konektivitas!$A$3:$A$563,$A19,Input_Konektivitas!$B$3:$B$563,AG$3,Input_Konektivitas!$D$3:$D$563,"&gt;0")+COUNTIFS(Input_Konektivitas!$A$3:$A$563,AG$3,Input_Konektivitas!$B$3:$B$563,$A19,Input_Konektivitas!$D$3:$D$563,"&gt;0"))=0,"",SUMIFS(Input_Konektivitas!$D$3:$D$563,Input_Konektivitas!$A$3:$A$563,$A19,Input_Konektivitas!$B$3:$B$563,AG$3)+SUMIFS(Input_Konektivitas!$D$3:$D$563,Input_Konektivitas!$A$3:$A$563,AG$3,Input_Konektivitas!$B$3:$B$563,$A19))</f>
        <v/>
      </c>
      <c r="AH19" s="27" t="str">
        <f>IF((COUNTIFS(Input_Konektivitas!$A$3:$A$563,$A19,Input_Konektivitas!$B$3:$B$563,AH$3,Input_Konektivitas!$D$3:$D$563,"&gt;0")+COUNTIFS(Input_Konektivitas!$A$3:$A$563,AH$3,Input_Konektivitas!$B$3:$B$563,$A19,Input_Konektivitas!$D$3:$D$563,"&gt;0"))=0,"",SUMIFS(Input_Konektivitas!$D$3:$D$563,Input_Konektivitas!$A$3:$A$563,$A19,Input_Konektivitas!$B$3:$B$563,AH$3)+SUMIFS(Input_Konektivitas!$D$3:$D$563,Input_Konektivitas!$A$3:$A$563,AH$3,Input_Konektivitas!$B$3:$B$563,$A19))</f>
        <v/>
      </c>
      <c r="AI19" s="27" t="str">
        <f>IF((COUNTIFS(Input_Konektivitas!$A$3:$A$563,$A19,Input_Konektivitas!$B$3:$B$563,AI$3,Input_Konektivitas!$D$3:$D$563,"&gt;0")+COUNTIFS(Input_Konektivitas!$A$3:$A$563,AI$3,Input_Konektivitas!$B$3:$B$563,$A19,Input_Konektivitas!$D$3:$D$563,"&gt;0"))=0,"",SUMIFS(Input_Konektivitas!$D$3:$D$563,Input_Konektivitas!$A$3:$A$563,$A19,Input_Konektivitas!$B$3:$B$563,AI$3)+SUMIFS(Input_Konektivitas!$D$3:$D$563,Input_Konektivitas!$A$3:$A$563,AI$3,Input_Konektivitas!$B$3:$B$563,$A19))</f>
        <v/>
      </c>
    </row>
    <row r="20" ht="14.25" customHeight="1">
      <c r="A20" s="22" t="s">
        <v>49</v>
      </c>
      <c r="B20" s="27">
        <f>IF((COUNTIFS(Input_Konektivitas!$A$3:$A$563,$A20,Input_Konektivitas!$B$3:$B$563,B$3,Input_Konektivitas!$D$3:$D$563,"&gt;0")+COUNTIFS(Input_Konektivitas!$A$3:$A$563,B$3,Input_Konektivitas!$B$3:$B$563,$A20,Input_Konektivitas!$D$3:$D$563,"&gt;0"))=0,"",SUMIFS(Input_Konektivitas!$D$3:$D$563,Input_Konektivitas!$A$3:$A$563,$A20,Input_Konektivitas!$B$3:$B$563,B$3)+SUMIFS(Input_Konektivitas!$D$3:$D$563,Input_Konektivitas!$A$3:$A$563,B$3,Input_Konektivitas!$B$3:$B$563,$A20))</f>
        <v>6.08333</v>
      </c>
      <c r="C20" s="27">
        <f>IF((COUNTIFS(Input_Konektivitas!$A$3:$A$563,$A20,Input_Konektivitas!$B$3:$B$563,C$3,Input_Konektivitas!$D$3:$D$563,"&gt;0")+COUNTIFS(Input_Konektivitas!$A$3:$A$563,C$3,Input_Konektivitas!$B$3:$B$563,$A20,Input_Konektivitas!$D$3:$D$563,"&gt;0"))=0,"",SUMIFS(Input_Konektivitas!$D$3:$D$563,Input_Konektivitas!$A$3:$A$563,$A20,Input_Konektivitas!$B$3:$B$563,C$3)+SUMIFS(Input_Konektivitas!$D$3:$D$563,Input_Konektivitas!$A$3:$A$563,C$3,Input_Konektivitas!$B$3:$B$563,$A20))</f>
        <v>5.17</v>
      </c>
      <c r="D20" s="27">
        <f>IF((COUNTIFS(Input_Konektivitas!$A$3:$A$563,$A20,Input_Konektivitas!$B$3:$B$563,D$3,Input_Konektivitas!$D$3:$D$563,"&gt;0")+COUNTIFS(Input_Konektivitas!$A$3:$A$563,D$3,Input_Konektivitas!$B$3:$B$563,$A20,Input_Konektivitas!$D$3:$D$563,"&gt;0"))=0,"",SUMIFS(Input_Konektivitas!$D$3:$D$563,Input_Konektivitas!$A$3:$A$563,$A20,Input_Konektivitas!$B$3:$B$563,D$3)+SUMIFS(Input_Konektivitas!$D$3:$D$563,Input_Konektivitas!$A$3:$A$563,D$3,Input_Konektivitas!$B$3:$B$563,$A20))</f>
        <v>4.92</v>
      </c>
      <c r="E20" s="27">
        <f>IF((COUNTIFS(Input_Konektivitas!$A$3:$A$563,$A20,Input_Konektivitas!$B$3:$B$563,E$3,Input_Konektivitas!$D$3:$D$563,"&gt;0")+COUNTIFS(Input_Konektivitas!$A$3:$A$563,E$3,Input_Konektivitas!$B$3:$B$563,$A20,Input_Konektivitas!$D$3:$D$563,"&gt;0"))=0,"",SUMIFS(Input_Konektivitas!$D$3:$D$563,Input_Konektivitas!$A$3:$A$563,$A20,Input_Konektivitas!$B$3:$B$563,E$3)+SUMIFS(Input_Konektivitas!$D$3:$D$563,Input_Konektivitas!$A$3:$A$563,E$3,Input_Konektivitas!$B$3:$B$563,$A20))</f>
        <v>4.67</v>
      </c>
      <c r="F20" s="27">
        <f>IF((COUNTIFS(Input_Konektivitas!$A$3:$A$563,$A20,Input_Konektivitas!$B$3:$B$563,F$3,Input_Konektivitas!$D$3:$D$563,"&gt;0")+COUNTIFS(Input_Konektivitas!$A$3:$A$563,F$3,Input_Konektivitas!$B$3:$B$563,$A20,Input_Konektivitas!$D$3:$D$563,"&gt;0"))=0,"",SUMIFS(Input_Konektivitas!$D$3:$D$563,Input_Konektivitas!$A$3:$A$563,$A20,Input_Konektivitas!$B$3:$B$563,F$3)+SUMIFS(Input_Konektivitas!$D$3:$D$563,Input_Konektivitas!$A$3:$A$563,F$3,Input_Konektivitas!$B$3:$B$563,$A20))</f>
        <v>3.45</v>
      </c>
      <c r="G20" s="27">
        <f>IF((COUNTIFS(Input_Konektivitas!$A$3:$A$563,$A20,Input_Konektivitas!$B$3:$B$563,G$3,Input_Konektivitas!$D$3:$D$563,"&gt;0")+COUNTIFS(Input_Konektivitas!$A$3:$A$563,G$3,Input_Konektivitas!$B$3:$B$563,$A20,Input_Konektivitas!$D$3:$D$563,"&gt;0"))=0,"",SUMIFS(Input_Konektivitas!$D$3:$D$563,Input_Konektivitas!$A$3:$A$563,$A20,Input_Konektivitas!$B$3:$B$563,G$3)+SUMIFS(Input_Konektivitas!$D$3:$D$563,Input_Konektivitas!$A$3:$A$563,G$3,Input_Konektivitas!$B$3:$B$563,$A20))</f>
        <v>4</v>
      </c>
      <c r="H20" s="27">
        <f>IF((COUNTIFS(Input_Konektivitas!$A$3:$A$563,$A20,Input_Konektivitas!$B$3:$B$563,H$3,Input_Konektivitas!$D$3:$D$563,"&gt;0")+COUNTIFS(Input_Konektivitas!$A$3:$A$563,H$3,Input_Konektivitas!$B$3:$B$563,$A20,Input_Konektivitas!$D$3:$D$563,"&gt;0"))=0,"",SUMIFS(Input_Konektivitas!$D$3:$D$563,Input_Konektivitas!$A$3:$A$563,$A20,Input_Konektivitas!$B$3:$B$563,H$3)+SUMIFS(Input_Konektivitas!$D$3:$D$563,Input_Konektivitas!$A$3:$A$563,H$3,Input_Konektivitas!$B$3:$B$563,$A20))</f>
        <v>4.08</v>
      </c>
      <c r="I20" s="27">
        <f>IF((COUNTIFS(Input_Konektivitas!$A$3:$A$563,$A20,Input_Konektivitas!$B$3:$B$563,I$3,Input_Konektivitas!$D$3:$D$563,"&gt;0")+COUNTIFS(Input_Konektivitas!$A$3:$A$563,I$3,Input_Konektivitas!$B$3:$B$563,$A20,Input_Konektivitas!$D$3:$D$563,"&gt;0"))=0,"",SUMIFS(Input_Konektivitas!$D$3:$D$563,Input_Konektivitas!$A$3:$A$563,$A20,Input_Konektivitas!$B$3:$B$563,I$3)+SUMIFS(Input_Konektivitas!$D$3:$D$563,Input_Konektivitas!$A$3:$A$563,I$3,Input_Konektivitas!$B$3:$B$563,$A20))</f>
        <v>3.5</v>
      </c>
      <c r="J20" s="27">
        <f>IF((COUNTIFS(Input_Konektivitas!$A$3:$A$563,$A20,Input_Konektivitas!$B$3:$B$563,J$3,Input_Konektivitas!$D$3:$D$563,"&gt;0")+COUNTIFS(Input_Konektivitas!$A$3:$A$563,J$3,Input_Konektivitas!$B$3:$B$563,$A20,Input_Konektivitas!$D$3:$D$563,"&gt;0"))=0,"",SUMIFS(Input_Konektivitas!$D$3:$D$563,Input_Konektivitas!$A$3:$A$563,$A20,Input_Konektivitas!$B$3:$B$563,J$3)+SUMIFS(Input_Konektivitas!$D$3:$D$563,Input_Konektivitas!$A$3:$A$563,J$3,Input_Konektivitas!$B$3:$B$563,$A20))</f>
        <v>4</v>
      </c>
      <c r="K20" s="27">
        <f>IF((COUNTIFS(Input_Konektivitas!$A$3:$A$563,$A20,Input_Konektivitas!$B$3:$B$563,K$3,Input_Konektivitas!$D$3:$D$563,"&gt;0")+COUNTIFS(Input_Konektivitas!$A$3:$A$563,K$3,Input_Konektivitas!$B$3:$B$563,$A20,Input_Konektivitas!$D$3:$D$563,"&gt;0"))=0,"",SUMIFS(Input_Konektivitas!$D$3:$D$563,Input_Konektivitas!$A$3:$A$563,$A20,Input_Konektivitas!$B$3:$B$563,K$3)+SUMIFS(Input_Konektivitas!$D$3:$D$563,Input_Konektivitas!$A$3:$A$563,K$3,Input_Konektivitas!$B$3:$B$563,$A20))</f>
        <v>4.91677</v>
      </c>
      <c r="L20" s="27">
        <f>IF((COUNTIFS(Input_Konektivitas!$A$3:$A$563,$A20,Input_Konektivitas!$B$3:$B$563,L$3,Input_Konektivitas!$D$3:$D$563,"&gt;0")+COUNTIFS(Input_Konektivitas!$A$3:$A$563,L$3,Input_Konektivitas!$B$3:$B$563,$A20,Input_Konektivitas!$D$3:$D$563,"&gt;0"))=0,"",SUMIFS(Input_Konektivitas!$D$3:$D$563,Input_Konektivitas!$A$3:$A$563,$A20,Input_Konektivitas!$B$3:$B$563,L$3)+SUMIFS(Input_Konektivitas!$D$3:$D$563,Input_Konektivitas!$A$3:$A$563,L$3,Input_Konektivitas!$B$3:$B$563,$A20))</f>
        <v>1.83</v>
      </c>
      <c r="M20" s="27">
        <f>IF((COUNTIFS(Input_Konektivitas!$A$3:$A$563,$A20,Input_Konektivitas!$B$3:$B$563,M$3,Input_Konektivitas!$D$3:$D$563,"&gt;0")+COUNTIFS(Input_Konektivitas!$A$3:$A$563,M$3,Input_Konektivitas!$B$3:$B$563,$A20,Input_Konektivitas!$D$3:$D$563,"&gt;0"))=0,"",SUMIFS(Input_Konektivitas!$D$3:$D$563,Input_Konektivitas!$A$3:$A$563,$A20,Input_Konektivitas!$B$3:$B$563,M$3)+SUMIFS(Input_Konektivitas!$D$3:$D$563,Input_Konektivitas!$A$3:$A$563,M$3,Input_Konektivitas!$B$3:$B$563,$A20))</f>
        <v>1.75</v>
      </c>
      <c r="N20" s="27">
        <f>IF((COUNTIFS(Input_Konektivitas!$A$3:$A$563,$A20,Input_Konektivitas!$B$3:$B$563,N$3,Input_Konektivitas!$D$3:$D$563,"&gt;0")+COUNTIFS(Input_Konektivitas!$A$3:$A$563,N$3,Input_Konektivitas!$B$3:$B$563,$A20,Input_Konektivitas!$D$3:$D$563,"&gt;0"))=0,"",SUMIFS(Input_Konektivitas!$D$3:$D$563,Input_Konektivitas!$A$3:$A$563,$A20,Input_Konektivitas!$B$3:$B$563,N$3)+SUMIFS(Input_Konektivitas!$D$3:$D$563,Input_Konektivitas!$A$3:$A$563,N$3,Input_Konektivitas!$B$3:$B$563,$A20))</f>
        <v>1.25</v>
      </c>
      <c r="O20" s="27">
        <f>IF((COUNTIFS(Input_Konektivitas!$A$3:$A$563,$A20,Input_Konektivitas!$B$3:$B$563,O$3,Input_Konektivitas!$D$3:$D$563,"&gt;0")+COUNTIFS(Input_Konektivitas!$A$3:$A$563,O$3,Input_Konektivitas!$B$3:$B$563,$A20,Input_Konektivitas!$D$3:$D$563,"&gt;0"))=0,"",SUMIFS(Input_Konektivitas!$D$3:$D$563,Input_Konektivitas!$A$3:$A$563,$A20,Input_Konektivitas!$B$3:$B$563,O$3)+SUMIFS(Input_Konektivitas!$D$3:$D$563,Input_Konektivitas!$A$3:$A$563,O$3,Input_Konektivitas!$B$3:$B$563,$A20))</f>
        <v>1.42</v>
      </c>
      <c r="P20" s="27">
        <f>IF((COUNTIFS(Input_Konektivitas!$A$3:$A$563,$A20,Input_Konektivitas!$B$3:$B$563,P$3,Input_Konektivitas!$D$3:$D$563,"&gt;0")+COUNTIFS(Input_Konektivitas!$A$3:$A$563,P$3,Input_Konektivitas!$B$3:$B$563,$A20,Input_Konektivitas!$D$3:$D$563,"&gt;0"))=0,"",SUMIFS(Input_Konektivitas!$D$3:$D$563,Input_Konektivitas!$A$3:$A$563,$A20,Input_Konektivitas!$B$3:$B$563,P$3)+SUMIFS(Input_Konektivitas!$D$3:$D$563,Input_Konektivitas!$A$3:$A$563,P$3,Input_Konektivitas!$B$3:$B$563,$A20))</f>
        <v>1</v>
      </c>
      <c r="Q20" s="27" t="str">
        <f>IF((COUNTIFS(Input_Konektivitas!$A$3:$A$563,$A20,Input_Konektivitas!$B$3:$B$563,Q$3,Input_Konektivitas!$D$3:$D$563,"&gt;0")+COUNTIFS(Input_Konektivitas!$A$3:$A$563,Q$3,Input_Konektivitas!$B$3:$B$563,$A20,Input_Konektivitas!$D$3:$D$563,"&gt;0"))=0,"",SUMIFS(Input_Konektivitas!$D$3:$D$563,Input_Konektivitas!$A$3:$A$563,$A20,Input_Konektivitas!$B$3:$B$563,Q$3)+SUMIFS(Input_Konektivitas!$D$3:$D$563,Input_Konektivitas!$A$3:$A$563,Q$3,Input_Konektivitas!$B$3:$B$563,$A20))</f>
        <v/>
      </c>
      <c r="R20" s="23">
        <v>0.0</v>
      </c>
      <c r="S20" s="27">
        <f>IF((COUNTIFS(Input_Konektivitas!$A$3:$A$563,$A20,Input_Konektivitas!$B$3:$B$563,S$3,Input_Konektivitas!$D$3:$D$563,"&gt;0")+COUNTIFS(Input_Konektivitas!$A$3:$A$563,S$3,Input_Konektivitas!$B$3:$B$563,$A20,Input_Konektivitas!$D$3:$D$563,"&gt;0"))=0,"",SUMIFS(Input_Konektivitas!$D$3:$D$563,Input_Konektivitas!$A$3:$A$563,$A20,Input_Konektivitas!$B$3:$B$563,S$3)+SUMIFS(Input_Konektivitas!$D$3:$D$563,Input_Konektivitas!$A$3:$A$563,S$3,Input_Konektivitas!$B$3:$B$563,$A20))</f>
        <v>0.666</v>
      </c>
      <c r="T20" s="27">
        <f>IF((COUNTIFS(Input_Konektivitas!$A$3:$A$563,$A20,Input_Konektivitas!$B$3:$B$563,T$3,Input_Konektivitas!$D$3:$D$563,"&gt;0")+COUNTIFS(Input_Konektivitas!$A$3:$A$563,T$3,Input_Konektivitas!$B$3:$B$563,$A20,Input_Konektivitas!$D$3:$D$563,"&gt;0"))=0,"",SUMIFS(Input_Konektivitas!$D$3:$D$563,Input_Konektivitas!$A$3:$A$563,$A20,Input_Konektivitas!$B$3:$B$563,T$3)+SUMIFS(Input_Konektivitas!$D$3:$D$563,Input_Konektivitas!$A$3:$A$563,T$3,Input_Konektivitas!$B$3:$B$563,$A20))</f>
        <v>1.0833</v>
      </c>
      <c r="U20" s="27">
        <f>IF((COUNTIFS(Input_Konektivitas!$A$3:$A$563,$A20,Input_Konektivitas!$B$3:$B$563,U$3,Input_Konektivitas!$D$3:$D$563,"&gt;0")+COUNTIFS(Input_Konektivitas!$A$3:$A$563,U$3,Input_Konektivitas!$B$3:$B$563,$A20,Input_Konektivitas!$D$3:$D$563,"&gt;0"))=0,"",SUMIFS(Input_Konektivitas!$D$3:$D$563,Input_Konektivitas!$A$3:$A$563,$A20,Input_Konektivitas!$B$3:$B$563,U$3)+SUMIFS(Input_Konektivitas!$D$3:$D$563,Input_Konektivitas!$A$3:$A$563,U$3,Input_Konektivitas!$B$3:$B$563,$A20))</f>
        <v>2.083</v>
      </c>
      <c r="V20" s="27">
        <f>IF((COUNTIFS(Input_Konektivitas!$A$3:$A$563,$A20,Input_Konektivitas!$B$3:$B$563,V$3,Input_Konektivitas!$D$3:$D$563,"&gt;0")+COUNTIFS(Input_Konektivitas!$A$3:$A$563,V$3,Input_Konektivitas!$B$3:$B$563,$A20,Input_Konektivitas!$D$3:$D$563,"&gt;0"))=0,"",SUMIFS(Input_Konektivitas!$D$3:$D$563,Input_Konektivitas!$A$3:$A$563,$A20,Input_Konektivitas!$B$3:$B$563,V$3)+SUMIFS(Input_Konektivitas!$D$3:$D$563,Input_Konektivitas!$A$3:$A$563,V$3,Input_Konektivitas!$B$3:$B$563,$A20))</f>
        <v>2.916</v>
      </c>
      <c r="W20" s="27">
        <f>IF((COUNTIFS(Input_Konektivitas!$A$3:$A$563,$A20,Input_Konektivitas!$B$3:$B$563,W$3,Input_Konektivitas!$D$3:$D$563,"&gt;0")+COUNTIFS(Input_Konektivitas!$A$3:$A$563,W$3,Input_Konektivitas!$B$3:$B$563,$A20,Input_Konektivitas!$D$3:$D$563,"&gt;0"))=0,"",SUMIFS(Input_Konektivitas!$D$3:$D$563,Input_Konektivitas!$A$3:$A$563,$A20,Input_Konektivitas!$B$3:$B$563,W$3)+SUMIFS(Input_Konektivitas!$D$3:$D$563,Input_Konektivitas!$A$3:$A$563,W$3,Input_Konektivitas!$B$3:$B$563,$A20))</f>
        <v>1.5</v>
      </c>
      <c r="X20" s="27">
        <f>IF((COUNTIFS(Input_Konektivitas!$A$3:$A$563,$A20,Input_Konektivitas!$B$3:$B$563,X$3,Input_Konektivitas!$D$3:$D$563,"&gt;0")+COUNTIFS(Input_Konektivitas!$A$3:$A$563,X$3,Input_Konektivitas!$B$3:$B$563,$A20,Input_Konektivitas!$D$3:$D$563,"&gt;0"))=0,"",SUMIFS(Input_Konektivitas!$D$3:$D$563,Input_Konektivitas!$A$3:$A$563,$A20,Input_Konektivitas!$B$3:$B$563,X$3)+SUMIFS(Input_Konektivitas!$D$3:$D$563,Input_Konektivitas!$A$3:$A$563,X$3,Input_Konektivitas!$B$3:$B$563,$A20))</f>
        <v>1.75</v>
      </c>
      <c r="Y20" s="27">
        <f>IF((COUNTIFS(Input_Konektivitas!$A$3:$A$563,$A20,Input_Konektivitas!$B$3:$B$563,Y$3,Input_Konektivitas!$D$3:$D$563,"&gt;0")+COUNTIFS(Input_Konektivitas!$A$3:$A$563,Y$3,Input_Konektivitas!$B$3:$B$563,$A20,Input_Konektivitas!$D$3:$D$563,"&gt;0"))=0,"",SUMIFS(Input_Konektivitas!$D$3:$D$563,Input_Konektivitas!$A$3:$A$563,$A20,Input_Konektivitas!$B$3:$B$563,Y$3)+SUMIFS(Input_Konektivitas!$D$3:$D$563,Input_Konektivitas!$A$3:$A$563,Y$3,Input_Konektivitas!$B$3:$B$563,$A20))</f>
        <v>5.916</v>
      </c>
      <c r="Z20" s="27">
        <f>IF((COUNTIFS(Input_Konektivitas!$A$3:$A$563,$A20,Input_Konektivitas!$B$3:$B$563,Z$3,Input_Konektivitas!$D$3:$D$563,"&gt;0")+COUNTIFS(Input_Konektivitas!$A$3:$A$563,Z$3,Input_Konektivitas!$B$3:$B$563,$A20,Input_Konektivitas!$D$3:$D$563,"&gt;0"))=0,"",SUMIFS(Input_Konektivitas!$D$3:$D$563,Input_Konektivitas!$A$3:$A$563,$A20,Input_Konektivitas!$B$3:$B$563,Z$3)+SUMIFS(Input_Konektivitas!$D$3:$D$563,Input_Konektivitas!$A$3:$A$563,Z$3,Input_Konektivitas!$B$3:$B$563,$A20))</f>
        <v>2.5</v>
      </c>
      <c r="AA20" s="27">
        <f>IF((COUNTIFS(Input_Konektivitas!$A$3:$A$563,$A20,Input_Konektivitas!$B$3:$B$563,AA$3,Input_Konektivitas!$D$3:$D$563,"&gt;0")+COUNTIFS(Input_Konektivitas!$A$3:$A$563,AA$3,Input_Konektivitas!$B$3:$B$563,$A20,Input_Konektivitas!$D$3:$D$563,"&gt;0"))=0,"",SUMIFS(Input_Konektivitas!$D$3:$D$563,Input_Konektivitas!$A$3:$A$563,$A20,Input_Konektivitas!$B$3:$B$563,AA$3)+SUMIFS(Input_Konektivitas!$D$3:$D$563,Input_Konektivitas!$A$3:$A$563,AA$3,Input_Konektivitas!$B$3:$B$563,$A20))</f>
        <v>4.166</v>
      </c>
      <c r="AB20" s="27">
        <f>IF((COUNTIFS(Input_Konektivitas!$A$3:$A$563,$A20,Input_Konektivitas!$B$3:$B$563,AB$3,Input_Konektivitas!$D$3:$D$563,"&gt;0")+COUNTIFS(Input_Konektivitas!$A$3:$A$563,AB$3,Input_Konektivitas!$B$3:$B$563,$A20,Input_Konektivitas!$D$3:$D$563,"&gt;0"))=0,"",SUMIFS(Input_Konektivitas!$D$3:$D$563,Input_Konektivitas!$A$3:$A$563,$A20,Input_Konektivitas!$B$3:$B$563,AB$3)+SUMIFS(Input_Konektivitas!$D$3:$D$563,Input_Konektivitas!$A$3:$A$563,AB$3,Input_Konektivitas!$B$3:$B$563,$A20))</f>
        <v>1.33</v>
      </c>
      <c r="AC20" s="27">
        <f>IF((COUNTIFS(Input_Konektivitas!$A$3:$A$563,$A20,Input_Konektivitas!$B$3:$B$563,AC$3,Input_Konektivitas!$D$3:$D$563,"&gt;0")+COUNTIFS(Input_Konektivitas!$A$3:$A$563,AC$3,Input_Konektivitas!$B$3:$B$563,$A20,Input_Konektivitas!$D$3:$D$563,"&gt;0"))=0,"",SUMIFS(Input_Konektivitas!$D$3:$D$563,Input_Konektivitas!$A$3:$A$563,$A20,Input_Konektivitas!$B$3:$B$563,AC$3)+SUMIFS(Input_Konektivitas!$D$3:$D$563,Input_Konektivitas!$A$3:$A$563,AC$3,Input_Konektivitas!$B$3:$B$563,$A20))</f>
        <v>4.833</v>
      </c>
      <c r="AD20" s="27">
        <f>IF((COUNTIFS(Input_Konektivitas!$A$3:$A$563,$A20,Input_Konektivitas!$B$3:$B$563,AD$3,Input_Konektivitas!$D$3:$D$563,"&gt;0")+COUNTIFS(Input_Konektivitas!$A$3:$A$563,AD$3,Input_Konektivitas!$B$3:$B$563,$A20,Input_Konektivitas!$D$3:$D$563,"&gt;0"))=0,"",SUMIFS(Input_Konektivitas!$D$3:$D$563,Input_Konektivitas!$A$3:$A$563,$A20,Input_Konektivitas!$B$3:$B$563,AD$3)+SUMIFS(Input_Konektivitas!$D$3:$D$563,Input_Konektivitas!$A$3:$A$563,AD$3,Input_Konektivitas!$B$3:$B$563,$A20))</f>
        <v>7.166</v>
      </c>
      <c r="AE20" s="27">
        <f>IF((COUNTIFS(Input_Konektivitas!$A$3:$A$563,$A20,Input_Konektivitas!$B$3:$B$563,AE$3,Input_Konektivitas!$D$3:$D$563,"&gt;0")+COUNTIFS(Input_Konektivitas!$A$3:$A$563,AE$3,Input_Konektivitas!$B$3:$B$563,$A20,Input_Konektivitas!$D$3:$D$563,"&gt;0"))=0,"",SUMIFS(Input_Konektivitas!$D$3:$D$563,Input_Konektivitas!$A$3:$A$563,$A20,Input_Konektivitas!$B$3:$B$563,AE$3)+SUMIFS(Input_Konektivitas!$D$3:$D$563,Input_Konektivitas!$A$3:$A$563,AE$3,Input_Konektivitas!$B$3:$B$563,$A20))</f>
        <v>5.166</v>
      </c>
      <c r="AF20" s="27">
        <f>IF((COUNTIFS(Input_Konektivitas!$A$3:$A$563,$A20,Input_Konektivitas!$B$3:$B$563,AF$3,Input_Konektivitas!$D$3:$D$563,"&gt;0")+COUNTIFS(Input_Konektivitas!$A$3:$A$563,AF$3,Input_Konektivitas!$B$3:$B$563,$A20,Input_Konektivitas!$D$3:$D$563,"&gt;0"))=0,"",SUMIFS(Input_Konektivitas!$D$3:$D$563,Input_Konektivitas!$A$3:$A$563,$A20,Input_Konektivitas!$B$3:$B$563,AF$3)+SUMIFS(Input_Konektivitas!$D$3:$D$563,Input_Konektivitas!$A$3:$A$563,AF$3,Input_Konektivitas!$B$3:$B$563,$A20))</f>
        <v>6.833</v>
      </c>
      <c r="AG20" s="27">
        <f>IF((COUNTIFS(Input_Konektivitas!$A$3:$A$563,$A20,Input_Konektivitas!$B$3:$B$563,AG$3,Input_Konektivitas!$D$3:$D$563,"&gt;0")+COUNTIFS(Input_Konektivitas!$A$3:$A$563,AG$3,Input_Konektivitas!$B$3:$B$563,$A20,Input_Konektivitas!$D$3:$D$563,"&gt;0"))=0,"",SUMIFS(Input_Konektivitas!$D$3:$D$563,Input_Konektivitas!$A$3:$A$563,$A20,Input_Konektivitas!$B$3:$B$563,AG$3)+SUMIFS(Input_Konektivitas!$D$3:$D$563,Input_Konektivitas!$A$3:$A$563,AG$3,Input_Konektivitas!$B$3:$B$563,$A20))</f>
        <v>5.833</v>
      </c>
      <c r="AH20" s="27">
        <f>IF((COUNTIFS(Input_Konektivitas!$A$3:$A$563,$A20,Input_Konektivitas!$B$3:$B$563,AH$3,Input_Konektivitas!$D$3:$D$563,"&gt;0")+COUNTIFS(Input_Konektivitas!$A$3:$A$563,AH$3,Input_Konektivitas!$B$3:$B$563,$A20,Input_Konektivitas!$D$3:$D$563,"&gt;0"))=0,"",SUMIFS(Input_Konektivitas!$D$3:$D$563,Input_Konektivitas!$A$3:$A$563,$A20,Input_Konektivitas!$B$3:$B$563,AH$3)+SUMIFS(Input_Konektivitas!$D$3:$D$563,Input_Konektivitas!$A$3:$A$563,AH$3,Input_Konektivitas!$B$3:$B$563,$A20))</f>
        <v>6.75</v>
      </c>
      <c r="AI20" s="27">
        <f>IF((COUNTIFS(Input_Konektivitas!$A$3:$A$563,$A20,Input_Konektivitas!$B$3:$B$563,AI$3,Input_Konektivitas!$D$3:$D$563,"&gt;0")+COUNTIFS(Input_Konektivitas!$A$3:$A$563,AI$3,Input_Konektivitas!$B$3:$B$563,$A20,Input_Konektivitas!$D$3:$D$563,"&gt;0"))=0,"",SUMIFS(Input_Konektivitas!$D$3:$D$563,Input_Konektivitas!$A$3:$A$563,$A20,Input_Konektivitas!$B$3:$B$563,AI$3)+SUMIFS(Input_Konektivitas!$D$3:$D$563,Input_Konektivitas!$A$3:$A$563,AI$3,Input_Konektivitas!$B$3:$B$563,$A20))</f>
        <v>5.83</v>
      </c>
    </row>
    <row r="21" ht="14.25" customHeight="1">
      <c r="A21" s="22" t="s">
        <v>52</v>
      </c>
      <c r="B21" s="27">
        <f>IF((COUNTIFS(Input_Konektivitas!$A$3:$A$563,$A21,Input_Konektivitas!$B$3:$B$563,B$3,Input_Konektivitas!$D$3:$D$563,"&gt;0")+COUNTIFS(Input_Konektivitas!$A$3:$A$563,B$3,Input_Konektivitas!$B$3:$B$563,$A21,Input_Konektivitas!$D$3:$D$563,"&gt;0"))=0,"",SUMIFS(Input_Konektivitas!$D$3:$D$563,Input_Konektivitas!$A$3:$A$563,$A21,Input_Konektivitas!$B$3:$B$563,B$3)+SUMIFS(Input_Konektivitas!$D$3:$D$563,Input_Konektivitas!$A$3:$A$563,B$3,Input_Konektivitas!$B$3:$B$563,$A21))</f>
        <v>7.75</v>
      </c>
      <c r="C21" s="27">
        <f>IF((COUNTIFS(Input_Konektivitas!$A$3:$A$563,$A21,Input_Konektivitas!$B$3:$B$563,C$3,Input_Konektivitas!$D$3:$D$563,"&gt;0")+COUNTIFS(Input_Konektivitas!$A$3:$A$563,C$3,Input_Konektivitas!$B$3:$B$563,$A21,Input_Konektivitas!$D$3:$D$563,"&gt;0"))=0,"",SUMIFS(Input_Konektivitas!$D$3:$D$563,Input_Konektivitas!$A$3:$A$563,$A21,Input_Konektivitas!$B$3:$B$563,C$3)+SUMIFS(Input_Konektivitas!$D$3:$D$563,Input_Konektivitas!$A$3:$A$563,C$3,Input_Konektivitas!$B$3:$B$563,$A21))</f>
        <v>5.5</v>
      </c>
      <c r="D21" s="27">
        <f>IF((COUNTIFS(Input_Konektivitas!$A$3:$A$563,$A21,Input_Konektivitas!$B$3:$B$563,D$3,Input_Konektivitas!$D$3:$D$563,"&gt;0")+COUNTIFS(Input_Konektivitas!$A$3:$A$563,D$3,Input_Konektivitas!$B$3:$B$563,$A21,Input_Konektivitas!$D$3:$D$563,"&gt;0"))=0,"",SUMIFS(Input_Konektivitas!$D$3:$D$563,Input_Konektivitas!$A$3:$A$563,$A21,Input_Konektivitas!$B$3:$B$563,D$3)+SUMIFS(Input_Konektivitas!$D$3:$D$563,Input_Konektivitas!$A$3:$A$563,D$3,Input_Konektivitas!$B$3:$B$563,$A21))</f>
        <v>5.33</v>
      </c>
      <c r="E21" s="27">
        <f>IF((COUNTIFS(Input_Konektivitas!$A$3:$A$563,$A21,Input_Konektivitas!$B$3:$B$563,E$3,Input_Konektivitas!$D$3:$D$563,"&gt;0")+COUNTIFS(Input_Konektivitas!$A$3:$A$563,E$3,Input_Konektivitas!$B$3:$B$563,$A21,Input_Konektivitas!$D$3:$D$563,"&gt;0"))=0,"",SUMIFS(Input_Konektivitas!$D$3:$D$563,Input_Konektivitas!$A$3:$A$563,$A21,Input_Konektivitas!$B$3:$B$563,E$3)+SUMIFS(Input_Konektivitas!$D$3:$D$563,Input_Konektivitas!$A$3:$A$563,E$3,Input_Konektivitas!$B$3:$B$563,$A21))</f>
        <v>4.83</v>
      </c>
      <c r="F21" s="27">
        <f>IF((COUNTIFS(Input_Konektivitas!$A$3:$A$563,$A21,Input_Konektivitas!$B$3:$B$563,F$3,Input_Konektivitas!$D$3:$D$563,"&gt;0")+COUNTIFS(Input_Konektivitas!$A$3:$A$563,F$3,Input_Konektivitas!$B$3:$B$563,$A21,Input_Konektivitas!$D$3:$D$563,"&gt;0"))=0,"",SUMIFS(Input_Konektivitas!$D$3:$D$563,Input_Konektivitas!$A$3:$A$563,$A21,Input_Konektivitas!$B$3:$B$563,F$3)+SUMIFS(Input_Konektivitas!$D$3:$D$563,Input_Konektivitas!$A$3:$A$563,F$3,Input_Konektivitas!$B$3:$B$563,$A21))</f>
        <v>4.5</v>
      </c>
      <c r="G21" s="27">
        <f>IF((COUNTIFS(Input_Konektivitas!$A$3:$A$563,$A21,Input_Konektivitas!$B$3:$B$563,G$3,Input_Konektivitas!$D$3:$D$563,"&gt;0")+COUNTIFS(Input_Konektivitas!$A$3:$A$563,G$3,Input_Konektivitas!$B$3:$B$563,$A21,Input_Konektivitas!$D$3:$D$563,"&gt;0"))=0,"",SUMIFS(Input_Konektivitas!$D$3:$D$563,Input_Konektivitas!$A$3:$A$563,$A21,Input_Konektivitas!$B$3:$B$563,G$3)+SUMIFS(Input_Konektivitas!$D$3:$D$563,Input_Konektivitas!$A$3:$A$563,G$3,Input_Konektivitas!$B$3:$B$563,$A21))</f>
        <v>5.17</v>
      </c>
      <c r="H21" s="27">
        <f>IF((COUNTIFS(Input_Konektivitas!$A$3:$A$563,$A21,Input_Konektivitas!$B$3:$B$563,H$3,Input_Konektivitas!$D$3:$D$563,"&gt;0")+COUNTIFS(Input_Konektivitas!$A$3:$A$563,H$3,Input_Konektivitas!$B$3:$B$563,$A21,Input_Konektivitas!$D$3:$D$563,"&gt;0"))=0,"",SUMIFS(Input_Konektivitas!$D$3:$D$563,Input_Konektivitas!$A$3:$A$563,$A21,Input_Konektivitas!$B$3:$B$563,H$3)+SUMIFS(Input_Konektivitas!$D$3:$D$563,Input_Konektivitas!$A$3:$A$563,H$3,Input_Konektivitas!$B$3:$B$563,$A21))</f>
        <v>5.5</v>
      </c>
      <c r="I21" s="27">
        <f>IF((COUNTIFS(Input_Konektivitas!$A$3:$A$563,$A21,Input_Konektivitas!$B$3:$B$563,I$3,Input_Konektivitas!$D$3:$D$563,"&gt;0")+COUNTIFS(Input_Konektivitas!$A$3:$A$563,I$3,Input_Konektivitas!$B$3:$B$563,$A21,Input_Konektivitas!$D$3:$D$563,"&gt;0"))=0,"",SUMIFS(Input_Konektivitas!$D$3:$D$563,Input_Konektivitas!$A$3:$A$563,$A21,Input_Konektivitas!$B$3:$B$563,I$3)+SUMIFS(Input_Konektivitas!$D$3:$D$563,Input_Konektivitas!$A$3:$A$563,I$3,Input_Konektivitas!$B$3:$B$563,$A21))</f>
        <v>3.92</v>
      </c>
      <c r="J21" s="27">
        <f>IF((COUNTIFS(Input_Konektivitas!$A$3:$A$563,$A21,Input_Konektivitas!$B$3:$B$563,J$3,Input_Konektivitas!$D$3:$D$563,"&gt;0")+COUNTIFS(Input_Konektivitas!$A$3:$A$563,J$3,Input_Konektivitas!$B$3:$B$563,$A21,Input_Konektivitas!$D$3:$D$563,"&gt;0"))=0,"",SUMIFS(Input_Konektivitas!$D$3:$D$563,Input_Konektivitas!$A$3:$A$563,$A21,Input_Konektivitas!$B$3:$B$563,J$3)+SUMIFS(Input_Konektivitas!$D$3:$D$563,Input_Konektivitas!$A$3:$A$563,J$3,Input_Konektivitas!$B$3:$B$563,$A21))</f>
        <v>4.58</v>
      </c>
      <c r="K21" s="27">
        <f>IF((COUNTIFS(Input_Konektivitas!$A$3:$A$563,$A21,Input_Konektivitas!$B$3:$B$563,K$3,Input_Konektivitas!$D$3:$D$563,"&gt;0")+COUNTIFS(Input_Konektivitas!$A$3:$A$563,K$3,Input_Konektivitas!$B$3:$B$563,$A21,Input_Konektivitas!$D$3:$D$563,"&gt;0"))=0,"",SUMIFS(Input_Konektivitas!$D$3:$D$563,Input_Konektivitas!$A$3:$A$563,$A21,Input_Konektivitas!$B$3:$B$563,K$3)+SUMIFS(Input_Konektivitas!$D$3:$D$563,Input_Konektivitas!$A$3:$A$563,K$3,Input_Konektivitas!$B$3:$B$563,$A21))</f>
        <v>4.42</v>
      </c>
      <c r="L21" s="27">
        <f>IF((COUNTIFS(Input_Konektivitas!$A$3:$A$563,$A21,Input_Konektivitas!$B$3:$B$563,L$3,Input_Konektivitas!$D$3:$D$563,"&gt;0")+COUNTIFS(Input_Konektivitas!$A$3:$A$563,L$3,Input_Konektivitas!$B$3:$B$563,$A21,Input_Konektivitas!$D$3:$D$563,"&gt;0"))=0,"",SUMIFS(Input_Konektivitas!$D$3:$D$563,Input_Konektivitas!$A$3:$A$563,$A21,Input_Konektivitas!$B$3:$B$563,L$3)+SUMIFS(Input_Konektivitas!$D$3:$D$563,Input_Konektivitas!$A$3:$A$563,L$3,Input_Konektivitas!$B$3:$B$563,$A21))</f>
        <v>2</v>
      </c>
      <c r="M21" s="27">
        <f>IF((COUNTIFS(Input_Konektivitas!$A$3:$A$563,$A21,Input_Konektivitas!$B$3:$B$563,M$3,Input_Konektivitas!$D$3:$D$563,"&gt;0")+COUNTIFS(Input_Konektivitas!$A$3:$A$563,M$3,Input_Konektivitas!$B$3:$B$563,$A21,Input_Konektivitas!$D$3:$D$563,"&gt;0"))=0,"",SUMIFS(Input_Konektivitas!$D$3:$D$563,Input_Konektivitas!$A$3:$A$563,$A21,Input_Konektivitas!$B$3:$B$563,M$3)+SUMIFS(Input_Konektivitas!$D$3:$D$563,Input_Konektivitas!$A$3:$A$563,M$3,Input_Konektivitas!$B$3:$B$563,$A21))</f>
        <v>5.47</v>
      </c>
      <c r="N21" s="27">
        <f>IF((COUNTIFS(Input_Konektivitas!$A$3:$A$563,$A21,Input_Konektivitas!$B$3:$B$563,N$3,Input_Konektivitas!$D$3:$D$563,"&gt;0")+COUNTIFS(Input_Konektivitas!$A$3:$A$563,N$3,Input_Konektivitas!$B$3:$B$563,$A21,Input_Konektivitas!$D$3:$D$563,"&gt;0"))=0,"",SUMIFS(Input_Konektivitas!$D$3:$D$563,Input_Konektivitas!$A$3:$A$563,$A21,Input_Konektivitas!$B$3:$B$563,N$3)+SUMIFS(Input_Konektivitas!$D$3:$D$563,Input_Konektivitas!$A$3:$A$563,N$3,Input_Konektivitas!$B$3:$B$563,$A21))</f>
        <v>3.83</v>
      </c>
      <c r="O21" s="27">
        <f>IF((COUNTIFS(Input_Konektivitas!$A$3:$A$563,$A21,Input_Konektivitas!$B$3:$B$563,O$3,Input_Konektivitas!$D$3:$D$563,"&gt;0")+COUNTIFS(Input_Konektivitas!$A$3:$A$563,O$3,Input_Konektivitas!$B$3:$B$563,$A21,Input_Konektivitas!$D$3:$D$563,"&gt;0"))=0,"",SUMIFS(Input_Konektivitas!$D$3:$D$563,Input_Konektivitas!$A$3:$A$563,$A21,Input_Konektivitas!$B$3:$B$563,O$3)+SUMIFS(Input_Konektivitas!$D$3:$D$563,Input_Konektivitas!$A$3:$A$563,O$3,Input_Konektivitas!$B$3:$B$563,$A21))</f>
        <v>1.5</v>
      </c>
      <c r="P21" s="27">
        <f>IF((COUNTIFS(Input_Konektivitas!$A$3:$A$563,$A21,Input_Konektivitas!$B$3:$B$563,P$3,Input_Konektivitas!$D$3:$D$563,"&gt;0")+COUNTIFS(Input_Konektivitas!$A$3:$A$563,P$3,Input_Konektivitas!$B$3:$B$563,$A21,Input_Konektivitas!$D$3:$D$563,"&gt;0"))=0,"",SUMIFS(Input_Konektivitas!$D$3:$D$563,Input_Konektivitas!$A$3:$A$563,$A21,Input_Konektivitas!$B$3:$B$563,P$3)+SUMIFS(Input_Konektivitas!$D$3:$D$563,Input_Konektivitas!$A$3:$A$563,P$3,Input_Konektivitas!$B$3:$B$563,$A21))</f>
        <v>1.083</v>
      </c>
      <c r="Q21" s="27" t="str">
        <f>IF((COUNTIFS(Input_Konektivitas!$A$3:$A$563,$A21,Input_Konektivitas!$B$3:$B$563,Q$3,Input_Konektivitas!$D$3:$D$563,"&gt;0")+COUNTIFS(Input_Konektivitas!$A$3:$A$563,Q$3,Input_Konektivitas!$B$3:$B$563,$A21,Input_Konektivitas!$D$3:$D$563,"&gt;0"))=0,"",SUMIFS(Input_Konektivitas!$D$3:$D$563,Input_Konektivitas!$A$3:$A$563,$A21,Input_Konektivitas!$B$3:$B$563,Q$3)+SUMIFS(Input_Konektivitas!$D$3:$D$563,Input_Konektivitas!$A$3:$A$563,Q$3,Input_Konektivitas!$B$3:$B$563,$A21))</f>
        <v/>
      </c>
      <c r="R21" s="27">
        <f>IF((COUNTIFS(Input_Konektivitas!$A$3:$A$563,$A21,Input_Konektivitas!$B$3:$B$563,R$3,Input_Konektivitas!$D$3:$D$563,"&gt;0")+COUNTIFS(Input_Konektivitas!$A$3:$A$563,R$3,Input_Konektivitas!$B$3:$B$563,$A21,Input_Konektivitas!$D$3:$D$563,"&gt;0"))=0,"",SUMIFS(Input_Konektivitas!$D$3:$D$563,Input_Konektivitas!$A$3:$A$563,$A21,Input_Konektivitas!$B$3:$B$563,R$3)+SUMIFS(Input_Konektivitas!$D$3:$D$563,Input_Konektivitas!$A$3:$A$563,R$3,Input_Konektivitas!$B$3:$B$563,$A21))</f>
        <v>0.666</v>
      </c>
      <c r="S21" s="23">
        <v>0.0</v>
      </c>
      <c r="T21" s="27">
        <f>IF((COUNTIFS(Input_Konektivitas!$A$3:$A$563,$A21,Input_Konektivitas!$B$3:$B$563,T$3,Input_Konektivitas!$D$3:$D$563,"&gt;0")+COUNTIFS(Input_Konektivitas!$A$3:$A$563,T$3,Input_Konektivitas!$B$3:$B$563,$A21,Input_Konektivitas!$D$3:$D$563,"&gt;0"))=0,"",SUMIFS(Input_Konektivitas!$D$3:$D$563,Input_Konektivitas!$A$3:$A$563,$A21,Input_Konektivitas!$B$3:$B$563,T$3)+SUMIFS(Input_Konektivitas!$D$3:$D$563,Input_Konektivitas!$A$3:$A$563,T$3,Input_Konektivitas!$B$3:$B$563,$A21))</f>
        <v>1.25</v>
      </c>
      <c r="U21" s="27">
        <f>IF((COUNTIFS(Input_Konektivitas!$A$3:$A$563,$A21,Input_Konektivitas!$B$3:$B$563,U$3,Input_Konektivitas!$D$3:$D$563,"&gt;0")+COUNTIFS(Input_Konektivitas!$A$3:$A$563,U$3,Input_Konektivitas!$B$3:$B$563,$A21,Input_Konektivitas!$D$3:$D$563,"&gt;0"))=0,"",SUMIFS(Input_Konektivitas!$D$3:$D$563,Input_Konektivitas!$A$3:$A$563,$A21,Input_Konektivitas!$B$3:$B$563,U$3)+SUMIFS(Input_Konektivitas!$D$3:$D$563,Input_Konektivitas!$A$3:$A$563,U$3,Input_Konektivitas!$B$3:$B$563,$A21))</f>
        <v>4.916</v>
      </c>
      <c r="V21" s="27">
        <f>IF((COUNTIFS(Input_Konektivitas!$A$3:$A$563,$A21,Input_Konektivitas!$B$3:$B$563,V$3,Input_Konektivitas!$D$3:$D$563,"&gt;0")+COUNTIFS(Input_Konektivitas!$A$3:$A$563,V$3,Input_Konektivitas!$B$3:$B$563,$A21,Input_Konektivitas!$D$3:$D$563,"&gt;0"))=0,"",SUMIFS(Input_Konektivitas!$D$3:$D$563,Input_Konektivitas!$A$3:$A$563,$A21,Input_Konektivitas!$B$3:$B$563,V$3)+SUMIFS(Input_Konektivitas!$D$3:$D$563,Input_Konektivitas!$A$3:$A$563,V$3,Input_Konektivitas!$B$3:$B$563,$A21))</f>
        <v>5.25</v>
      </c>
      <c r="W21" s="27">
        <f>IF((COUNTIFS(Input_Konektivitas!$A$3:$A$563,$A21,Input_Konektivitas!$B$3:$B$563,W$3,Input_Konektivitas!$D$3:$D$563,"&gt;0")+COUNTIFS(Input_Konektivitas!$A$3:$A$563,W$3,Input_Konektivitas!$B$3:$B$563,$A21,Input_Konektivitas!$D$3:$D$563,"&gt;0"))=0,"",SUMIFS(Input_Konektivitas!$D$3:$D$563,Input_Konektivitas!$A$3:$A$563,$A21,Input_Konektivitas!$B$3:$B$563,W$3)+SUMIFS(Input_Konektivitas!$D$3:$D$563,Input_Konektivitas!$A$3:$A$563,W$3,Input_Konektivitas!$B$3:$B$563,$A21))</f>
        <v>2.916</v>
      </c>
      <c r="X21" s="27">
        <f>IF((COUNTIFS(Input_Konektivitas!$A$3:$A$563,$A21,Input_Konektivitas!$B$3:$B$563,X$3,Input_Konektivitas!$D$3:$D$563,"&gt;0")+COUNTIFS(Input_Konektivitas!$A$3:$A$563,X$3,Input_Konektivitas!$B$3:$B$563,$A21,Input_Konektivitas!$D$3:$D$563,"&gt;0"))=0,"",SUMIFS(Input_Konektivitas!$D$3:$D$563,Input_Konektivitas!$A$3:$A$563,$A21,Input_Konektivitas!$B$3:$B$563,X$3)+SUMIFS(Input_Konektivitas!$D$3:$D$563,Input_Konektivitas!$A$3:$A$563,X$3,Input_Konektivitas!$B$3:$B$563,$A21))</f>
        <v>1.5833</v>
      </c>
      <c r="Y21" s="27">
        <f>IF((COUNTIFS(Input_Konektivitas!$A$3:$A$563,$A21,Input_Konektivitas!$B$3:$B$563,Y$3,Input_Konektivitas!$D$3:$D$563,"&gt;0")+COUNTIFS(Input_Konektivitas!$A$3:$A$563,Y$3,Input_Konektivitas!$B$3:$B$563,$A21,Input_Konektivitas!$D$3:$D$563,"&gt;0"))=0,"",SUMIFS(Input_Konektivitas!$D$3:$D$563,Input_Konektivitas!$A$3:$A$563,$A21,Input_Konektivitas!$B$3:$B$563,Y$3)+SUMIFS(Input_Konektivitas!$D$3:$D$563,Input_Konektivitas!$A$3:$A$563,Y$3,Input_Konektivitas!$B$3:$B$563,$A21))</f>
        <v>7.9166</v>
      </c>
      <c r="Z21" s="27">
        <f>IF((COUNTIFS(Input_Konektivitas!$A$3:$A$563,$A21,Input_Konektivitas!$B$3:$B$563,Z$3,Input_Konektivitas!$D$3:$D$563,"&gt;0")+COUNTIFS(Input_Konektivitas!$A$3:$A$563,Z$3,Input_Konektivitas!$B$3:$B$563,$A21,Input_Konektivitas!$D$3:$D$563,"&gt;0"))=0,"",SUMIFS(Input_Konektivitas!$D$3:$D$563,Input_Konektivitas!$A$3:$A$563,$A21,Input_Konektivitas!$B$3:$B$563,Z$3)+SUMIFS(Input_Konektivitas!$D$3:$D$563,Input_Konektivitas!$A$3:$A$563,Z$3,Input_Konektivitas!$B$3:$B$563,$A21))</f>
        <v>4</v>
      </c>
      <c r="AA21" s="27">
        <f>IF((COUNTIFS(Input_Konektivitas!$A$3:$A$563,$A21,Input_Konektivitas!$B$3:$B$563,AA$3,Input_Konektivitas!$D$3:$D$563,"&gt;0")+COUNTIFS(Input_Konektivitas!$A$3:$A$563,AA$3,Input_Konektivitas!$B$3:$B$563,$A21,Input_Konektivitas!$D$3:$D$563,"&gt;0"))=0,"",SUMIFS(Input_Konektivitas!$D$3:$D$563,Input_Konektivitas!$A$3:$A$563,$A21,Input_Konektivitas!$B$3:$B$563,AA$3)+SUMIFS(Input_Konektivitas!$D$3:$D$563,Input_Konektivitas!$A$3:$A$563,AA$3,Input_Konektivitas!$B$3:$B$563,$A21))</f>
        <v>6.75</v>
      </c>
      <c r="AB21" s="27">
        <f>IF((COUNTIFS(Input_Konektivitas!$A$3:$A$563,$A21,Input_Konektivitas!$B$3:$B$563,AB$3,Input_Konektivitas!$D$3:$D$563,"&gt;0")+COUNTIFS(Input_Konektivitas!$A$3:$A$563,AB$3,Input_Konektivitas!$B$3:$B$563,$A21,Input_Konektivitas!$D$3:$D$563,"&gt;0"))=0,"",SUMIFS(Input_Konektivitas!$D$3:$D$563,Input_Konektivitas!$A$3:$A$563,$A21,Input_Konektivitas!$B$3:$B$563,AB$3)+SUMIFS(Input_Konektivitas!$D$3:$D$563,Input_Konektivitas!$A$3:$A$563,AB$3,Input_Konektivitas!$B$3:$B$563,$A21))</f>
        <v>1.166</v>
      </c>
      <c r="AC21" s="27">
        <f>IF((COUNTIFS(Input_Konektivitas!$A$3:$A$563,$A21,Input_Konektivitas!$B$3:$B$563,AC$3,Input_Konektivitas!$D$3:$D$563,"&gt;0")+COUNTIFS(Input_Konektivitas!$A$3:$A$563,AC$3,Input_Konektivitas!$B$3:$B$563,$A21,Input_Konektivitas!$D$3:$D$563,"&gt;0"))=0,"",SUMIFS(Input_Konektivitas!$D$3:$D$563,Input_Konektivitas!$A$3:$A$563,$A21,Input_Konektivitas!$B$3:$B$563,AC$3)+SUMIFS(Input_Konektivitas!$D$3:$D$563,Input_Konektivitas!$A$3:$A$563,AC$3,Input_Konektivitas!$B$3:$B$563,$A21))</f>
        <v>6.75</v>
      </c>
      <c r="AD21" s="27">
        <f>IF((COUNTIFS(Input_Konektivitas!$A$3:$A$563,$A21,Input_Konektivitas!$B$3:$B$563,AD$3,Input_Konektivitas!$D$3:$D$563,"&gt;0")+COUNTIFS(Input_Konektivitas!$A$3:$A$563,AD$3,Input_Konektivitas!$B$3:$B$563,$A21,Input_Konektivitas!$D$3:$D$563,"&gt;0"))=0,"",SUMIFS(Input_Konektivitas!$D$3:$D$563,Input_Konektivitas!$A$3:$A$563,$A21,Input_Konektivitas!$B$3:$B$563,AD$3)+SUMIFS(Input_Konektivitas!$D$3:$D$563,Input_Konektivitas!$A$3:$A$563,AD$3,Input_Konektivitas!$B$3:$B$563,$A21))</f>
        <v>8.166</v>
      </c>
      <c r="AE21" s="27">
        <f>IF((COUNTIFS(Input_Konektivitas!$A$3:$A$563,$A21,Input_Konektivitas!$B$3:$B$563,AE$3,Input_Konektivitas!$D$3:$D$563,"&gt;0")+COUNTIFS(Input_Konektivitas!$A$3:$A$563,AE$3,Input_Konektivitas!$B$3:$B$563,$A21,Input_Konektivitas!$D$3:$D$563,"&gt;0"))=0,"",SUMIFS(Input_Konektivitas!$D$3:$D$563,Input_Konektivitas!$A$3:$A$563,$A21,Input_Konektivitas!$B$3:$B$563,AE$3)+SUMIFS(Input_Konektivitas!$D$3:$D$563,Input_Konektivitas!$A$3:$A$563,AE$3,Input_Konektivitas!$B$3:$B$563,$A21))</f>
        <v>8.5833</v>
      </c>
      <c r="AF21" s="27">
        <f>IF((COUNTIFS(Input_Konektivitas!$A$3:$A$563,$A21,Input_Konektivitas!$B$3:$B$563,AF$3,Input_Konektivitas!$D$3:$D$563,"&gt;0")+COUNTIFS(Input_Konektivitas!$A$3:$A$563,AF$3,Input_Konektivitas!$B$3:$B$563,$A21,Input_Konektivitas!$D$3:$D$563,"&gt;0"))=0,"",SUMIFS(Input_Konektivitas!$D$3:$D$563,Input_Konektivitas!$A$3:$A$563,$A21,Input_Konektivitas!$B$3:$B$563,AF$3)+SUMIFS(Input_Konektivitas!$D$3:$D$563,Input_Konektivitas!$A$3:$A$563,AF$3,Input_Konektivitas!$B$3:$B$563,$A21))</f>
        <v>9.25</v>
      </c>
      <c r="AG21" s="27">
        <f>IF((COUNTIFS(Input_Konektivitas!$A$3:$A$563,$A21,Input_Konektivitas!$B$3:$B$563,AG$3,Input_Konektivitas!$D$3:$D$563,"&gt;0")+COUNTIFS(Input_Konektivitas!$A$3:$A$563,AG$3,Input_Konektivitas!$B$3:$B$563,$A21,Input_Konektivitas!$D$3:$D$563,"&gt;0"))=0,"",SUMIFS(Input_Konektivitas!$D$3:$D$563,Input_Konektivitas!$A$3:$A$563,$A21,Input_Konektivitas!$B$3:$B$563,AG$3)+SUMIFS(Input_Konektivitas!$D$3:$D$563,Input_Konektivitas!$A$3:$A$563,AG$3,Input_Konektivitas!$B$3:$B$563,$A21))</f>
        <v>9.33</v>
      </c>
      <c r="AH21" s="27">
        <f>IF((COUNTIFS(Input_Konektivitas!$A$3:$A$563,$A21,Input_Konektivitas!$B$3:$B$563,AH$3,Input_Konektivitas!$D$3:$D$563,"&gt;0")+COUNTIFS(Input_Konektivitas!$A$3:$A$563,AH$3,Input_Konektivitas!$B$3:$B$563,$A21,Input_Konektivitas!$D$3:$D$563,"&gt;0"))=0,"",SUMIFS(Input_Konektivitas!$D$3:$D$563,Input_Konektivitas!$A$3:$A$563,$A21,Input_Konektivitas!$B$3:$B$563,AH$3)+SUMIFS(Input_Konektivitas!$D$3:$D$563,Input_Konektivitas!$A$3:$A$563,AH$3,Input_Konektivitas!$B$3:$B$563,$A21))</f>
        <v>12</v>
      </c>
      <c r="AI21" s="27">
        <f>IF((COUNTIFS(Input_Konektivitas!$A$3:$A$563,$A21,Input_Konektivitas!$B$3:$B$563,AI$3,Input_Konektivitas!$D$3:$D$563,"&gt;0")+COUNTIFS(Input_Konektivitas!$A$3:$A$563,AI$3,Input_Konektivitas!$B$3:$B$563,$A21,Input_Konektivitas!$D$3:$D$563,"&gt;0"))=0,"",SUMIFS(Input_Konektivitas!$D$3:$D$563,Input_Konektivitas!$A$3:$A$563,$A21,Input_Konektivitas!$B$3:$B$563,AI$3)+SUMIFS(Input_Konektivitas!$D$3:$D$563,Input_Konektivitas!$A$3:$A$563,AI$3,Input_Konektivitas!$B$3:$B$563,$A21))</f>
        <v>10.916</v>
      </c>
    </row>
    <row r="22" ht="14.25" customHeight="1">
      <c r="A22" s="22" t="s">
        <v>55</v>
      </c>
      <c r="B22" s="27">
        <f>IF((COUNTIFS(Input_Konektivitas!$A$3:$A$563,$A22,Input_Konektivitas!$B$3:$B$563,B$3,Input_Konektivitas!$D$3:$D$563,"&gt;0")+COUNTIFS(Input_Konektivitas!$A$3:$A$563,B$3,Input_Konektivitas!$B$3:$B$563,$A22,Input_Konektivitas!$D$3:$D$563,"&gt;0"))=0,"",SUMIFS(Input_Konektivitas!$D$3:$D$563,Input_Konektivitas!$A$3:$A$563,$A22,Input_Konektivitas!$B$3:$B$563,B$3)+SUMIFS(Input_Konektivitas!$D$3:$D$563,Input_Konektivitas!$A$3:$A$563,B$3,Input_Konektivitas!$B$3:$B$563,$A22))</f>
        <v>12.25</v>
      </c>
      <c r="C22" s="27">
        <f>IF((COUNTIFS(Input_Konektivitas!$A$3:$A$563,$A22,Input_Konektivitas!$B$3:$B$563,C$3,Input_Konektivitas!$D$3:$D$563,"&gt;0")+COUNTIFS(Input_Konektivitas!$A$3:$A$563,C$3,Input_Konektivitas!$B$3:$B$563,$A22,Input_Konektivitas!$D$3:$D$563,"&gt;0"))=0,"",SUMIFS(Input_Konektivitas!$D$3:$D$563,Input_Konektivitas!$A$3:$A$563,$A22,Input_Konektivitas!$B$3:$B$563,C$3)+SUMIFS(Input_Konektivitas!$D$3:$D$563,Input_Konektivitas!$A$3:$A$563,C$3,Input_Konektivitas!$B$3:$B$563,$A22))</f>
        <v>10.17</v>
      </c>
      <c r="D22" s="27">
        <f>IF((COUNTIFS(Input_Konektivitas!$A$3:$A$563,$A22,Input_Konektivitas!$B$3:$B$563,D$3,Input_Konektivitas!$D$3:$D$563,"&gt;0")+COUNTIFS(Input_Konektivitas!$A$3:$A$563,D$3,Input_Konektivitas!$B$3:$B$563,$A22,Input_Konektivitas!$D$3:$D$563,"&gt;0"))=0,"",SUMIFS(Input_Konektivitas!$D$3:$D$563,Input_Konektivitas!$A$3:$A$563,$A22,Input_Konektivitas!$B$3:$B$563,D$3)+SUMIFS(Input_Konektivitas!$D$3:$D$563,Input_Konektivitas!$A$3:$A$563,D$3,Input_Konektivitas!$B$3:$B$563,$A22))</f>
        <v>8.92</v>
      </c>
      <c r="E22" s="27">
        <f>IF((COUNTIFS(Input_Konektivitas!$A$3:$A$563,$A22,Input_Konektivitas!$B$3:$B$563,E$3,Input_Konektivitas!$D$3:$D$563,"&gt;0")+COUNTIFS(Input_Konektivitas!$A$3:$A$563,E$3,Input_Konektivitas!$B$3:$B$563,$A22,Input_Konektivitas!$D$3:$D$563,"&gt;0"))=0,"",SUMIFS(Input_Konektivitas!$D$3:$D$563,Input_Konektivitas!$A$3:$A$563,$A22,Input_Konektivitas!$B$3:$B$563,E$3)+SUMIFS(Input_Konektivitas!$D$3:$D$563,Input_Konektivitas!$A$3:$A$563,E$3,Input_Konektivitas!$B$3:$B$563,$A22))</f>
        <v>7.08</v>
      </c>
      <c r="F22" s="27">
        <f>IF((COUNTIFS(Input_Konektivitas!$A$3:$A$563,$A22,Input_Konektivitas!$B$3:$B$563,F$3,Input_Konektivitas!$D$3:$D$563,"&gt;0")+COUNTIFS(Input_Konektivitas!$A$3:$A$563,F$3,Input_Konektivitas!$B$3:$B$563,$A22,Input_Konektivitas!$D$3:$D$563,"&gt;0"))=0,"",SUMIFS(Input_Konektivitas!$D$3:$D$563,Input_Konektivitas!$A$3:$A$563,$A22,Input_Konektivitas!$B$3:$B$563,F$3)+SUMIFS(Input_Konektivitas!$D$3:$D$563,Input_Konektivitas!$A$3:$A$563,F$3,Input_Konektivitas!$B$3:$B$563,$A22))</f>
        <v>7.17</v>
      </c>
      <c r="G22" s="27">
        <f>IF((COUNTIFS(Input_Konektivitas!$A$3:$A$563,$A22,Input_Konektivitas!$B$3:$B$563,G$3,Input_Konektivitas!$D$3:$D$563,"&gt;0")+COUNTIFS(Input_Konektivitas!$A$3:$A$563,G$3,Input_Konektivitas!$B$3:$B$563,$A22,Input_Konektivitas!$D$3:$D$563,"&gt;0"))=0,"",SUMIFS(Input_Konektivitas!$D$3:$D$563,Input_Konektivitas!$A$3:$A$563,$A22,Input_Konektivitas!$B$3:$B$563,G$3)+SUMIFS(Input_Konektivitas!$D$3:$D$563,Input_Konektivitas!$A$3:$A$563,G$3,Input_Konektivitas!$B$3:$B$563,$A22))</f>
        <v>8.58</v>
      </c>
      <c r="H22" s="27">
        <f>IF((COUNTIFS(Input_Konektivitas!$A$3:$A$563,$A22,Input_Konektivitas!$B$3:$B$563,H$3,Input_Konektivitas!$D$3:$D$563,"&gt;0")+COUNTIFS(Input_Konektivitas!$A$3:$A$563,H$3,Input_Konektivitas!$B$3:$B$563,$A22,Input_Konektivitas!$D$3:$D$563,"&gt;0"))=0,"",SUMIFS(Input_Konektivitas!$D$3:$D$563,Input_Konektivitas!$A$3:$A$563,$A22,Input_Konektivitas!$B$3:$B$563,H$3)+SUMIFS(Input_Konektivitas!$D$3:$D$563,Input_Konektivitas!$A$3:$A$563,H$3,Input_Konektivitas!$B$3:$B$563,$A22))</f>
        <v>7.25</v>
      </c>
      <c r="I22" s="27">
        <f>IF((COUNTIFS(Input_Konektivitas!$A$3:$A$563,$A22,Input_Konektivitas!$B$3:$B$563,I$3,Input_Konektivitas!$D$3:$D$563,"&gt;0")+COUNTIFS(Input_Konektivitas!$A$3:$A$563,I$3,Input_Konektivitas!$B$3:$B$563,$A22,Input_Konektivitas!$D$3:$D$563,"&gt;0"))=0,"",SUMIFS(Input_Konektivitas!$D$3:$D$563,Input_Konektivitas!$A$3:$A$563,$A22,Input_Konektivitas!$B$3:$B$563,I$3)+SUMIFS(Input_Konektivitas!$D$3:$D$563,Input_Konektivitas!$A$3:$A$563,I$3,Input_Konektivitas!$B$3:$B$563,$A22))</f>
        <v>11.92</v>
      </c>
      <c r="J22" s="27">
        <f>IF((COUNTIFS(Input_Konektivitas!$A$3:$A$563,$A22,Input_Konektivitas!$B$3:$B$563,J$3,Input_Konektivitas!$D$3:$D$563,"&gt;0")+COUNTIFS(Input_Konektivitas!$A$3:$A$563,J$3,Input_Konektivitas!$B$3:$B$563,$A22,Input_Konektivitas!$D$3:$D$563,"&gt;0"))=0,"",SUMIFS(Input_Konektivitas!$D$3:$D$563,Input_Konektivitas!$A$3:$A$563,$A22,Input_Konektivitas!$B$3:$B$563,J$3)+SUMIFS(Input_Konektivitas!$D$3:$D$563,Input_Konektivitas!$A$3:$A$563,J$3,Input_Konektivitas!$B$3:$B$563,$A22))</f>
        <v>7.08333333</v>
      </c>
      <c r="K22" s="27">
        <f>IF((COUNTIFS(Input_Konektivitas!$A$3:$A$563,$A22,Input_Konektivitas!$B$3:$B$563,K$3,Input_Konektivitas!$D$3:$D$563,"&gt;0")+COUNTIFS(Input_Konektivitas!$A$3:$A$563,K$3,Input_Konektivitas!$B$3:$B$563,$A22,Input_Konektivitas!$D$3:$D$563,"&gt;0"))=0,"",SUMIFS(Input_Konektivitas!$D$3:$D$563,Input_Konektivitas!$A$3:$A$563,$A22,Input_Konektivitas!$B$3:$B$563,K$3)+SUMIFS(Input_Konektivitas!$D$3:$D$563,Input_Konektivitas!$A$3:$A$563,K$3,Input_Konektivitas!$B$3:$B$563,$A22))</f>
        <v>7.08</v>
      </c>
      <c r="L22" s="27">
        <f>IF((COUNTIFS(Input_Konektivitas!$A$3:$A$563,$A22,Input_Konektivitas!$B$3:$B$563,L$3,Input_Konektivitas!$D$3:$D$563,"&gt;0")+COUNTIFS(Input_Konektivitas!$A$3:$A$563,L$3,Input_Konektivitas!$B$3:$B$563,$A22,Input_Konektivitas!$D$3:$D$563,"&gt;0"))=0,"",SUMIFS(Input_Konektivitas!$D$3:$D$563,Input_Konektivitas!$A$3:$A$563,$A22,Input_Konektivitas!$B$3:$B$563,L$3)+SUMIFS(Input_Konektivitas!$D$3:$D$563,Input_Konektivitas!$A$3:$A$563,L$3,Input_Konektivitas!$B$3:$B$563,$A22))</f>
        <v>2.25</v>
      </c>
      <c r="M22" s="27">
        <f>IF((COUNTIFS(Input_Konektivitas!$A$3:$A$563,$A22,Input_Konektivitas!$B$3:$B$563,M$3,Input_Konektivitas!$D$3:$D$563,"&gt;0")+COUNTIFS(Input_Konektivitas!$A$3:$A$563,M$3,Input_Konektivitas!$B$3:$B$563,$A22,Input_Konektivitas!$D$3:$D$563,"&gt;0"))=0,"",SUMIFS(Input_Konektivitas!$D$3:$D$563,Input_Konektivitas!$A$3:$A$563,$A22,Input_Konektivitas!$B$3:$B$563,M$3)+SUMIFS(Input_Konektivitas!$D$3:$D$563,Input_Konektivitas!$A$3:$A$563,M$3,Input_Konektivitas!$B$3:$B$563,$A22))</f>
        <v>6</v>
      </c>
      <c r="N22" s="27">
        <f>IF((COUNTIFS(Input_Konektivitas!$A$3:$A$563,$A22,Input_Konektivitas!$B$3:$B$563,N$3,Input_Konektivitas!$D$3:$D$563,"&gt;0")+COUNTIFS(Input_Konektivitas!$A$3:$A$563,N$3,Input_Konektivitas!$B$3:$B$563,$A22,Input_Konektivitas!$D$3:$D$563,"&gt;0"))=0,"",SUMIFS(Input_Konektivitas!$D$3:$D$563,Input_Konektivitas!$A$3:$A$563,$A22,Input_Konektivitas!$B$3:$B$563,N$3)+SUMIFS(Input_Konektivitas!$D$3:$D$563,Input_Konektivitas!$A$3:$A$563,N$3,Input_Konektivitas!$B$3:$B$563,$A22))</f>
        <v>4.83</v>
      </c>
      <c r="O22" s="27">
        <f>IF((COUNTIFS(Input_Konektivitas!$A$3:$A$563,$A22,Input_Konektivitas!$B$3:$B$563,O$3,Input_Konektivitas!$D$3:$D$563,"&gt;0")+COUNTIFS(Input_Konektivitas!$A$3:$A$563,O$3,Input_Konektivitas!$B$3:$B$563,$A22,Input_Konektivitas!$D$3:$D$563,"&gt;0"))=0,"",SUMIFS(Input_Konektivitas!$D$3:$D$563,Input_Konektivitas!$A$3:$A$563,$A22,Input_Konektivitas!$B$3:$B$563,O$3)+SUMIFS(Input_Konektivitas!$D$3:$D$563,Input_Konektivitas!$A$3:$A$563,O$3,Input_Konektivitas!$B$3:$B$563,$A22))</f>
        <v>4.92</v>
      </c>
      <c r="P22" s="27">
        <f>IF((COUNTIFS(Input_Konektivitas!$A$3:$A$563,$A22,Input_Konektivitas!$B$3:$B$563,P$3,Input_Konektivitas!$D$3:$D$563,"&gt;0")+COUNTIFS(Input_Konektivitas!$A$3:$A$563,P$3,Input_Konektivitas!$B$3:$B$563,$A22,Input_Konektivitas!$D$3:$D$563,"&gt;0"))=0,"",SUMIFS(Input_Konektivitas!$D$3:$D$563,Input_Konektivitas!$A$3:$A$563,$A22,Input_Konektivitas!$B$3:$B$563,P$3)+SUMIFS(Input_Konektivitas!$D$3:$D$563,Input_Konektivitas!$A$3:$A$563,P$3,Input_Konektivitas!$B$3:$B$563,$A22))</f>
        <v>1.5</v>
      </c>
      <c r="Q22" s="27" t="str">
        <f>IF((COUNTIFS(Input_Konektivitas!$A$3:$A$563,$A22,Input_Konektivitas!$B$3:$B$563,Q$3,Input_Konektivitas!$D$3:$D$563,"&gt;0")+COUNTIFS(Input_Konektivitas!$A$3:$A$563,Q$3,Input_Konektivitas!$B$3:$B$563,$A22,Input_Konektivitas!$D$3:$D$563,"&gt;0"))=0,"",SUMIFS(Input_Konektivitas!$D$3:$D$563,Input_Konektivitas!$A$3:$A$563,$A22,Input_Konektivitas!$B$3:$B$563,Q$3)+SUMIFS(Input_Konektivitas!$D$3:$D$563,Input_Konektivitas!$A$3:$A$563,Q$3,Input_Konektivitas!$B$3:$B$563,$A22))</f>
        <v/>
      </c>
      <c r="R22" s="27">
        <f>IF((COUNTIFS(Input_Konektivitas!$A$3:$A$563,$A22,Input_Konektivitas!$B$3:$B$563,R$3,Input_Konektivitas!$D$3:$D$563,"&gt;0")+COUNTIFS(Input_Konektivitas!$A$3:$A$563,R$3,Input_Konektivitas!$B$3:$B$563,$A22,Input_Konektivitas!$D$3:$D$563,"&gt;0"))=0,"",SUMIFS(Input_Konektivitas!$D$3:$D$563,Input_Konektivitas!$A$3:$A$563,$A22,Input_Konektivitas!$B$3:$B$563,R$3)+SUMIFS(Input_Konektivitas!$D$3:$D$563,Input_Konektivitas!$A$3:$A$563,R$3,Input_Konektivitas!$B$3:$B$563,$A22))</f>
        <v>1.0833</v>
      </c>
      <c r="S22" s="27">
        <f>IF((COUNTIFS(Input_Konektivitas!$A$3:$A$563,$A22,Input_Konektivitas!$B$3:$B$563,S$3,Input_Konektivitas!$D$3:$D$563,"&gt;0")+COUNTIFS(Input_Konektivitas!$A$3:$A$563,S$3,Input_Konektivitas!$B$3:$B$563,$A22,Input_Konektivitas!$D$3:$D$563,"&gt;0"))=0,"",SUMIFS(Input_Konektivitas!$D$3:$D$563,Input_Konektivitas!$A$3:$A$563,$A22,Input_Konektivitas!$B$3:$B$563,S$3)+SUMIFS(Input_Konektivitas!$D$3:$D$563,Input_Konektivitas!$A$3:$A$563,S$3,Input_Konektivitas!$B$3:$B$563,$A22))</f>
        <v>1.25</v>
      </c>
      <c r="T22" s="23">
        <v>0.0</v>
      </c>
      <c r="U22" s="27">
        <f>IF((COUNTIFS(Input_Konektivitas!$A$3:$A$563,$A22,Input_Konektivitas!$B$3:$B$563,U$3,Input_Konektivitas!$D$3:$D$563,"&gt;0")+COUNTIFS(Input_Konektivitas!$A$3:$A$563,U$3,Input_Konektivitas!$B$3:$B$563,$A22,Input_Konektivitas!$D$3:$D$563,"&gt;0"))=0,"",SUMIFS(Input_Konektivitas!$D$3:$D$563,Input_Konektivitas!$A$3:$A$563,$A22,Input_Konektivitas!$B$3:$B$563,U$3)+SUMIFS(Input_Konektivitas!$D$3:$D$563,Input_Konektivitas!$A$3:$A$563,U$3,Input_Konektivitas!$B$3:$B$563,$A22))</f>
        <v>4.5833</v>
      </c>
      <c r="V22" s="27">
        <f>IF((COUNTIFS(Input_Konektivitas!$A$3:$A$563,$A22,Input_Konektivitas!$B$3:$B$563,V$3,Input_Konektivitas!$D$3:$D$563,"&gt;0")+COUNTIFS(Input_Konektivitas!$A$3:$A$563,V$3,Input_Konektivitas!$B$3:$B$563,$A22,Input_Konektivitas!$D$3:$D$563,"&gt;0"))=0,"",SUMIFS(Input_Konektivitas!$D$3:$D$563,Input_Konektivitas!$A$3:$A$563,$A22,Input_Konektivitas!$B$3:$B$563,V$3)+SUMIFS(Input_Konektivitas!$D$3:$D$563,Input_Konektivitas!$A$3:$A$563,V$3,Input_Konektivitas!$B$3:$B$563,$A22))</f>
        <v>8.4166</v>
      </c>
      <c r="W22" s="27">
        <f>IF((COUNTIFS(Input_Konektivitas!$A$3:$A$563,$A22,Input_Konektivitas!$B$3:$B$563,W$3,Input_Konektivitas!$D$3:$D$563,"&gt;0")+COUNTIFS(Input_Konektivitas!$A$3:$A$563,W$3,Input_Konektivitas!$B$3:$B$563,$A22,Input_Konektivitas!$D$3:$D$563,"&gt;0"))=0,"",SUMIFS(Input_Konektivitas!$D$3:$D$563,Input_Konektivitas!$A$3:$A$563,$A22,Input_Konektivitas!$B$3:$B$563,W$3)+SUMIFS(Input_Konektivitas!$D$3:$D$563,Input_Konektivitas!$A$3:$A$563,W$3,Input_Konektivitas!$B$3:$B$563,$A22))</f>
        <v>5.25</v>
      </c>
      <c r="X22" s="27">
        <f>IF((COUNTIFS(Input_Konektivitas!$A$3:$A$563,$A22,Input_Konektivitas!$B$3:$B$563,X$3,Input_Konektivitas!$D$3:$D$563,"&gt;0")+COUNTIFS(Input_Konektivitas!$A$3:$A$563,X$3,Input_Konektivitas!$B$3:$B$563,$A22,Input_Konektivitas!$D$3:$D$563,"&gt;0"))=0,"",SUMIFS(Input_Konektivitas!$D$3:$D$563,Input_Konektivitas!$A$3:$A$563,$A22,Input_Konektivitas!$B$3:$B$563,X$3)+SUMIFS(Input_Konektivitas!$D$3:$D$563,Input_Konektivitas!$A$3:$A$563,X$3,Input_Konektivitas!$B$3:$B$563,$A22))</f>
        <v>3.75</v>
      </c>
      <c r="Y22" s="27">
        <f>IF((COUNTIFS(Input_Konektivitas!$A$3:$A$563,$A22,Input_Konektivitas!$B$3:$B$563,Y$3,Input_Konektivitas!$D$3:$D$563,"&gt;0")+COUNTIFS(Input_Konektivitas!$A$3:$A$563,Y$3,Input_Konektivitas!$B$3:$B$563,$A22,Input_Konektivitas!$D$3:$D$563,"&gt;0"))=0,"",SUMIFS(Input_Konektivitas!$D$3:$D$563,Input_Konektivitas!$A$3:$A$563,$A22,Input_Konektivitas!$B$3:$B$563,Y$3)+SUMIFS(Input_Konektivitas!$D$3:$D$563,Input_Konektivitas!$A$3:$A$563,Y$3,Input_Konektivitas!$B$3:$B$563,$A22))</f>
        <v>10</v>
      </c>
      <c r="Z22" s="27">
        <f>IF((COUNTIFS(Input_Konektivitas!$A$3:$A$563,$A22,Input_Konektivitas!$B$3:$B$563,Z$3,Input_Konektivitas!$D$3:$D$563,"&gt;0")+COUNTIFS(Input_Konektivitas!$A$3:$A$563,Z$3,Input_Konektivitas!$B$3:$B$563,$A22,Input_Konektivitas!$D$3:$D$563,"&gt;0"))=0,"",SUMIFS(Input_Konektivitas!$D$3:$D$563,Input_Konektivitas!$A$3:$A$563,$A22,Input_Konektivitas!$B$3:$B$563,Z$3)+SUMIFS(Input_Konektivitas!$D$3:$D$563,Input_Konektivitas!$A$3:$A$563,Z$3,Input_Konektivitas!$B$3:$B$563,$A22))</f>
        <v>6.5</v>
      </c>
      <c r="AA22" s="27">
        <f>IF((COUNTIFS(Input_Konektivitas!$A$3:$A$563,$A22,Input_Konektivitas!$B$3:$B$563,AA$3,Input_Konektivitas!$D$3:$D$563,"&gt;0")+COUNTIFS(Input_Konektivitas!$A$3:$A$563,AA$3,Input_Konektivitas!$B$3:$B$563,$A22,Input_Konektivitas!$D$3:$D$563,"&gt;0"))=0,"",SUMIFS(Input_Konektivitas!$D$3:$D$563,Input_Konektivitas!$A$3:$A$563,$A22,Input_Konektivitas!$B$3:$B$563,AA$3)+SUMIFS(Input_Konektivitas!$D$3:$D$563,Input_Konektivitas!$A$3:$A$563,AA$3,Input_Konektivitas!$B$3:$B$563,$A22))</f>
        <v>12.5</v>
      </c>
      <c r="AB22" s="27">
        <f>IF((COUNTIFS(Input_Konektivitas!$A$3:$A$563,$A22,Input_Konektivitas!$B$3:$B$563,AB$3,Input_Konektivitas!$D$3:$D$563,"&gt;0")+COUNTIFS(Input_Konektivitas!$A$3:$A$563,AB$3,Input_Konektivitas!$B$3:$B$563,$A22,Input_Konektivitas!$D$3:$D$563,"&gt;0"))=0,"",SUMIFS(Input_Konektivitas!$D$3:$D$563,Input_Konektivitas!$A$3:$A$563,$A22,Input_Konektivitas!$B$3:$B$563,AB$3)+SUMIFS(Input_Konektivitas!$D$3:$D$563,Input_Konektivitas!$A$3:$A$563,AB$3,Input_Konektivitas!$B$3:$B$563,$A22))</f>
        <v>1.666</v>
      </c>
      <c r="AC22" s="27">
        <f>IF((COUNTIFS(Input_Konektivitas!$A$3:$A$563,$A22,Input_Konektivitas!$B$3:$B$563,AC$3,Input_Konektivitas!$D$3:$D$563,"&gt;0")+COUNTIFS(Input_Konektivitas!$A$3:$A$563,AC$3,Input_Konektivitas!$B$3:$B$563,$A22,Input_Konektivitas!$D$3:$D$563,"&gt;0"))=0,"",SUMIFS(Input_Konektivitas!$D$3:$D$563,Input_Konektivitas!$A$3:$A$563,$A22,Input_Konektivitas!$B$3:$B$563,AC$3)+SUMIFS(Input_Konektivitas!$D$3:$D$563,Input_Konektivitas!$A$3:$A$563,AC$3,Input_Konektivitas!$B$3:$B$563,$A22))</f>
        <v>3.33</v>
      </c>
      <c r="AD22" s="27">
        <f>IF((COUNTIFS(Input_Konektivitas!$A$3:$A$563,$A22,Input_Konektivitas!$B$3:$B$563,AD$3,Input_Konektivitas!$D$3:$D$563,"&gt;0")+COUNTIFS(Input_Konektivitas!$A$3:$A$563,AD$3,Input_Konektivitas!$B$3:$B$563,$A22,Input_Konektivitas!$D$3:$D$563,"&gt;0"))=0,"",SUMIFS(Input_Konektivitas!$D$3:$D$563,Input_Konektivitas!$A$3:$A$563,$A22,Input_Konektivitas!$B$3:$B$563,AD$3)+SUMIFS(Input_Konektivitas!$D$3:$D$563,Input_Konektivitas!$A$3:$A$563,AD$3,Input_Konektivitas!$B$3:$B$563,$A22))</f>
        <v>19.33</v>
      </c>
      <c r="AE22" s="27">
        <f>IF((COUNTIFS(Input_Konektivitas!$A$3:$A$563,$A22,Input_Konektivitas!$B$3:$B$563,AE$3,Input_Konektivitas!$D$3:$D$563,"&gt;0")+COUNTIFS(Input_Konektivitas!$A$3:$A$563,AE$3,Input_Konektivitas!$B$3:$B$563,$A22,Input_Konektivitas!$D$3:$D$563,"&gt;0"))=0,"",SUMIFS(Input_Konektivitas!$D$3:$D$563,Input_Konektivitas!$A$3:$A$563,$A22,Input_Konektivitas!$B$3:$B$563,AE$3)+SUMIFS(Input_Konektivitas!$D$3:$D$563,Input_Konektivitas!$A$3:$A$563,AE$3,Input_Konektivitas!$B$3:$B$563,$A22))</f>
        <v>19.33</v>
      </c>
      <c r="AF22" s="27">
        <f>IF((COUNTIFS(Input_Konektivitas!$A$3:$A$563,$A22,Input_Konektivitas!$B$3:$B$563,AF$3,Input_Konektivitas!$D$3:$D$563,"&gt;0")+COUNTIFS(Input_Konektivitas!$A$3:$A$563,AF$3,Input_Konektivitas!$B$3:$B$563,$A22,Input_Konektivitas!$D$3:$D$563,"&gt;0"))=0,"",SUMIFS(Input_Konektivitas!$D$3:$D$563,Input_Konektivitas!$A$3:$A$563,$A22,Input_Konektivitas!$B$3:$B$563,AF$3)+SUMIFS(Input_Konektivitas!$D$3:$D$563,Input_Konektivitas!$A$3:$A$563,AF$3,Input_Konektivitas!$B$3:$B$563,$A22))</f>
        <v>10.416</v>
      </c>
      <c r="AG22" s="27">
        <f>IF((COUNTIFS(Input_Konektivitas!$A$3:$A$563,$A22,Input_Konektivitas!$B$3:$B$563,AG$3,Input_Konektivitas!$D$3:$D$563,"&gt;0")+COUNTIFS(Input_Konektivitas!$A$3:$A$563,AG$3,Input_Konektivitas!$B$3:$B$563,$A22,Input_Konektivitas!$D$3:$D$563,"&gt;0"))=0,"",SUMIFS(Input_Konektivitas!$D$3:$D$563,Input_Konektivitas!$A$3:$A$563,$A22,Input_Konektivitas!$B$3:$B$563,AG$3)+SUMIFS(Input_Konektivitas!$D$3:$D$563,Input_Konektivitas!$A$3:$A$563,AG$3,Input_Konektivitas!$B$3:$B$563,$A22))</f>
        <v>5.25</v>
      </c>
      <c r="AH22" s="27">
        <f>IF((COUNTIFS(Input_Konektivitas!$A$3:$A$563,$A22,Input_Konektivitas!$B$3:$B$563,AH$3,Input_Konektivitas!$D$3:$D$563,"&gt;0")+COUNTIFS(Input_Konektivitas!$A$3:$A$563,AH$3,Input_Konektivitas!$B$3:$B$563,$A22,Input_Konektivitas!$D$3:$D$563,"&gt;0"))=0,"",SUMIFS(Input_Konektivitas!$D$3:$D$563,Input_Konektivitas!$A$3:$A$563,$A22,Input_Konektivitas!$B$3:$B$563,AH$3)+SUMIFS(Input_Konektivitas!$D$3:$D$563,Input_Konektivitas!$A$3:$A$563,AH$3,Input_Konektivitas!$B$3:$B$563,$A22))</f>
        <v>11.33</v>
      </c>
      <c r="AI22" s="27">
        <f>IF((COUNTIFS(Input_Konektivitas!$A$3:$A$563,$A22,Input_Konektivitas!$B$3:$B$563,AI$3,Input_Konektivitas!$D$3:$D$563,"&gt;0")+COUNTIFS(Input_Konektivitas!$A$3:$A$563,AI$3,Input_Konektivitas!$B$3:$B$563,$A22,Input_Konektivitas!$D$3:$D$563,"&gt;0"))=0,"",SUMIFS(Input_Konektivitas!$D$3:$D$563,Input_Konektivitas!$A$3:$A$563,$A22,Input_Konektivitas!$B$3:$B$563,AI$3)+SUMIFS(Input_Konektivitas!$D$3:$D$563,Input_Konektivitas!$A$3:$A$563,AI$3,Input_Konektivitas!$B$3:$B$563,$A22))</f>
        <v>11.5833</v>
      </c>
    </row>
    <row r="23" ht="14.25" customHeight="1">
      <c r="A23" s="22" t="s">
        <v>58</v>
      </c>
      <c r="B23" s="27">
        <f>IF((COUNTIFS(Input_Konektivitas!$A$3:$A$563,$A23,Input_Konektivitas!$B$3:$B$563,B$3,Input_Konektivitas!$D$3:$D$563,"&gt;0")+COUNTIFS(Input_Konektivitas!$A$3:$A$563,B$3,Input_Konektivitas!$B$3:$B$563,$A23,Input_Konektivitas!$D$3:$D$563,"&gt;0"))=0,"",SUMIFS(Input_Konektivitas!$D$3:$D$563,Input_Konektivitas!$A$3:$A$563,$A23,Input_Konektivitas!$B$3:$B$563,B$3)+SUMIFS(Input_Konektivitas!$D$3:$D$563,Input_Konektivitas!$A$3:$A$563,B$3,Input_Konektivitas!$B$3:$B$563,$A23))</f>
        <v>5.5</v>
      </c>
      <c r="C23" s="27">
        <f>IF((COUNTIFS(Input_Konektivitas!$A$3:$A$563,$A23,Input_Konektivitas!$B$3:$B$563,C$3,Input_Konektivitas!$D$3:$D$563,"&gt;0")+COUNTIFS(Input_Konektivitas!$A$3:$A$563,C$3,Input_Konektivitas!$B$3:$B$563,$A23,Input_Konektivitas!$D$3:$D$563,"&gt;0"))=0,"",SUMIFS(Input_Konektivitas!$D$3:$D$563,Input_Konektivitas!$A$3:$A$563,$A23,Input_Konektivitas!$B$3:$B$563,C$3)+SUMIFS(Input_Konektivitas!$D$3:$D$563,Input_Konektivitas!$A$3:$A$563,C$3,Input_Konektivitas!$B$3:$B$563,$A23))</f>
        <v>4.33</v>
      </c>
      <c r="D23" s="27">
        <f>IF((COUNTIFS(Input_Konektivitas!$A$3:$A$563,$A23,Input_Konektivitas!$B$3:$B$563,D$3,Input_Konektivitas!$D$3:$D$563,"&gt;0")+COUNTIFS(Input_Konektivitas!$A$3:$A$563,D$3,Input_Konektivitas!$B$3:$B$563,$A23,Input_Konektivitas!$D$3:$D$563,"&gt;0"))=0,"",SUMIFS(Input_Konektivitas!$D$3:$D$563,Input_Konektivitas!$A$3:$A$563,$A23,Input_Konektivitas!$B$3:$B$563,D$3)+SUMIFS(Input_Konektivitas!$D$3:$D$563,Input_Konektivitas!$A$3:$A$563,D$3,Input_Konektivitas!$B$3:$B$563,$A23))</f>
        <v>4.25</v>
      </c>
      <c r="E23" s="27">
        <f>IF((COUNTIFS(Input_Konektivitas!$A$3:$A$563,$A23,Input_Konektivitas!$B$3:$B$563,E$3,Input_Konektivitas!$D$3:$D$563,"&gt;0")+COUNTIFS(Input_Konektivitas!$A$3:$A$563,E$3,Input_Konektivitas!$B$3:$B$563,$A23,Input_Konektivitas!$D$3:$D$563,"&gt;0"))=0,"",SUMIFS(Input_Konektivitas!$D$3:$D$563,Input_Konektivitas!$A$3:$A$563,$A23,Input_Konektivitas!$B$3:$B$563,E$3)+SUMIFS(Input_Konektivitas!$D$3:$D$563,Input_Konektivitas!$A$3:$A$563,E$3,Input_Konektivitas!$B$3:$B$563,$A23))</f>
        <v>4.83</v>
      </c>
      <c r="F23" s="27">
        <f>IF((COUNTIFS(Input_Konektivitas!$A$3:$A$563,$A23,Input_Konektivitas!$B$3:$B$563,F$3,Input_Konektivitas!$D$3:$D$563,"&gt;0")+COUNTIFS(Input_Konektivitas!$A$3:$A$563,F$3,Input_Konektivitas!$B$3:$B$563,$A23,Input_Konektivitas!$D$3:$D$563,"&gt;0"))=0,"",SUMIFS(Input_Konektivitas!$D$3:$D$563,Input_Konektivitas!$A$3:$A$563,$A23,Input_Konektivitas!$B$3:$B$563,F$3)+SUMIFS(Input_Konektivitas!$D$3:$D$563,Input_Konektivitas!$A$3:$A$563,F$3,Input_Konektivitas!$B$3:$B$563,$A23))</f>
        <v>3.92</v>
      </c>
      <c r="G23" s="27">
        <f>IF((COUNTIFS(Input_Konektivitas!$A$3:$A$563,$A23,Input_Konektivitas!$B$3:$B$563,G$3,Input_Konektivitas!$D$3:$D$563,"&gt;0")+COUNTIFS(Input_Konektivitas!$A$3:$A$563,G$3,Input_Konektivitas!$B$3:$B$563,$A23,Input_Konektivitas!$D$3:$D$563,"&gt;0"))=0,"",SUMIFS(Input_Konektivitas!$D$3:$D$563,Input_Konektivitas!$A$3:$A$563,$A23,Input_Konektivitas!$B$3:$B$563,G$3)+SUMIFS(Input_Konektivitas!$D$3:$D$563,Input_Konektivitas!$A$3:$A$563,G$3,Input_Konektivitas!$B$3:$B$563,$A23))</f>
        <v>3.83</v>
      </c>
      <c r="H23" s="27">
        <f>IF((COUNTIFS(Input_Konektivitas!$A$3:$A$563,$A23,Input_Konektivitas!$B$3:$B$563,H$3,Input_Konektivitas!$D$3:$D$563,"&gt;0")+COUNTIFS(Input_Konektivitas!$A$3:$A$563,H$3,Input_Konektivitas!$B$3:$B$563,$A23,Input_Konektivitas!$D$3:$D$563,"&gt;0"))=0,"",SUMIFS(Input_Konektivitas!$D$3:$D$563,Input_Konektivitas!$A$3:$A$563,$A23,Input_Konektivitas!$B$3:$B$563,H$3)+SUMIFS(Input_Konektivitas!$D$3:$D$563,Input_Konektivitas!$A$3:$A$563,H$3,Input_Konektivitas!$B$3:$B$563,$A23))</f>
        <v>3.75</v>
      </c>
      <c r="I23" s="27">
        <f>IF((COUNTIFS(Input_Konektivitas!$A$3:$A$563,$A23,Input_Konektivitas!$B$3:$B$563,I$3,Input_Konektivitas!$D$3:$D$563,"&gt;0")+COUNTIFS(Input_Konektivitas!$A$3:$A$563,I$3,Input_Konektivitas!$B$3:$B$563,$A23,Input_Konektivitas!$D$3:$D$563,"&gt;0"))=0,"",SUMIFS(Input_Konektivitas!$D$3:$D$563,Input_Konektivitas!$A$3:$A$563,$A23,Input_Konektivitas!$B$3:$B$563,I$3)+SUMIFS(Input_Konektivitas!$D$3:$D$563,Input_Konektivitas!$A$3:$A$563,I$3,Input_Konektivitas!$B$3:$B$563,$A23))</f>
        <v>3.17</v>
      </c>
      <c r="J23" s="27">
        <f>IF((COUNTIFS(Input_Konektivitas!$A$3:$A$563,$A23,Input_Konektivitas!$B$3:$B$563,J$3,Input_Konektivitas!$D$3:$D$563,"&gt;0")+COUNTIFS(Input_Konektivitas!$A$3:$A$563,J$3,Input_Konektivitas!$B$3:$B$563,$A23,Input_Konektivitas!$D$3:$D$563,"&gt;0"))=0,"",SUMIFS(Input_Konektivitas!$D$3:$D$563,Input_Konektivitas!$A$3:$A$563,$A23,Input_Konektivitas!$B$3:$B$563,J$3)+SUMIFS(Input_Konektivitas!$D$3:$D$563,Input_Konektivitas!$A$3:$A$563,J$3,Input_Konektivitas!$B$3:$B$563,$A23))</f>
        <v>3</v>
      </c>
      <c r="K23" s="27">
        <f>IF((COUNTIFS(Input_Konektivitas!$A$3:$A$563,$A23,Input_Konektivitas!$B$3:$B$563,K$3,Input_Konektivitas!$D$3:$D$563,"&gt;0")+COUNTIFS(Input_Konektivitas!$A$3:$A$563,K$3,Input_Konektivitas!$B$3:$B$563,$A23,Input_Konektivitas!$D$3:$D$563,"&gt;0"))=0,"",SUMIFS(Input_Konektivitas!$D$3:$D$563,Input_Konektivitas!$A$3:$A$563,$A23,Input_Konektivitas!$B$3:$B$563,K$3)+SUMIFS(Input_Konektivitas!$D$3:$D$563,Input_Konektivitas!$A$3:$A$563,K$3,Input_Konektivitas!$B$3:$B$563,$A23))</f>
        <v>1.25</v>
      </c>
      <c r="L23" s="27">
        <f>IF((COUNTIFS(Input_Konektivitas!$A$3:$A$563,$A23,Input_Konektivitas!$B$3:$B$563,L$3,Input_Konektivitas!$D$3:$D$563,"&gt;0")+COUNTIFS(Input_Konektivitas!$A$3:$A$563,L$3,Input_Konektivitas!$B$3:$B$563,$A23,Input_Konektivitas!$D$3:$D$563,"&gt;0"))=0,"",SUMIFS(Input_Konektivitas!$D$3:$D$563,Input_Konektivitas!$A$3:$A$563,$A23,Input_Konektivitas!$B$3:$B$563,L$3)+SUMIFS(Input_Konektivitas!$D$3:$D$563,Input_Konektivitas!$A$3:$A$563,L$3,Input_Konektivitas!$B$3:$B$563,$A23))</f>
        <v>1.42</v>
      </c>
      <c r="M23" s="27">
        <f>IF((COUNTIFS(Input_Konektivitas!$A$3:$A$563,$A23,Input_Konektivitas!$B$3:$B$563,M$3,Input_Konektivitas!$D$3:$D$563,"&gt;0")+COUNTIFS(Input_Konektivitas!$A$3:$A$563,M$3,Input_Konektivitas!$B$3:$B$563,$A23,Input_Konektivitas!$D$3:$D$563,"&gt;0"))=0,"",SUMIFS(Input_Konektivitas!$D$3:$D$563,Input_Konektivitas!$A$3:$A$563,$A23,Input_Konektivitas!$B$3:$B$563,M$3)+SUMIFS(Input_Konektivitas!$D$3:$D$563,Input_Konektivitas!$A$3:$A$563,M$3,Input_Konektivitas!$B$3:$B$563,$A23))</f>
        <v>18.75</v>
      </c>
      <c r="N23" s="27">
        <f>IF((COUNTIFS(Input_Konektivitas!$A$3:$A$563,$A23,Input_Konektivitas!$B$3:$B$563,N$3,Input_Konektivitas!$D$3:$D$563,"&gt;0")+COUNTIFS(Input_Konektivitas!$A$3:$A$563,N$3,Input_Konektivitas!$B$3:$B$563,$A23,Input_Konektivitas!$D$3:$D$563,"&gt;0"))=0,"",SUMIFS(Input_Konektivitas!$D$3:$D$563,Input_Konektivitas!$A$3:$A$563,$A23,Input_Konektivitas!$B$3:$B$563,N$3)+SUMIFS(Input_Konektivitas!$D$3:$D$563,Input_Konektivitas!$A$3:$A$563,N$3,Input_Konektivitas!$B$3:$B$563,$A23))</f>
        <v>1.5</v>
      </c>
      <c r="O23" s="27">
        <f>IF((COUNTIFS(Input_Konektivitas!$A$3:$A$563,$A23,Input_Konektivitas!$B$3:$B$563,O$3,Input_Konektivitas!$D$3:$D$563,"&gt;0")+COUNTIFS(Input_Konektivitas!$A$3:$A$563,O$3,Input_Konektivitas!$B$3:$B$563,$A23,Input_Konektivitas!$D$3:$D$563,"&gt;0"))=0,"",SUMIFS(Input_Konektivitas!$D$3:$D$563,Input_Konektivitas!$A$3:$A$563,$A23,Input_Konektivitas!$B$3:$B$563,O$3)+SUMIFS(Input_Konektivitas!$D$3:$D$563,Input_Konektivitas!$A$3:$A$563,O$3,Input_Konektivitas!$B$3:$B$563,$A23))</f>
        <v>1.83</v>
      </c>
      <c r="P23" s="27">
        <f>IF((COUNTIFS(Input_Konektivitas!$A$3:$A$563,$A23,Input_Konektivitas!$B$3:$B$563,P$3,Input_Konektivitas!$D$3:$D$563,"&gt;0")+COUNTIFS(Input_Konektivitas!$A$3:$A$563,P$3,Input_Konektivitas!$B$3:$B$563,$A23,Input_Konektivitas!$D$3:$D$563,"&gt;0"))=0,"",SUMIFS(Input_Konektivitas!$D$3:$D$563,Input_Konektivitas!$A$3:$A$563,$A23,Input_Konektivitas!$B$3:$B$563,P$3)+SUMIFS(Input_Konektivitas!$D$3:$D$563,Input_Konektivitas!$A$3:$A$563,P$3,Input_Konektivitas!$B$3:$B$563,$A23))</f>
        <v>1.67</v>
      </c>
      <c r="Q23" s="27" t="str">
        <f>IF((COUNTIFS(Input_Konektivitas!$A$3:$A$563,$A23,Input_Konektivitas!$B$3:$B$563,Q$3,Input_Konektivitas!$D$3:$D$563,"&gt;0")+COUNTIFS(Input_Konektivitas!$A$3:$A$563,Q$3,Input_Konektivitas!$B$3:$B$563,$A23,Input_Konektivitas!$D$3:$D$563,"&gt;0"))=0,"",SUMIFS(Input_Konektivitas!$D$3:$D$563,Input_Konektivitas!$A$3:$A$563,$A23,Input_Konektivitas!$B$3:$B$563,Q$3)+SUMIFS(Input_Konektivitas!$D$3:$D$563,Input_Konektivitas!$A$3:$A$563,Q$3,Input_Konektivitas!$B$3:$B$563,$A23))</f>
        <v/>
      </c>
      <c r="R23" s="27">
        <f>IF((COUNTIFS(Input_Konektivitas!$A$3:$A$563,$A23,Input_Konektivitas!$B$3:$B$563,R$3,Input_Konektivitas!$D$3:$D$563,"&gt;0")+COUNTIFS(Input_Konektivitas!$A$3:$A$563,R$3,Input_Konektivitas!$B$3:$B$563,$A23,Input_Konektivitas!$D$3:$D$563,"&gt;0"))=0,"",SUMIFS(Input_Konektivitas!$D$3:$D$563,Input_Konektivitas!$A$3:$A$563,$A23,Input_Konektivitas!$B$3:$B$563,R$3)+SUMIFS(Input_Konektivitas!$D$3:$D$563,Input_Konektivitas!$A$3:$A$563,R$3,Input_Konektivitas!$B$3:$B$563,$A23))</f>
        <v>2.083</v>
      </c>
      <c r="S23" s="27">
        <f>IF((COUNTIFS(Input_Konektivitas!$A$3:$A$563,$A23,Input_Konektivitas!$B$3:$B$563,S$3,Input_Konektivitas!$D$3:$D$563,"&gt;0")+COUNTIFS(Input_Konektivitas!$A$3:$A$563,S$3,Input_Konektivitas!$B$3:$B$563,$A23,Input_Konektivitas!$D$3:$D$563,"&gt;0"))=0,"",SUMIFS(Input_Konektivitas!$D$3:$D$563,Input_Konektivitas!$A$3:$A$563,$A23,Input_Konektivitas!$B$3:$B$563,S$3)+SUMIFS(Input_Konektivitas!$D$3:$D$563,Input_Konektivitas!$A$3:$A$563,S$3,Input_Konektivitas!$B$3:$B$563,$A23))</f>
        <v>4.916</v>
      </c>
      <c r="T23" s="27">
        <f>IF((COUNTIFS(Input_Konektivitas!$A$3:$A$563,$A23,Input_Konektivitas!$B$3:$B$563,T$3,Input_Konektivitas!$D$3:$D$563,"&gt;0")+COUNTIFS(Input_Konektivitas!$A$3:$A$563,T$3,Input_Konektivitas!$B$3:$B$563,$A23,Input_Konektivitas!$D$3:$D$563,"&gt;0"))=0,"",SUMIFS(Input_Konektivitas!$D$3:$D$563,Input_Konektivitas!$A$3:$A$563,$A23,Input_Konektivitas!$B$3:$B$563,T$3)+SUMIFS(Input_Konektivitas!$D$3:$D$563,Input_Konektivitas!$A$3:$A$563,T$3,Input_Konektivitas!$B$3:$B$563,$A23))</f>
        <v>4.5833</v>
      </c>
      <c r="U23" s="23">
        <v>0.0</v>
      </c>
      <c r="V23" s="27">
        <f>IF((COUNTIFS(Input_Konektivitas!$A$3:$A$563,$A23,Input_Konektivitas!$B$3:$B$563,V$3,Input_Konektivitas!$D$3:$D$563,"&gt;0")+COUNTIFS(Input_Konektivitas!$A$3:$A$563,V$3,Input_Konektivitas!$B$3:$B$563,$A23,Input_Konektivitas!$D$3:$D$563,"&gt;0"))=0,"",SUMIFS(Input_Konektivitas!$D$3:$D$563,Input_Konektivitas!$A$3:$A$563,$A23,Input_Konektivitas!$B$3:$B$563,V$3)+SUMIFS(Input_Konektivitas!$D$3:$D$563,Input_Konektivitas!$A$3:$A$563,V$3,Input_Konektivitas!$B$3:$B$563,$A23))</f>
        <v>4.0833</v>
      </c>
      <c r="W23" s="27">
        <f>IF((COUNTIFS(Input_Konektivitas!$A$3:$A$563,$A23,Input_Konektivitas!$B$3:$B$563,W$3,Input_Konektivitas!$D$3:$D$563,"&gt;0")+COUNTIFS(Input_Konektivitas!$A$3:$A$563,W$3,Input_Konektivitas!$B$3:$B$563,$A23,Input_Konektivitas!$D$3:$D$563,"&gt;0"))=0,"",SUMIFS(Input_Konektivitas!$D$3:$D$563,Input_Konektivitas!$A$3:$A$563,$A23,Input_Konektivitas!$B$3:$B$563,W$3)+SUMIFS(Input_Konektivitas!$D$3:$D$563,Input_Konektivitas!$A$3:$A$563,W$3,Input_Konektivitas!$B$3:$B$563,$A23))</f>
        <v>4.33</v>
      </c>
      <c r="X23" s="27">
        <f>IF((COUNTIFS(Input_Konektivitas!$A$3:$A$563,$A23,Input_Konektivitas!$B$3:$B$563,X$3,Input_Konektivitas!$D$3:$D$563,"&gt;0")+COUNTIFS(Input_Konektivitas!$A$3:$A$563,X$3,Input_Konektivitas!$B$3:$B$563,$A23,Input_Konektivitas!$D$3:$D$563,"&gt;0"))=0,"",SUMIFS(Input_Konektivitas!$D$3:$D$563,Input_Konektivitas!$A$3:$A$563,$A23,Input_Konektivitas!$B$3:$B$563,X$3)+SUMIFS(Input_Konektivitas!$D$3:$D$563,Input_Konektivitas!$A$3:$A$563,X$3,Input_Konektivitas!$B$3:$B$563,$A23))</f>
        <v>1.5833</v>
      </c>
      <c r="Y23" s="27">
        <f>IF((COUNTIFS(Input_Konektivitas!$A$3:$A$563,$A23,Input_Konektivitas!$B$3:$B$563,Y$3,Input_Konektivitas!$D$3:$D$563,"&gt;0")+COUNTIFS(Input_Konektivitas!$A$3:$A$563,Y$3,Input_Konektivitas!$B$3:$B$563,$A23,Input_Konektivitas!$D$3:$D$563,"&gt;0"))=0,"",SUMIFS(Input_Konektivitas!$D$3:$D$563,Input_Konektivitas!$A$3:$A$563,$A23,Input_Konektivitas!$B$3:$B$563,Y$3)+SUMIFS(Input_Konektivitas!$D$3:$D$563,Input_Konektivitas!$A$3:$A$563,Y$3,Input_Konektivitas!$B$3:$B$563,$A23))</f>
        <v>5.33</v>
      </c>
      <c r="Z23" s="27">
        <f>IF((COUNTIFS(Input_Konektivitas!$A$3:$A$563,$A23,Input_Konektivitas!$B$3:$B$563,Z$3,Input_Konektivitas!$D$3:$D$563,"&gt;0")+COUNTIFS(Input_Konektivitas!$A$3:$A$563,Z$3,Input_Konektivitas!$B$3:$B$563,$A23,Input_Konektivitas!$D$3:$D$563,"&gt;0"))=0,"",SUMIFS(Input_Konektivitas!$D$3:$D$563,Input_Konektivitas!$A$3:$A$563,$A23,Input_Konektivitas!$B$3:$B$563,Z$3)+SUMIFS(Input_Konektivitas!$D$3:$D$563,Input_Konektivitas!$A$3:$A$563,Z$3,Input_Konektivitas!$B$3:$B$563,$A23))</f>
        <v>7.75</v>
      </c>
      <c r="AA23" s="27">
        <f>IF((COUNTIFS(Input_Konektivitas!$A$3:$A$563,$A23,Input_Konektivitas!$B$3:$B$563,AA$3,Input_Konektivitas!$D$3:$D$563,"&gt;0")+COUNTIFS(Input_Konektivitas!$A$3:$A$563,AA$3,Input_Konektivitas!$B$3:$B$563,$A23,Input_Konektivitas!$D$3:$D$563,"&gt;0"))=0,"",SUMIFS(Input_Konektivitas!$D$3:$D$563,Input_Konektivitas!$A$3:$A$563,$A23,Input_Konektivitas!$B$3:$B$563,AA$3)+SUMIFS(Input_Konektivitas!$D$3:$D$563,Input_Konektivitas!$A$3:$A$563,AA$3,Input_Konektivitas!$B$3:$B$563,$A23))</f>
        <v>7.75</v>
      </c>
      <c r="AB23" s="27">
        <f>IF((COUNTIFS(Input_Konektivitas!$A$3:$A$563,$A23,Input_Konektivitas!$B$3:$B$563,AB$3,Input_Konektivitas!$D$3:$D$563,"&gt;0")+COUNTIFS(Input_Konektivitas!$A$3:$A$563,AB$3,Input_Konektivitas!$B$3:$B$563,$A23,Input_Konektivitas!$D$3:$D$563,"&gt;0"))=0,"",SUMIFS(Input_Konektivitas!$D$3:$D$563,Input_Konektivitas!$A$3:$A$563,$A23,Input_Konektivitas!$B$3:$B$563,AB$3)+SUMIFS(Input_Konektivitas!$D$3:$D$563,Input_Konektivitas!$A$3:$A$563,AB$3,Input_Konektivitas!$B$3:$B$563,$A23))</f>
        <v>3.4166</v>
      </c>
      <c r="AC23" s="27">
        <f>IF((COUNTIFS(Input_Konektivitas!$A$3:$A$563,$A23,Input_Konektivitas!$B$3:$B$563,AC$3,Input_Konektivitas!$D$3:$D$563,"&gt;0")+COUNTIFS(Input_Konektivitas!$A$3:$A$563,AC$3,Input_Konektivitas!$B$3:$B$563,$A23,Input_Konektivitas!$D$3:$D$563,"&gt;0"))=0,"",SUMIFS(Input_Konektivitas!$D$3:$D$563,Input_Konektivitas!$A$3:$A$563,$A23,Input_Konektivitas!$B$3:$B$563,AC$3)+SUMIFS(Input_Konektivitas!$D$3:$D$563,Input_Konektivitas!$A$3:$A$563,AC$3,Input_Konektivitas!$B$3:$B$563,$A23))</f>
        <v>11.33</v>
      </c>
      <c r="AD23" s="27">
        <f>IF((COUNTIFS(Input_Konektivitas!$A$3:$A$563,$A23,Input_Konektivitas!$B$3:$B$563,AD$3,Input_Konektivitas!$D$3:$D$563,"&gt;0")+COUNTIFS(Input_Konektivitas!$A$3:$A$563,AD$3,Input_Konektivitas!$B$3:$B$563,$A23,Input_Konektivitas!$D$3:$D$563,"&gt;0"))=0,"",SUMIFS(Input_Konektivitas!$D$3:$D$563,Input_Konektivitas!$A$3:$A$563,$A23,Input_Konektivitas!$B$3:$B$563,AD$3)+SUMIFS(Input_Konektivitas!$D$3:$D$563,Input_Konektivitas!$A$3:$A$563,AD$3,Input_Konektivitas!$B$3:$B$563,$A23))</f>
        <v>11.9166</v>
      </c>
      <c r="AE23" s="27">
        <f>IF((COUNTIFS(Input_Konektivitas!$A$3:$A$563,$A23,Input_Konektivitas!$B$3:$B$563,AE$3,Input_Konektivitas!$D$3:$D$563,"&gt;0")+COUNTIFS(Input_Konektivitas!$A$3:$A$563,AE$3,Input_Konektivitas!$B$3:$B$563,$A23,Input_Konektivitas!$D$3:$D$563,"&gt;0"))=0,"",SUMIFS(Input_Konektivitas!$D$3:$D$563,Input_Konektivitas!$A$3:$A$563,$A23,Input_Konektivitas!$B$3:$B$563,AE$3)+SUMIFS(Input_Konektivitas!$D$3:$D$563,Input_Konektivitas!$A$3:$A$563,AE$3,Input_Konektivitas!$B$3:$B$563,$A23))</f>
        <v>8.75</v>
      </c>
      <c r="AF23" s="27">
        <f>IF((COUNTIFS(Input_Konektivitas!$A$3:$A$563,$A23,Input_Konektivitas!$B$3:$B$563,AF$3,Input_Konektivitas!$D$3:$D$563,"&gt;0")+COUNTIFS(Input_Konektivitas!$A$3:$A$563,AF$3,Input_Konektivitas!$B$3:$B$563,$A23,Input_Konektivitas!$D$3:$D$563,"&gt;0"))=0,"",SUMIFS(Input_Konektivitas!$D$3:$D$563,Input_Konektivitas!$A$3:$A$563,$A23,Input_Konektivitas!$B$3:$B$563,AF$3)+SUMIFS(Input_Konektivitas!$D$3:$D$563,Input_Konektivitas!$A$3:$A$563,AF$3,Input_Konektivitas!$B$3:$B$563,$A23))</f>
        <v>7.25</v>
      </c>
      <c r="AG23" s="27">
        <f>IF((COUNTIFS(Input_Konektivitas!$A$3:$A$563,$A23,Input_Konektivitas!$B$3:$B$563,AG$3,Input_Konektivitas!$D$3:$D$563,"&gt;0")+COUNTIFS(Input_Konektivitas!$A$3:$A$563,AG$3,Input_Konektivitas!$B$3:$B$563,$A23,Input_Konektivitas!$D$3:$D$563,"&gt;0"))=0,"",SUMIFS(Input_Konektivitas!$D$3:$D$563,Input_Konektivitas!$A$3:$A$563,$A23,Input_Konektivitas!$B$3:$B$563,AG$3)+SUMIFS(Input_Konektivitas!$D$3:$D$563,Input_Konektivitas!$A$3:$A$563,AG$3,Input_Konektivitas!$B$3:$B$563,$A23))</f>
        <v>10.75</v>
      </c>
      <c r="AH23" s="27">
        <f>IF((COUNTIFS(Input_Konektivitas!$A$3:$A$563,$A23,Input_Konektivitas!$B$3:$B$563,AH$3,Input_Konektivitas!$D$3:$D$563,"&gt;0")+COUNTIFS(Input_Konektivitas!$A$3:$A$563,AH$3,Input_Konektivitas!$B$3:$B$563,$A23,Input_Konektivitas!$D$3:$D$563,"&gt;0"))=0,"",SUMIFS(Input_Konektivitas!$D$3:$D$563,Input_Konektivitas!$A$3:$A$563,$A23,Input_Konektivitas!$B$3:$B$563,AH$3)+SUMIFS(Input_Konektivitas!$D$3:$D$563,Input_Konektivitas!$A$3:$A$563,AH$3,Input_Konektivitas!$B$3:$B$563,$A23))</f>
        <v>9.666</v>
      </c>
      <c r="AI23" s="27">
        <f>IF((COUNTIFS(Input_Konektivitas!$A$3:$A$563,$A23,Input_Konektivitas!$B$3:$B$563,AI$3,Input_Konektivitas!$D$3:$D$563,"&gt;0")+COUNTIFS(Input_Konektivitas!$A$3:$A$563,AI$3,Input_Konektivitas!$B$3:$B$563,$A23,Input_Konektivitas!$D$3:$D$563,"&gt;0"))=0,"",SUMIFS(Input_Konektivitas!$D$3:$D$563,Input_Konektivitas!$A$3:$A$563,$A23,Input_Konektivitas!$B$3:$B$563,AI$3)+SUMIFS(Input_Konektivitas!$D$3:$D$563,Input_Konektivitas!$A$3:$A$563,AI$3,Input_Konektivitas!$B$3:$B$563,$A23))</f>
        <v>11.083</v>
      </c>
    </row>
    <row r="24" ht="14.25" customHeight="1">
      <c r="A24" s="22" t="s">
        <v>61</v>
      </c>
      <c r="B24" s="27">
        <f>IF((COUNTIFS(Input_Konektivitas!$A$3:$A$563,$A24,Input_Konektivitas!$B$3:$B$563,B$3,Input_Konektivitas!$D$3:$D$563,"&gt;0")+COUNTIFS(Input_Konektivitas!$A$3:$A$563,B$3,Input_Konektivitas!$B$3:$B$563,$A24,Input_Konektivitas!$D$3:$D$563,"&gt;0"))=0,"",SUMIFS(Input_Konektivitas!$D$3:$D$563,Input_Konektivitas!$A$3:$A$563,$A24,Input_Konektivitas!$B$3:$B$563,B$3)+SUMIFS(Input_Konektivitas!$D$3:$D$563,Input_Konektivitas!$A$3:$A$563,B$3,Input_Konektivitas!$B$3:$B$563,$A24))</f>
        <v>5.6667</v>
      </c>
      <c r="C24" s="27">
        <f>IF((COUNTIFS(Input_Konektivitas!$A$3:$A$563,$A24,Input_Konektivitas!$B$3:$B$563,C$3,Input_Konektivitas!$D$3:$D$563,"&gt;0")+COUNTIFS(Input_Konektivitas!$A$3:$A$563,C$3,Input_Konektivitas!$B$3:$B$563,$A24,Input_Konektivitas!$D$3:$D$563,"&gt;0"))=0,"",SUMIFS(Input_Konektivitas!$D$3:$D$563,Input_Konektivitas!$A$3:$A$563,$A24,Input_Konektivitas!$B$3:$B$563,C$3)+SUMIFS(Input_Konektivitas!$D$3:$D$563,Input_Konektivitas!$A$3:$A$563,C$3,Input_Konektivitas!$B$3:$B$563,$A24))</f>
        <v>5.25</v>
      </c>
      <c r="D24" s="27">
        <f>IF((COUNTIFS(Input_Konektivitas!$A$3:$A$563,$A24,Input_Konektivitas!$B$3:$B$563,D$3,Input_Konektivitas!$D$3:$D$563,"&gt;0")+COUNTIFS(Input_Konektivitas!$A$3:$A$563,D$3,Input_Konektivitas!$B$3:$B$563,$A24,Input_Konektivitas!$D$3:$D$563,"&gt;0"))=0,"",SUMIFS(Input_Konektivitas!$D$3:$D$563,Input_Konektivitas!$A$3:$A$563,$A24,Input_Konektivitas!$B$3:$B$563,D$3)+SUMIFS(Input_Konektivitas!$D$3:$D$563,Input_Konektivitas!$A$3:$A$563,D$3,Input_Konektivitas!$B$3:$B$563,$A24))</f>
        <v>4.42</v>
      </c>
      <c r="E24" s="27">
        <f>IF((COUNTIFS(Input_Konektivitas!$A$3:$A$563,$A24,Input_Konektivitas!$B$3:$B$563,E$3,Input_Konektivitas!$D$3:$D$563,"&gt;0")+COUNTIFS(Input_Konektivitas!$A$3:$A$563,E$3,Input_Konektivitas!$B$3:$B$563,$A24,Input_Konektivitas!$D$3:$D$563,"&gt;0"))=0,"",SUMIFS(Input_Konektivitas!$D$3:$D$563,Input_Konektivitas!$A$3:$A$563,$A24,Input_Konektivitas!$B$3:$B$563,E$3)+SUMIFS(Input_Konektivitas!$D$3:$D$563,Input_Konektivitas!$A$3:$A$563,E$3,Input_Konektivitas!$B$3:$B$563,$A24))</f>
        <v>5.58</v>
      </c>
      <c r="F24" s="27">
        <f>IF((COUNTIFS(Input_Konektivitas!$A$3:$A$563,$A24,Input_Konektivitas!$B$3:$B$563,F$3,Input_Konektivitas!$D$3:$D$563,"&gt;0")+COUNTIFS(Input_Konektivitas!$A$3:$A$563,F$3,Input_Konektivitas!$B$3:$B$563,$A24,Input_Konektivitas!$D$3:$D$563,"&gt;0"))=0,"",SUMIFS(Input_Konektivitas!$D$3:$D$563,Input_Konektivitas!$A$3:$A$563,$A24,Input_Konektivitas!$B$3:$B$563,F$3)+SUMIFS(Input_Konektivitas!$D$3:$D$563,Input_Konektivitas!$A$3:$A$563,F$3,Input_Konektivitas!$B$3:$B$563,$A24))</f>
        <v>5.08</v>
      </c>
      <c r="G24" s="27">
        <f>IF((COUNTIFS(Input_Konektivitas!$A$3:$A$563,$A24,Input_Konektivitas!$B$3:$B$563,G$3,Input_Konektivitas!$D$3:$D$563,"&gt;0")+COUNTIFS(Input_Konektivitas!$A$3:$A$563,G$3,Input_Konektivitas!$B$3:$B$563,$A24,Input_Konektivitas!$D$3:$D$563,"&gt;0"))=0,"",SUMIFS(Input_Konektivitas!$D$3:$D$563,Input_Konektivitas!$A$3:$A$563,$A24,Input_Konektivitas!$B$3:$B$563,G$3)+SUMIFS(Input_Konektivitas!$D$3:$D$563,Input_Konektivitas!$A$3:$A$563,G$3,Input_Konektivitas!$B$3:$B$563,$A24))</f>
        <v>4.08</v>
      </c>
      <c r="H24" s="27">
        <f>IF((COUNTIFS(Input_Konektivitas!$A$3:$A$563,$A24,Input_Konektivitas!$B$3:$B$563,H$3,Input_Konektivitas!$D$3:$D$563,"&gt;0")+COUNTIFS(Input_Konektivitas!$A$3:$A$563,H$3,Input_Konektivitas!$B$3:$B$563,$A24,Input_Konektivitas!$D$3:$D$563,"&gt;0"))=0,"",SUMIFS(Input_Konektivitas!$D$3:$D$563,Input_Konektivitas!$A$3:$A$563,$A24,Input_Konektivitas!$B$3:$B$563,H$3)+SUMIFS(Input_Konektivitas!$D$3:$D$563,Input_Konektivitas!$A$3:$A$563,H$3,Input_Konektivitas!$B$3:$B$563,$A24))</f>
        <v>5.25</v>
      </c>
      <c r="I24" s="27">
        <f>IF((COUNTIFS(Input_Konektivitas!$A$3:$A$563,$A24,Input_Konektivitas!$B$3:$B$563,I$3,Input_Konektivitas!$D$3:$D$563,"&gt;0")+COUNTIFS(Input_Konektivitas!$A$3:$A$563,I$3,Input_Konektivitas!$B$3:$B$563,$A24,Input_Konektivitas!$D$3:$D$563,"&gt;0"))=0,"",SUMIFS(Input_Konektivitas!$D$3:$D$563,Input_Konektivitas!$A$3:$A$563,$A24,Input_Konektivitas!$B$3:$B$563,I$3)+SUMIFS(Input_Konektivitas!$D$3:$D$563,Input_Konektivitas!$A$3:$A$563,I$3,Input_Konektivitas!$B$3:$B$563,$A24))</f>
        <v>4.67</v>
      </c>
      <c r="J24" s="27">
        <f>IF((COUNTIFS(Input_Konektivitas!$A$3:$A$563,$A24,Input_Konektivitas!$B$3:$B$563,J$3,Input_Konektivitas!$D$3:$D$563,"&gt;0")+COUNTIFS(Input_Konektivitas!$A$3:$A$563,J$3,Input_Konektivitas!$B$3:$B$563,$A24,Input_Konektivitas!$D$3:$D$563,"&gt;0"))=0,"",SUMIFS(Input_Konektivitas!$D$3:$D$563,Input_Konektivitas!$A$3:$A$563,$A24,Input_Konektivitas!$B$3:$B$563,J$3)+SUMIFS(Input_Konektivitas!$D$3:$D$563,Input_Konektivitas!$A$3:$A$563,J$3,Input_Konektivitas!$B$3:$B$563,$A24))</f>
        <v>4.17</v>
      </c>
      <c r="K24" s="27">
        <f>IF((COUNTIFS(Input_Konektivitas!$A$3:$A$563,$A24,Input_Konektivitas!$B$3:$B$563,K$3,Input_Konektivitas!$D$3:$D$563,"&gt;0")+COUNTIFS(Input_Konektivitas!$A$3:$A$563,K$3,Input_Konektivitas!$B$3:$B$563,$A24,Input_Konektivitas!$D$3:$D$563,"&gt;0"))=0,"",SUMIFS(Input_Konektivitas!$D$3:$D$563,Input_Konektivitas!$A$3:$A$563,$A24,Input_Konektivitas!$B$3:$B$563,K$3)+SUMIFS(Input_Konektivitas!$D$3:$D$563,Input_Konektivitas!$A$3:$A$563,K$3,Input_Konektivitas!$B$3:$B$563,$A24))</f>
        <v>4.58</v>
      </c>
      <c r="L24" s="27">
        <f>IF((COUNTIFS(Input_Konektivitas!$A$3:$A$563,$A24,Input_Konektivitas!$B$3:$B$563,L$3,Input_Konektivitas!$D$3:$D$563,"&gt;0")+COUNTIFS(Input_Konektivitas!$A$3:$A$563,L$3,Input_Konektivitas!$B$3:$B$563,$A24,Input_Konektivitas!$D$3:$D$563,"&gt;0"))=0,"",SUMIFS(Input_Konektivitas!$D$3:$D$563,Input_Konektivitas!$A$3:$A$563,$A24,Input_Konektivitas!$B$3:$B$563,L$3)+SUMIFS(Input_Konektivitas!$D$3:$D$563,Input_Konektivitas!$A$3:$A$563,L$3,Input_Konektivitas!$B$3:$B$563,$A24))</f>
        <v>1.75</v>
      </c>
      <c r="M24" s="27" t="str">
        <f>IF((COUNTIFS(Input_Konektivitas!$A$3:$A$563,$A24,Input_Konektivitas!$B$3:$B$563,M$3,Input_Konektivitas!$D$3:$D$563,"&gt;0")+COUNTIFS(Input_Konektivitas!$A$3:$A$563,M$3,Input_Konektivitas!$B$3:$B$563,$A24,Input_Konektivitas!$D$3:$D$563,"&gt;0"))=0,"",SUMIFS(Input_Konektivitas!$D$3:$D$563,Input_Konektivitas!$A$3:$A$563,$A24,Input_Konektivitas!$B$3:$B$563,M$3)+SUMIFS(Input_Konektivitas!$D$3:$D$563,Input_Konektivitas!$A$3:$A$563,M$3,Input_Konektivitas!$B$3:$B$563,$A24))</f>
        <v/>
      </c>
      <c r="N24" s="27">
        <f>IF((COUNTIFS(Input_Konektivitas!$A$3:$A$563,$A24,Input_Konektivitas!$B$3:$B$563,N$3,Input_Konektivitas!$D$3:$D$563,"&gt;0")+COUNTIFS(Input_Konektivitas!$A$3:$A$563,N$3,Input_Konektivitas!$B$3:$B$563,$A24,Input_Konektivitas!$D$3:$D$563,"&gt;0"))=0,"",SUMIFS(Input_Konektivitas!$D$3:$D$563,Input_Konektivitas!$A$3:$A$563,$A24,Input_Konektivitas!$B$3:$B$563,N$3)+SUMIFS(Input_Konektivitas!$D$3:$D$563,Input_Konektivitas!$A$3:$A$563,N$3,Input_Konektivitas!$B$3:$B$563,$A24))</f>
        <v>1.33</v>
      </c>
      <c r="O24" s="27">
        <f>IF((COUNTIFS(Input_Konektivitas!$A$3:$A$563,$A24,Input_Konektivitas!$B$3:$B$563,O$3,Input_Konektivitas!$D$3:$D$563,"&gt;0")+COUNTIFS(Input_Konektivitas!$A$3:$A$563,O$3,Input_Konektivitas!$B$3:$B$563,$A24,Input_Konektivitas!$D$3:$D$563,"&gt;0"))=0,"",SUMIFS(Input_Konektivitas!$D$3:$D$563,Input_Konektivitas!$A$3:$A$563,$A24,Input_Konektivitas!$B$3:$B$563,O$3)+SUMIFS(Input_Konektivitas!$D$3:$D$563,Input_Konektivitas!$A$3:$A$563,O$3,Input_Konektivitas!$B$3:$B$563,$A24))</f>
        <v>1.583</v>
      </c>
      <c r="P24" s="27">
        <f>IF((COUNTIFS(Input_Konektivitas!$A$3:$A$563,$A24,Input_Konektivitas!$B$3:$B$563,P$3,Input_Konektivitas!$D$3:$D$563,"&gt;0")+COUNTIFS(Input_Konektivitas!$A$3:$A$563,P$3,Input_Konektivitas!$B$3:$B$563,$A24,Input_Konektivitas!$D$3:$D$563,"&gt;0"))=0,"",SUMIFS(Input_Konektivitas!$D$3:$D$563,Input_Konektivitas!$A$3:$A$563,$A24,Input_Konektivitas!$B$3:$B$563,P$3)+SUMIFS(Input_Konektivitas!$D$3:$D$563,Input_Konektivitas!$A$3:$A$563,P$3,Input_Konektivitas!$B$3:$B$563,$A24))</f>
        <v>1.25</v>
      </c>
      <c r="Q24" s="27" t="str">
        <f>IF((COUNTIFS(Input_Konektivitas!$A$3:$A$563,$A24,Input_Konektivitas!$B$3:$B$563,Q$3,Input_Konektivitas!$D$3:$D$563,"&gt;0")+COUNTIFS(Input_Konektivitas!$A$3:$A$563,Q$3,Input_Konektivitas!$B$3:$B$563,$A24,Input_Konektivitas!$D$3:$D$563,"&gt;0"))=0,"",SUMIFS(Input_Konektivitas!$D$3:$D$563,Input_Konektivitas!$A$3:$A$563,$A24,Input_Konektivitas!$B$3:$B$563,Q$3)+SUMIFS(Input_Konektivitas!$D$3:$D$563,Input_Konektivitas!$A$3:$A$563,Q$3,Input_Konektivitas!$B$3:$B$563,$A24))</f>
        <v/>
      </c>
      <c r="R24" s="27">
        <f>IF((COUNTIFS(Input_Konektivitas!$A$3:$A$563,$A24,Input_Konektivitas!$B$3:$B$563,R$3,Input_Konektivitas!$D$3:$D$563,"&gt;0")+COUNTIFS(Input_Konektivitas!$A$3:$A$563,R$3,Input_Konektivitas!$B$3:$B$563,$A24,Input_Konektivitas!$D$3:$D$563,"&gt;0"))=0,"",SUMIFS(Input_Konektivitas!$D$3:$D$563,Input_Konektivitas!$A$3:$A$563,$A24,Input_Konektivitas!$B$3:$B$563,R$3)+SUMIFS(Input_Konektivitas!$D$3:$D$563,Input_Konektivitas!$A$3:$A$563,R$3,Input_Konektivitas!$B$3:$B$563,$A24))</f>
        <v>2.916</v>
      </c>
      <c r="S24" s="27">
        <f>IF((COUNTIFS(Input_Konektivitas!$A$3:$A$563,$A24,Input_Konektivitas!$B$3:$B$563,S$3,Input_Konektivitas!$D$3:$D$563,"&gt;0")+COUNTIFS(Input_Konektivitas!$A$3:$A$563,S$3,Input_Konektivitas!$B$3:$B$563,$A24,Input_Konektivitas!$D$3:$D$563,"&gt;0"))=0,"",SUMIFS(Input_Konektivitas!$D$3:$D$563,Input_Konektivitas!$A$3:$A$563,$A24,Input_Konektivitas!$B$3:$B$563,S$3)+SUMIFS(Input_Konektivitas!$D$3:$D$563,Input_Konektivitas!$A$3:$A$563,S$3,Input_Konektivitas!$B$3:$B$563,$A24))</f>
        <v>5.25</v>
      </c>
      <c r="T24" s="27">
        <f>IF((COUNTIFS(Input_Konektivitas!$A$3:$A$563,$A24,Input_Konektivitas!$B$3:$B$563,T$3,Input_Konektivitas!$D$3:$D$563,"&gt;0")+COUNTIFS(Input_Konektivitas!$A$3:$A$563,T$3,Input_Konektivitas!$B$3:$B$563,$A24,Input_Konektivitas!$D$3:$D$563,"&gt;0"))=0,"",SUMIFS(Input_Konektivitas!$D$3:$D$563,Input_Konektivitas!$A$3:$A$563,$A24,Input_Konektivitas!$B$3:$B$563,T$3)+SUMIFS(Input_Konektivitas!$D$3:$D$563,Input_Konektivitas!$A$3:$A$563,T$3,Input_Konektivitas!$B$3:$B$563,$A24))</f>
        <v>8.4166</v>
      </c>
      <c r="U24" s="27">
        <f>IF((COUNTIFS(Input_Konektivitas!$A$3:$A$563,$A24,Input_Konektivitas!$B$3:$B$563,U$3,Input_Konektivitas!$D$3:$D$563,"&gt;0")+COUNTIFS(Input_Konektivitas!$A$3:$A$563,U$3,Input_Konektivitas!$B$3:$B$563,$A24,Input_Konektivitas!$D$3:$D$563,"&gt;0"))=0,"",SUMIFS(Input_Konektivitas!$D$3:$D$563,Input_Konektivitas!$A$3:$A$563,$A24,Input_Konektivitas!$B$3:$B$563,U$3)+SUMIFS(Input_Konektivitas!$D$3:$D$563,Input_Konektivitas!$A$3:$A$563,U$3,Input_Konektivitas!$B$3:$B$563,$A24))</f>
        <v>4.0833</v>
      </c>
      <c r="V24" s="23">
        <v>0.0</v>
      </c>
      <c r="W24" s="27">
        <f>IF((COUNTIFS(Input_Konektivitas!$A$3:$A$563,$A24,Input_Konektivitas!$B$3:$B$563,W$3,Input_Konektivitas!$D$3:$D$563,"&gt;0")+COUNTIFS(Input_Konektivitas!$A$3:$A$563,W$3,Input_Konektivitas!$B$3:$B$563,$A24,Input_Konektivitas!$D$3:$D$563,"&gt;0"))=0,"",SUMIFS(Input_Konektivitas!$D$3:$D$563,Input_Konektivitas!$A$3:$A$563,$A24,Input_Konektivitas!$B$3:$B$563,W$3)+SUMIFS(Input_Konektivitas!$D$3:$D$563,Input_Konektivitas!$A$3:$A$563,W$3,Input_Konektivitas!$B$3:$B$563,$A24))</f>
        <v>5</v>
      </c>
      <c r="X24" s="27">
        <f>IF((COUNTIFS(Input_Konektivitas!$A$3:$A$563,$A24,Input_Konektivitas!$B$3:$B$563,X$3,Input_Konektivitas!$D$3:$D$563,"&gt;0")+COUNTIFS(Input_Konektivitas!$A$3:$A$563,X$3,Input_Konektivitas!$B$3:$B$563,$A24,Input_Konektivitas!$D$3:$D$563,"&gt;0"))=0,"",SUMIFS(Input_Konektivitas!$D$3:$D$563,Input_Konektivitas!$A$3:$A$563,$A24,Input_Konektivitas!$B$3:$B$563,X$3)+SUMIFS(Input_Konektivitas!$D$3:$D$563,Input_Konektivitas!$A$3:$A$563,X$3,Input_Konektivitas!$B$3:$B$563,$A24))</f>
        <v>1.25</v>
      </c>
      <c r="Y24" s="27">
        <f>IF((COUNTIFS(Input_Konektivitas!$A$3:$A$563,$A24,Input_Konektivitas!$B$3:$B$563,Y$3,Input_Konektivitas!$D$3:$D$563,"&gt;0")+COUNTIFS(Input_Konektivitas!$A$3:$A$563,Y$3,Input_Konektivitas!$B$3:$B$563,$A24,Input_Konektivitas!$D$3:$D$563,"&gt;0"))=0,"",SUMIFS(Input_Konektivitas!$D$3:$D$563,Input_Konektivitas!$A$3:$A$563,$A24,Input_Konektivitas!$B$3:$B$563,Y$3)+SUMIFS(Input_Konektivitas!$D$3:$D$563,Input_Konektivitas!$A$3:$A$563,Y$3,Input_Konektivitas!$B$3:$B$563,$A24))</f>
        <v>3.1666</v>
      </c>
      <c r="Z24" s="27">
        <f>IF((COUNTIFS(Input_Konektivitas!$A$3:$A$563,$A24,Input_Konektivitas!$B$3:$B$563,Z$3,Input_Konektivitas!$D$3:$D$563,"&gt;0")+COUNTIFS(Input_Konektivitas!$A$3:$A$563,Z$3,Input_Konektivitas!$B$3:$B$563,$A24,Input_Konektivitas!$D$3:$D$563,"&gt;0"))=0,"",SUMIFS(Input_Konektivitas!$D$3:$D$563,Input_Konektivitas!$A$3:$A$563,$A24,Input_Konektivitas!$B$3:$B$563,Z$3)+SUMIFS(Input_Konektivitas!$D$3:$D$563,Input_Konektivitas!$A$3:$A$563,Z$3,Input_Konektivitas!$B$3:$B$563,$A24))</f>
        <v>8.25</v>
      </c>
      <c r="AA24" s="27">
        <f>IF((COUNTIFS(Input_Konektivitas!$A$3:$A$563,$A24,Input_Konektivitas!$B$3:$B$563,AA$3,Input_Konektivitas!$D$3:$D$563,"&gt;0")+COUNTIFS(Input_Konektivitas!$A$3:$A$563,AA$3,Input_Konektivitas!$B$3:$B$563,$A24,Input_Konektivitas!$D$3:$D$563,"&gt;0"))=0,"",SUMIFS(Input_Konektivitas!$D$3:$D$563,Input_Konektivitas!$A$3:$A$563,$A24,Input_Konektivitas!$B$3:$B$563,AA$3)+SUMIFS(Input_Konektivitas!$D$3:$D$563,Input_Konektivitas!$A$3:$A$563,AA$3,Input_Konektivitas!$B$3:$B$563,$A24))</f>
        <v>15.0833</v>
      </c>
      <c r="AB24" s="27">
        <f>IF((COUNTIFS(Input_Konektivitas!$A$3:$A$563,$A24,Input_Konektivitas!$B$3:$B$563,AB$3,Input_Konektivitas!$D$3:$D$563,"&gt;0")+COUNTIFS(Input_Konektivitas!$A$3:$A$563,AB$3,Input_Konektivitas!$B$3:$B$563,$A24,Input_Konektivitas!$D$3:$D$563,"&gt;0"))=0,"",SUMIFS(Input_Konektivitas!$D$3:$D$563,Input_Konektivitas!$A$3:$A$563,$A24,Input_Konektivitas!$B$3:$B$563,AB$3)+SUMIFS(Input_Konektivitas!$D$3:$D$563,Input_Konektivitas!$A$3:$A$563,AB$3,Input_Konektivitas!$B$3:$B$563,$A24))</f>
        <v>5.083</v>
      </c>
      <c r="AC24" s="27">
        <f>IF((COUNTIFS(Input_Konektivitas!$A$3:$A$563,$A24,Input_Konektivitas!$B$3:$B$563,AC$3,Input_Konektivitas!$D$3:$D$563,"&gt;0")+COUNTIFS(Input_Konektivitas!$A$3:$A$563,AC$3,Input_Konektivitas!$B$3:$B$563,$A24,Input_Konektivitas!$D$3:$D$563,"&gt;0"))=0,"",SUMIFS(Input_Konektivitas!$D$3:$D$563,Input_Konektivitas!$A$3:$A$563,$A24,Input_Konektivitas!$B$3:$B$563,AC$3)+SUMIFS(Input_Konektivitas!$D$3:$D$563,Input_Konektivitas!$A$3:$A$563,AC$3,Input_Konektivitas!$B$3:$B$563,$A24))</f>
        <v>8.666</v>
      </c>
      <c r="AD24" s="27">
        <f>IF((COUNTIFS(Input_Konektivitas!$A$3:$A$563,$A24,Input_Konektivitas!$B$3:$B$563,AD$3,Input_Konektivitas!$D$3:$D$563,"&gt;0")+COUNTIFS(Input_Konektivitas!$A$3:$A$563,AD$3,Input_Konektivitas!$B$3:$B$563,$A24,Input_Konektivitas!$D$3:$D$563,"&gt;0"))=0,"",SUMIFS(Input_Konektivitas!$D$3:$D$563,Input_Konektivitas!$A$3:$A$563,$A24,Input_Konektivitas!$B$3:$B$563,AD$3)+SUMIFS(Input_Konektivitas!$D$3:$D$563,Input_Konektivitas!$A$3:$A$563,AD$3,Input_Konektivitas!$B$3:$B$563,$A24))</f>
        <v>15.583</v>
      </c>
      <c r="AE24" s="27">
        <f>IF((COUNTIFS(Input_Konektivitas!$A$3:$A$563,$A24,Input_Konektivitas!$B$3:$B$563,AE$3,Input_Konektivitas!$D$3:$D$563,"&gt;0")+COUNTIFS(Input_Konektivitas!$A$3:$A$563,AE$3,Input_Konektivitas!$B$3:$B$563,$A24,Input_Konektivitas!$D$3:$D$563,"&gt;0"))=0,"",SUMIFS(Input_Konektivitas!$D$3:$D$563,Input_Konektivitas!$A$3:$A$563,$A24,Input_Konektivitas!$B$3:$B$563,AE$3)+SUMIFS(Input_Konektivitas!$D$3:$D$563,Input_Konektivitas!$A$3:$A$563,AE$3,Input_Konektivitas!$B$3:$B$563,$A24))</f>
        <v>16.916</v>
      </c>
      <c r="AF24" s="27">
        <f>IF((COUNTIFS(Input_Konektivitas!$A$3:$A$563,$A24,Input_Konektivitas!$B$3:$B$563,AF$3,Input_Konektivitas!$D$3:$D$563,"&gt;0")+COUNTIFS(Input_Konektivitas!$A$3:$A$563,AF$3,Input_Konektivitas!$B$3:$B$563,$A24,Input_Konektivitas!$D$3:$D$563,"&gt;0"))=0,"",SUMIFS(Input_Konektivitas!$D$3:$D$563,Input_Konektivitas!$A$3:$A$563,$A24,Input_Konektivitas!$B$3:$B$563,AF$3)+SUMIFS(Input_Konektivitas!$D$3:$D$563,Input_Konektivitas!$A$3:$A$563,AF$3,Input_Konektivitas!$B$3:$B$563,$A24))</f>
        <v>6.4166</v>
      </c>
      <c r="AG24" s="27">
        <f>IF((COUNTIFS(Input_Konektivitas!$A$3:$A$563,$A24,Input_Konektivitas!$B$3:$B$563,AG$3,Input_Konektivitas!$D$3:$D$563,"&gt;0")+COUNTIFS(Input_Konektivitas!$A$3:$A$563,AG$3,Input_Konektivitas!$B$3:$B$563,$A24,Input_Konektivitas!$D$3:$D$563,"&gt;0"))=0,"",SUMIFS(Input_Konektivitas!$D$3:$D$563,Input_Konektivitas!$A$3:$A$563,$A24,Input_Konektivitas!$B$3:$B$563,AG$3)+SUMIFS(Input_Konektivitas!$D$3:$D$563,Input_Konektivitas!$A$3:$A$563,AG$3,Input_Konektivitas!$B$3:$B$563,$A24))</f>
        <v>14.75</v>
      </c>
      <c r="AH24" s="27">
        <f>IF((COUNTIFS(Input_Konektivitas!$A$3:$A$563,$A24,Input_Konektivitas!$B$3:$B$563,AH$3,Input_Konektivitas!$D$3:$D$563,"&gt;0")+COUNTIFS(Input_Konektivitas!$A$3:$A$563,AH$3,Input_Konektivitas!$B$3:$B$563,$A24,Input_Konektivitas!$D$3:$D$563,"&gt;0"))=0,"",SUMIFS(Input_Konektivitas!$D$3:$D$563,Input_Konektivitas!$A$3:$A$563,$A24,Input_Konektivitas!$B$3:$B$563,AH$3)+SUMIFS(Input_Konektivitas!$D$3:$D$563,Input_Konektivitas!$A$3:$A$563,AH$3,Input_Konektivitas!$B$3:$B$563,$A24))</f>
        <v>15.166</v>
      </c>
      <c r="AI24" s="27">
        <f>IF((COUNTIFS(Input_Konektivitas!$A$3:$A$563,$A24,Input_Konektivitas!$B$3:$B$563,AI$3,Input_Konektivitas!$D$3:$D$563,"&gt;0")+COUNTIFS(Input_Konektivitas!$A$3:$A$563,AI$3,Input_Konektivitas!$B$3:$B$563,$A24,Input_Konektivitas!$D$3:$D$563,"&gt;0"))=0,"",SUMIFS(Input_Konektivitas!$D$3:$D$563,Input_Konektivitas!$A$3:$A$563,$A24,Input_Konektivitas!$B$3:$B$563,AI$3)+SUMIFS(Input_Konektivitas!$D$3:$D$563,Input_Konektivitas!$A$3:$A$563,AI$3,Input_Konektivitas!$B$3:$B$563,$A24))</f>
        <v>12.666</v>
      </c>
    </row>
    <row r="25" ht="14.25" customHeight="1">
      <c r="A25" s="22" t="s">
        <v>64</v>
      </c>
      <c r="B25" s="27">
        <f>IF((COUNTIFS(Input_Konektivitas!$A$3:$A$563,$A25,Input_Konektivitas!$B$3:$B$563,B$3,Input_Konektivitas!$D$3:$D$563,"&gt;0")+COUNTIFS(Input_Konektivitas!$A$3:$A$563,B$3,Input_Konektivitas!$B$3:$B$563,$A25,Input_Konektivitas!$D$3:$D$563,"&gt;0"))=0,"",SUMIFS(Input_Konektivitas!$D$3:$D$563,Input_Konektivitas!$A$3:$A$563,$A25,Input_Konektivitas!$B$3:$B$563,B$3)+SUMIFS(Input_Konektivitas!$D$3:$D$563,Input_Konektivitas!$A$3:$A$563,B$3,Input_Konektivitas!$B$3:$B$563,$A25))</f>
        <v>7.25</v>
      </c>
      <c r="C25" s="27">
        <f>IF((COUNTIFS(Input_Konektivitas!$A$3:$A$563,$A25,Input_Konektivitas!$B$3:$B$563,C$3,Input_Konektivitas!$D$3:$D$563,"&gt;0")+COUNTIFS(Input_Konektivitas!$A$3:$A$563,C$3,Input_Konektivitas!$B$3:$B$563,$A25,Input_Konektivitas!$D$3:$D$563,"&gt;0"))=0,"",SUMIFS(Input_Konektivitas!$D$3:$D$563,Input_Konektivitas!$A$3:$A$563,$A25,Input_Konektivitas!$B$3:$B$563,C$3)+SUMIFS(Input_Konektivitas!$D$3:$D$563,Input_Konektivitas!$A$3:$A$563,C$3,Input_Konektivitas!$B$3:$B$563,$A25))</f>
        <v>6.33</v>
      </c>
      <c r="D25" s="27">
        <f>IF((COUNTIFS(Input_Konektivitas!$A$3:$A$563,$A25,Input_Konektivitas!$B$3:$B$563,D$3,Input_Konektivitas!$D$3:$D$563,"&gt;0")+COUNTIFS(Input_Konektivitas!$A$3:$A$563,D$3,Input_Konektivitas!$B$3:$B$563,$A25,Input_Konektivitas!$D$3:$D$563,"&gt;0"))=0,"",SUMIFS(Input_Konektivitas!$D$3:$D$563,Input_Konektivitas!$A$3:$A$563,$A25,Input_Konektivitas!$B$3:$B$563,D$3)+SUMIFS(Input_Konektivitas!$D$3:$D$563,Input_Konektivitas!$A$3:$A$563,D$3,Input_Konektivitas!$B$3:$B$563,$A25))</f>
        <v>4.75</v>
      </c>
      <c r="E25" s="27">
        <f>IF((COUNTIFS(Input_Konektivitas!$A$3:$A$563,$A25,Input_Konektivitas!$B$3:$B$563,E$3,Input_Konektivitas!$D$3:$D$563,"&gt;0")+COUNTIFS(Input_Konektivitas!$A$3:$A$563,E$3,Input_Konektivitas!$B$3:$B$563,$A25,Input_Konektivitas!$D$3:$D$563,"&gt;0"))=0,"",SUMIFS(Input_Konektivitas!$D$3:$D$563,Input_Konektivitas!$A$3:$A$563,$A25,Input_Konektivitas!$B$3:$B$563,E$3)+SUMIFS(Input_Konektivitas!$D$3:$D$563,Input_Konektivitas!$A$3:$A$563,E$3,Input_Konektivitas!$B$3:$B$563,$A25))</f>
        <v>5.33</v>
      </c>
      <c r="F25" s="27">
        <f>IF((COUNTIFS(Input_Konektivitas!$A$3:$A$563,$A25,Input_Konektivitas!$B$3:$B$563,F$3,Input_Konektivitas!$D$3:$D$563,"&gt;0")+COUNTIFS(Input_Konektivitas!$A$3:$A$563,F$3,Input_Konektivitas!$B$3:$B$563,$A25,Input_Konektivitas!$D$3:$D$563,"&gt;0"))=0,"",SUMIFS(Input_Konektivitas!$D$3:$D$563,Input_Konektivitas!$A$3:$A$563,$A25,Input_Konektivitas!$B$3:$B$563,F$3)+SUMIFS(Input_Konektivitas!$D$3:$D$563,Input_Konektivitas!$A$3:$A$563,F$3,Input_Konektivitas!$B$3:$B$563,$A25))</f>
        <v>4.17</v>
      </c>
      <c r="G25" s="27">
        <f>IF((COUNTIFS(Input_Konektivitas!$A$3:$A$563,$A25,Input_Konektivitas!$B$3:$B$563,G$3,Input_Konektivitas!$D$3:$D$563,"&gt;0")+COUNTIFS(Input_Konektivitas!$A$3:$A$563,G$3,Input_Konektivitas!$B$3:$B$563,$A25,Input_Konektivitas!$D$3:$D$563,"&gt;0"))=0,"",SUMIFS(Input_Konektivitas!$D$3:$D$563,Input_Konektivitas!$A$3:$A$563,$A25,Input_Konektivitas!$B$3:$B$563,G$3)+SUMIFS(Input_Konektivitas!$D$3:$D$563,Input_Konektivitas!$A$3:$A$563,G$3,Input_Konektivitas!$B$3:$B$563,$A25))</f>
        <v>4.5</v>
      </c>
      <c r="H25" s="27">
        <f>IF((COUNTIFS(Input_Konektivitas!$A$3:$A$563,$A25,Input_Konektivitas!$B$3:$B$563,H$3,Input_Konektivitas!$D$3:$D$563,"&gt;0")+COUNTIFS(Input_Konektivitas!$A$3:$A$563,H$3,Input_Konektivitas!$B$3:$B$563,$A25,Input_Konektivitas!$D$3:$D$563,"&gt;0"))=0,"",SUMIFS(Input_Konektivitas!$D$3:$D$563,Input_Konektivitas!$A$3:$A$563,$A25,Input_Konektivitas!$B$3:$B$563,H$3)+SUMIFS(Input_Konektivitas!$D$3:$D$563,Input_Konektivitas!$A$3:$A$563,H$3,Input_Konektivitas!$B$3:$B$563,$A25))</f>
        <v>4.58</v>
      </c>
      <c r="I25" s="27">
        <f>IF((COUNTIFS(Input_Konektivitas!$A$3:$A$563,$A25,Input_Konektivitas!$B$3:$B$563,I$3,Input_Konektivitas!$D$3:$D$563,"&gt;0")+COUNTIFS(Input_Konektivitas!$A$3:$A$563,I$3,Input_Konektivitas!$B$3:$B$563,$A25,Input_Konektivitas!$D$3:$D$563,"&gt;0"))=0,"",SUMIFS(Input_Konektivitas!$D$3:$D$563,Input_Konektivitas!$A$3:$A$563,$A25,Input_Konektivitas!$B$3:$B$563,I$3)+SUMIFS(Input_Konektivitas!$D$3:$D$563,Input_Konektivitas!$A$3:$A$563,I$3,Input_Konektivitas!$B$3:$B$563,$A25))</f>
        <v>4.67</v>
      </c>
      <c r="J25" s="27">
        <f>IF((COUNTIFS(Input_Konektivitas!$A$3:$A$563,$A25,Input_Konektivitas!$B$3:$B$563,J$3,Input_Konektivitas!$D$3:$D$563,"&gt;0")+COUNTIFS(Input_Konektivitas!$A$3:$A$563,J$3,Input_Konektivitas!$B$3:$B$563,$A25,Input_Konektivitas!$D$3:$D$563,"&gt;0"))=0,"",SUMIFS(Input_Konektivitas!$D$3:$D$563,Input_Konektivitas!$A$3:$A$563,$A25,Input_Konektivitas!$B$3:$B$563,J$3)+SUMIFS(Input_Konektivitas!$D$3:$D$563,Input_Konektivitas!$A$3:$A$563,J$3,Input_Konektivitas!$B$3:$B$563,$A25))</f>
        <v>4.75</v>
      </c>
      <c r="K25" s="27">
        <f>IF((COUNTIFS(Input_Konektivitas!$A$3:$A$563,$A25,Input_Konektivitas!$B$3:$B$563,K$3,Input_Konektivitas!$D$3:$D$563,"&gt;0")+COUNTIFS(Input_Konektivitas!$A$3:$A$563,K$3,Input_Konektivitas!$B$3:$B$563,$A25,Input_Konektivitas!$D$3:$D$563,"&gt;0"))=0,"",SUMIFS(Input_Konektivitas!$D$3:$D$563,Input_Konektivitas!$A$3:$A$563,$A25,Input_Konektivitas!$B$3:$B$563,K$3)+SUMIFS(Input_Konektivitas!$D$3:$D$563,Input_Konektivitas!$A$3:$A$563,K$3,Input_Konektivitas!$B$3:$B$563,$A25))</f>
        <v>1.25</v>
      </c>
      <c r="L25" s="27">
        <f>IF((COUNTIFS(Input_Konektivitas!$A$3:$A$563,$A25,Input_Konektivitas!$B$3:$B$563,L$3,Input_Konektivitas!$D$3:$D$563,"&gt;0")+COUNTIFS(Input_Konektivitas!$A$3:$A$563,L$3,Input_Konektivitas!$B$3:$B$563,$A25,Input_Konektivitas!$D$3:$D$563,"&gt;0"))=0,"",SUMIFS(Input_Konektivitas!$D$3:$D$563,Input_Konektivitas!$A$3:$A$563,$A25,Input_Konektivitas!$B$3:$B$563,L$3)+SUMIFS(Input_Konektivitas!$D$3:$D$563,Input_Konektivitas!$A$3:$A$563,L$3,Input_Konektivitas!$B$3:$B$563,$A25))</f>
        <v>1.83</v>
      </c>
      <c r="M25" s="27">
        <f>IF((COUNTIFS(Input_Konektivitas!$A$3:$A$563,$A25,Input_Konektivitas!$B$3:$B$563,M$3,Input_Konektivitas!$D$3:$D$563,"&gt;0")+COUNTIFS(Input_Konektivitas!$A$3:$A$563,M$3,Input_Konektivitas!$B$3:$B$563,$A25,Input_Konektivitas!$D$3:$D$563,"&gt;0"))=0,"",SUMIFS(Input_Konektivitas!$D$3:$D$563,Input_Konektivitas!$A$3:$A$563,$A25,Input_Konektivitas!$B$3:$B$563,M$3)+SUMIFS(Input_Konektivitas!$D$3:$D$563,Input_Konektivitas!$A$3:$A$563,M$3,Input_Konektivitas!$B$3:$B$563,$A25))</f>
        <v>5.5</v>
      </c>
      <c r="N25" s="27">
        <f>IF((COUNTIFS(Input_Konektivitas!$A$3:$A$563,$A25,Input_Konektivitas!$B$3:$B$563,N$3,Input_Konektivitas!$D$3:$D$563,"&gt;0")+COUNTIFS(Input_Konektivitas!$A$3:$A$563,N$3,Input_Konektivitas!$B$3:$B$563,$A25,Input_Konektivitas!$D$3:$D$563,"&gt;0"))=0,"",SUMIFS(Input_Konektivitas!$D$3:$D$563,Input_Konektivitas!$A$3:$A$563,$A25,Input_Konektivitas!$B$3:$B$563,N$3)+SUMIFS(Input_Konektivitas!$D$3:$D$563,Input_Konektivitas!$A$3:$A$563,N$3,Input_Konektivitas!$B$3:$B$563,$A25))</f>
        <v>1.25</v>
      </c>
      <c r="O25" s="27">
        <f>IF((COUNTIFS(Input_Konektivitas!$A$3:$A$563,$A25,Input_Konektivitas!$B$3:$B$563,O$3,Input_Konektivitas!$D$3:$D$563,"&gt;0")+COUNTIFS(Input_Konektivitas!$A$3:$A$563,O$3,Input_Konektivitas!$B$3:$B$563,$A25,Input_Konektivitas!$D$3:$D$563,"&gt;0"))=0,"",SUMIFS(Input_Konektivitas!$D$3:$D$563,Input_Konektivitas!$A$3:$A$563,$A25,Input_Konektivitas!$B$3:$B$563,O$3)+SUMIFS(Input_Konektivitas!$D$3:$D$563,Input_Konektivitas!$A$3:$A$563,O$3,Input_Konektivitas!$B$3:$B$563,$A25))</f>
        <v>1.5</v>
      </c>
      <c r="P25" s="27">
        <f>IF((COUNTIFS(Input_Konektivitas!$A$3:$A$563,$A25,Input_Konektivitas!$B$3:$B$563,P$3,Input_Konektivitas!$D$3:$D$563,"&gt;0")+COUNTIFS(Input_Konektivitas!$A$3:$A$563,P$3,Input_Konektivitas!$B$3:$B$563,$A25,Input_Konektivitas!$D$3:$D$563,"&gt;0"))=0,"",SUMIFS(Input_Konektivitas!$D$3:$D$563,Input_Konektivitas!$A$3:$A$563,$A25,Input_Konektivitas!$B$3:$B$563,P$3)+SUMIFS(Input_Konektivitas!$D$3:$D$563,Input_Konektivitas!$A$3:$A$563,P$3,Input_Konektivitas!$B$3:$B$563,$A25))</f>
        <v>1.167</v>
      </c>
      <c r="Q25" s="27" t="str">
        <f>IF((COUNTIFS(Input_Konektivitas!$A$3:$A$563,$A25,Input_Konektivitas!$B$3:$B$563,Q$3,Input_Konektivitas!$D$3:$D$563,"&gt;0")+COUNTIFS(Input_Konektivitas!$A$3:$A$563,Q$3,Input_Konektivitas!$B$3:$B$563,$A25,Input_Konektivitas!$D$3:$D$563,"&gt;0"))=0,"",SUMIFS(Input_Konektivitas!$D$3:$D$563,Input_Konektivitas!$A$3:$A$563,$A25,Input_Konektivitas!$B$3:$B$563,Q$3)+SUMIFS(Input_Konektivitas!$D$3:$D$563,Input_Konektivitas!$A$3:$A$563,Q$3,Input_Konektivitas!$B$3:$B$563,$A25))</f>
        <v/>
      </c>
      <c r="R25" s="27">
        <f>IF((COUNTIFS(Input_Konektivitas!$A$3:$A$563,$A25,Input_Konektivitas!$B$3:$B$563,R$3,Input_Konektivitas!$D$3:$D$563,"&gt;0")+COUNTIFS(Input_Konektivitas!$A$3:$A$563,R$3,Input_Konektivitas!$B$3:$B$563,$A25,Input_Konektivitas!$D$3:$D$563,"&gt;0"))=0,"",SUMIFS(Input_Konektivitas!$D$3:$D$563,Input_Konektivitas!$A$3:$A$563,$A25,Input_Konektivitas!$B$3:$B$563,R$3)+SUMIFS(Input_Konektivitas!$D$3:$D$563,Input_Konektivitas!$A$3:$A$563,R$3,Input_Konektivitas!$B$3:$B$563,$A25))</f>
        <v>1.5</v>
      </c>
      <c r="S25" s="27">
        <f>IF((COUNTIFS(Input_Konektivitas!$A$3:$A$563,$A25,Input_Konektivitas!$B$3:$B$563,S$3,Input_Konektivitas!$D$3:$D$563,"&gt;0")+COUNTIFS(Input_Konektivitas!$A$3:$A$563,S$3,Input_Konektivitas!$B$3:$B$563,$A25,Input_Konektivitas!$D$3:$D$563,"&gt;0"))=0,"",SUMIFS(Input_Konektivitas!$D$3:$D$563,Input_Konektivitas!$A$3:$A$563,$A25,Input_Konektivitas!$B$3:$B$563,S$3)+SUMIFS(Input_Konektivitas!$D$3:$D$563,Input_Konektivitas!$A$3:$A$563,S$3,Input_Konektivitas!$B$3:$B$563,$A25))</f>
        <v>2.916</v>
      </c>
      <c r="T25" s="27">
        <f>IF((COUNTIFS(Input_Konektivitas!$A$3:$A$563,$A25,Input_Konektivitas!$B$3:$B$563,T$3,Input_Konektivitas!$D$3:$D$563,"&gt;0")+COUNTIFS(Input_Konektivitas!$A$3:$A$563,T$3,Input_Konektivitas!$B$3:$B$563,$A25,Input_Konektivitas!$D$3:$D$563,"&gt;0"))=0,"",SUMIFS(Input_Konektivitas!$D$3:$D$563,Input_Konektivitas!$A$3:$A$563,$A25,Input_Konektivitas!$B$3:$B$563,T$3)+SUMIFS(Input_Konektivitas!$D$3:$D$563,Input_Konektivitas!$A$3:$A$563,T$3,Input_Konektivitas!$B$3:$B$563,$A25))</f>
        <v>5.25</v>
      </c>
      <c r="U25" s="27">
        <f>IF((COUNTIFS(Input_Konektivitas!$A$3:$A$563,$A25,Input_Konektivitas!$B$3:$B$563,U$3,Input_Konektivitas!$D$3:$D$563,"&gt;0")+COUNTIFS(Input_Konektivitas!$A$3:$A$563,U$3,Input_Konektivitas!$B$3:$B$563,$A25,Input_Konektivitas!$D$3:$D$563,"&gt;0"))=0,"",SUMIFS(Input_Konektivitas!$D$3:$D$563,Input_Konektivitas!$A$3:$A$563,$A25,Input_Konektivitas!$B$3:$B$563,U$3)+SUMIFS(Input_Konektivitas!$D$3:$D$563,Input_Konektivitas!$A$3:$A$563,U$3,Input_Konektivitas!$B$3:$B$563,$A25))</f>
        <v>4.33</v>
      </c>
      <c r="V25" s="27">
        <f>IF((COUNTIFS(Input_Konektivitas!$A$3:$A$563,$A25,Input_Konektivitas!$B$3:$B$563,V$3,Input_Konektivitas!$D$3:$D$563,"&gt;0")+COUNTIFS(Input_Konektivitas!$A$3:$A$563,V$3,Input_Konektivitas!$B$3:$B$563,$A25,Input_Konektivitas!$D$3:$D$563,"&gt;0"))=0,"",SUMIFS(Input_Konektivitas!$D$3:$D$563,Input_Konektivitas!$A$3:$A$563,$A25,Input_Konektivitas!$B$3:$B$563,V$3)+SUMIFS(Input_Konektivitas!$D$3:$D$563,Input_Konektivitas!$A$3:$A$563,V$3,Input_Konektivitas!$B$3:$B$563,$A25))</f>
        <v>5</v>
      </c>
      <c r="W25" s="23">
        <v>0.0</v>
      </c>
      <c r="X25" s="27">
        <f>IF((COUNTIFS(Input_Konektivitas!$A$3:$A$563,$A25,Input_Konektivitas!$B$3:$B$563,X$3,Input_Konektivitas!$D$3:$D$563,"&gt;0")+COUNTIFS(Input_Konektivitas!$A$3:$A$563,X$3,Input_Konektivitas!$B$3:$B$563,$A25,Input_Konektivitas!$D$3:$D$563,"&gt;0"))=0,"",SUMIFS(Input_Konektivitas!$D$3:$D$563,Input_Konektivitas!$A$3:$A$563,$A25,Input_Konektivitas!$B$3:$B$563,X$3)+SUMIFS(Input_Konektivitas!$D$3:$D$563,Input_Konektivitas!$A$3:$A$563,X$3,Input_Konektivitas!$B$3:$B$563,$A25))</f>
        <v>1.166</v>
      </c>
      <c r="Y25" s="27">
        <f>IF((COUNTIFS(Input_Konektivitas!$A$3:$A$563,$A25,Input_Konektivitas!$B$3:$B$563,Y$3,Input_Konektivitas!$D$3:$D$563,"&gt;0")+COUNTIFS(Input_Konektivitas!$A$3:$A$563,Y$3,Input_Konektivitas!$B$3:$B$563,$A25,Input_Konektivitas!$D$3:$D$563,"&gt;0"))=0,"",SUMIFS(Input_Konektivitas!$D$3:$D$563,Input_Konektivitas!$A$3:$A$563,$A25,Input_Konektivitas!$B$3:$B$563,Y$3)+SUMIFS(Input_Konektivitas!$D$3:$D$563,Input_Konektivitas!$A$3:$A$563,Y$3,Input_Konektivitas!$B$3:$B$563,$A25))</f>
        <v>4</v>
      </c>
      <c r="Z25" s="27">
        <f>IF((COUNTIFS(Input_Konektivitas!$A$3:$A$563,$A25,Input_Konektivitas!$B$3:$B$563,Z$3,Input_Konektivitas!$D$3:$D$563,"&gt;0")+COUNTIFS(Input_Konektivitas!$A$3:$A$563,Z$3,Input_Konektivitas!$B$3:$B$563,$A25,Input_Konektivitas!$D$3:$D$563,"&gt;0"))=0,"",SUMIFS(Input_Konektivitas!$D$3:$D$563,Input_Konektivitas!$A$3:$A$563,$A25,Input_Konektivitas!$B$3:$B$563,Z$3)+SUMIFS(Input_Konektivitas!$D$3:$D$563,Input_Konektivitas!$A$3:$A$563,Z$3,Input_Konektivitas!$B$3:$B$563,$A25))</f>
        <v>5.4166</v>
      </c>
      <c r="AA25" s="27">
        <f>IF((COUNTIFS(Input_Konektivitas!$A$3:$A$563,$A25,Input_Konektivitas!$B$3:$B$563,AA$3,Input_Konektivitas!$D$3:$D$563,"&gt;0")+COUNTIFS(Input_Konektivitas!$A$3:$A$563,AA$3,Input_Konektivitas!$B$3:$B$563,$A25,Input_Konektivitas!$D$3:$D$563,"&gt;0"))=0,"",SUMIFS(Input_Konektivitas!$D$3:$D$563,Input_Konektivitas!$A$3:$A$563,$A25,Input_Konektivitas!$B$3:$B$563,AA$3)+SUMIFS(Input_Konektivitas!$D$3:$D$563,Input_Konektivitas!$A$3:$A$563,AA$3,Input_Konektivitas!$B$3:$B$563,$A25))</f>
        <v>7.9166</v>
      </c>
      <c r="AB25" s="27">
        <f>IF((COUNTIFS(Input_Konektivitas!$A$3:$A$563,$A25,Input_Konektivitas!$B$3:$B$563,AB$3,Input_Konektivitas!$D$3:$D$563,"&gt;0")+COUNTIFS(Input_Konektivitas!$A$3:$A$563,AB$3,Input_Konektivitas!$B$3:$B$563,$A25,Input_Konektivitas!$D$3:$D$563,"&gt;0"))=0,"",SUMIFS(Input_Konektivitas!$D$3:$D$563,Input_Konektivitas!$A$3:$A$563,$A25,Input_Konektivitas!$B$3:$B$563,AB$3)+SUMIFS(Input_Konektivitas!$D$3:$D$563,Input_Konektivitas!$A$3:$A$563,AB$3,Input_Konektivitas!$B$3:$B$563,$A25))</f>
        <v>1.25</v>
      </c>
      <c r="AC25" s="27">
        <f>IF((COUNTIFS(Input_Konektivitas!$A$3:$A$563,$A25,Input_Konektivitas!$B$3:$B$563,AC$3,Input_Konektivitas!$D$3:$D$563,"&gt;0")+COUNTIFS(Input_Konektivitas!$A$3:$A$563,AC$3,Input_Konektivitas!$B$3:$B$563,$A25,Input_Konektivitas!$D$3:$D$563,"&gt;0"))=0,"",SUMIFS(Input_Konektivitas!$D$3:$D$563,Input_Konektivitas!$A$3:$A$563,$A25,Input_Konektivitas!$B$3:$B$563,AC$3)+SUMIFS(Input_Konektivitas!$D$3:$D$563,Input_Konektivitas!$A$3:$A$563,AC$3,Input_Konektivitas!$B$3:$B$563,$A25))</f>
        <v>4.25</v>
      </c>
      <c r="AD25" s="27">
        <f>IF((COUNTIFS(Input_Konektivitas!$A$3:$A$563,$A25,Input_Konektivitas!$B$3:$B$563,AD$3,Input_Konektivitas!$D$3:$D$563,"&gt;0")+COUNTIFS(Input_Konektivitas!$A$3:$A$563,AD$3,Input_Konektivitas!$B$3:$B$563,$A25,Input_Konektivitas!$D$3:$D$563,"&gt;0"))=0,"",SUMIFS(Input_Konektivitas!$D$3:$D$563,Input_Konektivitas!$A$3:$A$563,$A25,Input_Konektivitas!$B$3:$B$563,AD$3)+SUMIFS(Input_Konektivitas!$D$3:$D$563,Input_Konektivitas!$A$3:$A$563,AD$3,Input_Konektivitas!$B$3:$B$563,$A25))</f>
        <v>8.166</v>
      </c>
      <c r="AE25" s="27">
        <f>IF((COUNTIFS(Input_Konektivitas!$A$3:$A$563,$A25,Input_Konektivitas!$B$3:$B$563,AE$3,Input_Konektivitas!$D$3:$D$563,"&gt;0")+COUNTIFS(Input_Konektivitas!$A$3:$A$563,AE$3,Input_Konektivitas!$B$3:$B$563,$A25,Input_Konektivitas!$D$3:$D$563,"&gt;0"))=0,"",SUMIFS(Input_Konektivitas!$D$3:$D$563,Input_Konektivitas!$A$3:$A$563,$A25,Input_Konektivitas!$B$3:$B$563,AE$3)+SUMIFS(Input_Konektivitas!$D$3:$D$563,Input_Konektivitas!$A$3:$A$563,AE$3,Input_Konektivitas!$B$3:$B$563,$A25))</f>
        <v>4.5</v>
      </c>
      <c r="AF25" s="27">
        <f>IF((COUNTIFS(Input_Konektivitas!$A$3:$A$563,$A25,Input_Konektivitas!$B$3:$B$563,AF$3,Input_Konektivitas!$D$3:$D$563,"&gt;0")+COUNTIFS(Input_Konektivitas!$A$3:$A$563,AF$3,Input_Konektivitas!$B$3:$B$563,$A25,Input_Konektivitas!$D$3:$D$563,"&gt;0"))=0,"",SUMIFS(Input_Konektivitas!$D$3:$D$563,Input_Konektivitas!$A$3:$A$563,$A25,Input_Konektivitas!$B$3:$B$563,AF$3)+SUMIFS(Input_Konektivitas!$D$3:$D$563,Input_Konektivitas!$A$3:$A$563,AF$3,Input_Konektivitas!$B$3:$B$563,$A25))</f>
        <v>7.583</v>
      </c>
      <c r="AG25" s="27">
        <f>IF((COUNTIFS(Input_Konektivitas!$A$3:$A$563,$A25,Input_Konektivitas!$B$3:$B$563,AG$3,Input_Konektivitas!$D$3:$D$563,"&gt;0")+COUNTIFS(Input_Konektivitas!$A$3:$A$563,AG$3,Input_Konektivitas!$B$3:$B$563,$A25,Input_Konektivitas!$D$3:$D$563,"&gt;0"))=0,"",SUMIFS(Input_Konektivitas!$D$3:$D$563,Input_Konektivitas!$A$3:$A$563,$A25,Input_Konektivitas!$B$3:$B$563,AG$3)+SUMIFS(Input_Konektivitas!$D$3:$D$563,Input_Konektivitas!$A$3:$A$563,AG$3,Input_Konektivitas!$B$3:$B$563,$A25))</f>
        <v>9.416</v>
      </c>
      <c r="AH25" s="27">
        <f>IF((COUNTIFS(Input_Konektivitas!$A$3:$A$563,$A25,Input_Konektivitas!$B$3:$B$563,AH$3,Input_Konektivitas!$D$3:$D$563,"&gt;0")+COUNTIFS(Input_Konektivitas!$A$3:$A$563,AH$3,Input_Konektivitas!$B$3:$B$563,$A25,Input_Konektivitas!$D$3:$D$563,"&gt;0"))=0,"",SUMIFS(Input_Konektivitas!$D$3:$D$563,Input_Konektivitas!$A$3:$A$563,$A25,Input_Konektivitas!$B$3:$B$563,AH$3)+SUMIFS(Input_Konektivitas!$D$3:$D$563,Input_Konektivitas!$A$3:$A$563,AH$3,Input_Konektivitas!$B$3:$B$563,$A25))</f>
        <v>7.166</v>
      </c>
      <c r="AI25" s="27">
        <f>IF((COUNTIFS(Input_Konektivitas!$A$3:$A$563,$A25,Input_Konektivitas!$B$3:$B$563,AI$3,Input_Konektivitas!$D$3:$D$563,"&gt;0")+COUNTIFS(Input_Konektivitas!$A$3:$A$563,AI$3,Input_Konektivitas!$B$3:$B$563,$A25,Input_Konektivitas!$D$3:$D$563,"&gt;0"))=0,"",SUMIFS(Input_Konektivitas!$D$3:$D$563,Input_Konektivitas!$A$3:$A$563,$A25,Input_Konektivitas!$B$3:$B$563,AI$3)+SUMIFS(Input_Konektivitas!$D$3:$D$563,Input_Konektivitas!$A$3:$A$563,AI$3,Input_Konektivitas!$B$3:$B$563,$A25))</f>
        <v>12.5833</v>
      </c>
    </row>
    <row r="26" ht="14.25" customHeight="1">
      <c r="A26" s="22" t="s">
        <v>68</v>
      </c>
      <c r="B26" s="27">
        <f>IF((COUNTIFS(Input_Konektivitas!$A$3:$A$563,$A26,Input_Konektivitas!$B$3:$B$563,B$3,Input_Konektivitas!$D$3:$D$563,"&gt;0")+COUNTIFS(Input_Konektivitas!$A$3:$A$563,B$3,Input_Konektivitas!$B$3:$B$563,$A26,Input_Konektivitas!$D$3:$D$563,"&gt;0"))=0,"",SUMIFS(Input_Konektivitas!$D$3:$D$563,Input_Konektivitas!$A$3:$A$563,$A26,Input_Konektivitas!$B$3:$B$563,B$3)+SUMIFS(Input_Konektivitas!$D$3:$D$563,Input_Konektivitas!$A$3:$A$563,B$3,Input_Konektivitas!$B$3:$B$563,$A26))</f>
        <v>8.916677</v>
      </c>
      <c r="C26" s="27">
        <f>IF((COUNTIFS(Input_Konektivitas!$A$3:$A$563,$A26,Input_Konektivitas!$B$3:$B$563,C$3,Input_Konektivitas!$D$3:$D$563,"&gt;0")+COUNTIFS(Input_Konektivitas!$A$3:$A$563,C$3,Input_Konektivitas!$B$3:$B$563,$A26,Input_Konektivitas!$D$3:$D$563,"&gt;0"))=0,"",SUMIFS(Input_Konektivitas!$D$3:$D$563,Input_Konektivitas!$A$3:$A$563,$A26,Input_Konektivitas!$B$3:$B$563,C$3)+SUMIFS(Input_Konektivitas!$D$3:$D$563,Input_Konektivitas!$A$3:$A$563,C$3,Input_Konektivitas!$B$3:$B$563,$A26))</f>
        <v>6.67</v>
      </c>
      <c r="D26" s="27">
        <f>IF((COUNTIFS(Input_Konektivitas!$A$3:$A$563,$A26,Input_Konektivitas!$B$3:$B$563,D$3,Input_Konektivitas!$D$3:$D$563,"&gt;0")+COUNTIFS(Input_Konektivitas!$A$3:$A$563,D$3,Input_Konektivitas!$B$3:$B$563,$A26,Input_Konektivitas!$D$3:$D$563,"&gt;0"))=0,"",SUMIFS(Input_Konektivitas!$D$3:$D$563,Input_Konektivitas!$A$3:$A$563,$A26,Input_Konektivitas!$B$3:$B$563,D$3)+SUMIFS(Input_Konektivitas!$D$3:$D$563,Input_Konektivitas!$A$3:$A$563,D$3,Input_Konektivitas!$B$3:$B$563,$A26))</f>
        <v>5.38</v>
      </c>
      <c r="E26" s="27">
        <f>IF((COUNTIFS(Input_Konektivitas!$A$3:$A$563,$A26,Input_Konektivitas!$B$3:$B$563,E$3,Input_Konektivitas!$D$3:$D$563,"&gt;0")+COUNTIFS(Input_Konektivitas!$A$3:$A$563,E$3,Input_Konektivitas!$B$3:$B$563,$A26,Input_Konektivitas!$D$3:$D$563,"&gt;0"))=0,"",SUMIFS(Input_Konektivitas!$D$3:$D$563,Input_Konektivitas!$A$3:$A$563,$A26,Input_Konektivitas!$B$3:$B$563,E$3)+SUMIFS(Input_Konektivitas!$D$3:$D$563,Input_Konektivitas!$A$3:$A$563,E$3,Input_Konektivitas!$B$3:$B$563,$A26))</f>
        <v>5.33</v>
      </c>
      <c r="F26" s="27">
        <f>IF((COUNTIFS(Input_Konektivitas!$A$3:$A$563,$A26,Input_Konektivitas!$B$3:$B$563,F$3,Input_Konektivitas!$D$3:$D$563,"&gt;0")+COUNTIFS(Input_Konektivitas!$A$3:$A$563,F$3,Input_Konektivitas!$B$3:$B$563,$A26,Input_Konektivitas!$D$3:$D$563,"&gt;0"))=0,"",SUMIFS(Input_Konektivitas!$D$3:$D$563,Input_Konektivitas!$A$3:$A$563,$A26,Input_Konektivitas!$B$3:$B$563,F$3)+SUMIFS(Input_Konektivitas!$D$3:$D$563,Input_Konektivitas!$A$3:$A$563,F$3,Input_Konektivitas!$B$3:$B$563,$A26))</f>
        <v>4.58</v>
      </c>
      <c r="G26" s="27">
        <f>IF((COUNTIFS(Input_Konektivitas!$A$3:$A$563,$A26,Input_Konektivitas!$B$3:$B$563,G$3,Input_Konektivitas!$D$3:$D$563,"&gt;0")+COUNTIFS(Input_Konektivitas!$A$3:$A$563,G$3,Input_Konektivitas!$B$3:$B$563,$A26,Input_Konektivitas!$D$3:$D$563,"&gt;0"))=0,"",SUMIFS(Input_Konektivitas!$D$3:$D$563,Input_Konektivitas!$A$3:$A$563,$A26,Input_Konektivitas!$B$3:$B$563,G$3)+SUMIFS(Input_Konektivitas!$D$3:$D$563,Input_Konektivitas!$A$3:$A$563,G$3,Input_Konektivitas!$B$3:$B$563,$A26))</f>
        <v>5.33</v>
      </c>
      <c r="H26" s="27">
        <f>IF((COUNTIFS(Input_Konektivitas!$A$3:$A$563,$A26,Input_Konektivitas!$B$3:$B$563,H$3,Input_Konektivitas!$D$3:$D$563,"&gt;0")+COUNTIFS(Input_Konektivitas!$A$3:$A$563,H$3,Input_Konektivitas!$B$3:$B$563,$A26,Input_Konektivitas!$D$3:$D$563,"&gt;0"))=0,"",SUMIFS(Input_Konektivitas!$D$3:$D$563,Input_Konektivitas!$A$3:$A$563,$A26,Input_Konektivitas!$B$3:$B$563,H$3)+SUMIFS(Input_Konektivitas!$D$3:$D$563,Input_Konektivitas!$A$3:$A$563,H$3,Input_Konektivitas!$B$3:$B$563,$A26))</f>
        <v>5.33</v>
      </c>
      <c r="I26" s="27">
        <f>IF((COUNTIFS(Input_Konektivitas!$A$3:$A$563,$A26,Input_Konektivitas!$B$3:$B$563,I$3,Input_Konektivitas!$D$3:$D$563,"&gt;0")+COUNTIFS(Input_Konektivitas!$A$3:$A$563,I$3,Input_Konektivitas!$B$3:$B$563,$A26,Input_Konektivitas!$D$3:$D$563,"&gt;0"))=0,"",SUMIFS(Input_Konektivitas!$D$3:$D$563,Input_Konektivitas!$A$3:$A$563,$A26,Input_Konektivitas!$B$3:$B$563,I$3)+SUMIFS(Input_Konektivitas!$D$3:$D$563,Input_Konektivitas!$A$3:$A$563,I$3,Input_Konektivitas!$B$3:$B$563,$A26))</f>
        <v>5.25</v>
      </c>
      <c r="J26" s="27">
        <f>IF((COUNTIFS(Input_Konektivitas!$A$3:$A$563,$A26,Input_Konektivitas!$B$3:$B$563,J$3,Input_Konektivitas!$D$3:$D$563,"&gt;0")+COUNTIFS(Input_Konektivitas!$A$3:$A$563,J$3,Input_Konektivitas!$B$3:$B$563,$A26,Input_Konektivitas!$D$3:$D$563,"&gt;0"))=0,"",SUMIFS(Input_Konektivitas!$D$3:$D$563,Input_Konektivitas!$A$3:$A$563,$A26,Input_Konektivitas!$B$3:$B$563,J$3)+SUMIFS(Input_Konektivitas!$D$3:$D$563,Input_Konektivitas!$A$3:$A$563,J$3,Input_Konektivitas!$B$3:$B$563,$A26))</f>
        <v>6.5</v>
      </c>
      <c r="K26" s="27">
        <f>IF((COUNTIFS(Input_Konektivitas!$A$3:$A$563,$A26,Input_Konektivitas!$B$3:$B$563,K$3,Input_Konektivitas!$D$3:$D$563,"&gt;0")+COUNTIFS(Input_Konektivitas!$A$3:$A$563,K$3,Input_Konektivitas!$B$3:$B$563,$A26,Input_Konektivitas!$D$3:$D$563,"&gt;0"))=0,"",SUMIFS(Input_Konektivitas!$D$3:$D$563,Input_Konektivitas!$A$3:$A$563,$A26,Input_Konektivitas!$B$3:$B$563,K$3)+SUMIFS(Input_Konektivitas!$D$3:$D$563,Input_Konektivitas!$A$3:$A$563,K$3,Input_Konektivitas!$B$3:$B$563,$A26))</f>
        <v>5.83333333</v>
      </c>
      <c r="L26" s="27">
        <f>IF((COUNTIFS(Input_Konektivitas!$A$3:$A$563,$A26,Input_Konektivitas!$B$3:$B$563,L$3,Input_Konektivitas!$D$3:$D$563,"&gt;0")+COUNTIFS(Input_Konektivitas!$A$3:$A$563,L$3,Input_Konektivitas!$B$3:$B$563,$A26,Input_Konektivitas!$D$3:$D$563,"&gt;0"))=0,"",SUMIFS(Input_Konektivitas!$D$3:$D$563,Input_Konektivitas!$A$3:$A$563,$A26,Input_Konektivitas!$B$3:$B$563,L$3)+SUMIFS(Input_Konektivitas!$D$3:$D$563,Input_Konektivitas!$A$3:$A$563,L$3,Input_Konektivitas!$B$3:$B$563,$A26))</f>
        <v>2.17</v>
      </c>
      <c r="M26" s="27">
        <f>IF((COUNTIFS(Input_Konektivitas!$A$3:$A$563,$A26,Input_Konektivitas!$B$3:$B$563,M$3,Input_Konektivitas!$D$3:$D$563,"&gt;0")+COUNTIFS(Input_Konektivitas!$A$3:$A$563,M$3,Input_Konektivitas!$B$3:$B$563,$A26,Input_Konektivitas!$D$3:$D$563,"&gt;0"))=0,"",SUMIFS(Input_Konektivitas!$D$3:$D$563,Input_Konektivitas!$A$3:$A$563,$A26,Input_Konektivitas!$B$3:$B$563,M$3)+SUMIFS(Input_Konektivitas!$D$3:$D$563,Input_Konektivitas!$A$3:$A$563,M$3,Input_Konektivitas!$B$3:$B$563,$A26))</f>
        <v>2.17</v>
      </c>
      <c r="N26" s="27">
        <f>IF((COUNTIFS(Input_Konektivitas!$A$3:$A$563,$A26,Input_Konektivitas!$B$3:$B$563,N$3,Input_Konektivitas!$D$3:$D$563,"&gt;0")+COUNTIFS(Input_Konektivitas!$A$3:$A$563,N$3,Input_Konektivitas!$B$3:$B$563,$A26,Input_Konektivitas!$D$3:$D$563,"&gt;0"))=0,"",SUMIFS(Input_Konektivitas!$D$3:$D$563,Input_Konektivitas!$A$3:$A$563,$A26,Input_Konektivitas!$B$3:$B$563,N$3)+SUMIFS(Input_Konektivitas!$D$3:$D$563,Input_Konektivitas!$A$3:$A$563,N$3,Input_Konektivitas!$B$3:$B$563,$A26))</f>
        <v>1.75</v>
      </c>
      <c r="O26" s="27">
        <f>IF((COUNTIFS(Input_Konektivitas!$A$3:$A$563,$A26,Input_Konektivitas!$B$3:$B$563,O$3,Input_Konektivitas!$D$3:$D$563,"&gt;0")+COUNTIFS(Input_Konektivitas!$A$3:$A$563,O$3,Input_Konektivitas!$B$3:$B$563,$A26,Input_Konektivitas!$D$3:$D$563,"&gt;0"))=0,"",SUMIFS(Input_Konektivitas!$D$3:$D$563,Input_Konektivitas!$A$3:$A$563,$A26,Input_Konektivitas!$B$3:$B$563,O$3)+SUMIFS(Input_Konektivitas!$D$3:$D$563,Input_Konektivitas!$A$3:$A$563,O$3,Input_Konektivitas!$B$3:$B$563,$A26))</f>
        <v>1.92</v>
      </c>
      <c r="P26" s="27">
        <f>IF((COUNTIFS(Input_Konektivitas!$A$3:$A$563,$A26,Input_Konektivitas!$B$3:$B$563,P$3,Input_Konektivitas!$D$3:$D$563,"&gt;0")+COUNTIFS(Input_Konektivitas!$A$3:$A$563,P$3,Input_Konektivitas!$B$3:$B$563,$A26,Input_Konektivitas!$D$3:$D$563,"&gt;0"))=0,"",SUMIFS(Input_Konektivitas!$D$3:$D$563,Input_Konektivitas!$A$3:$A$563,$A26,Input_Konektivitas!$B$3:$B$563,P$3)+SUMIFS(Input_Konektivitas!$D$3:$D$563,Input_Konektivitas!$A$3:$A$563,P$3,Input_Konektivitas!$B$3:$B$563,$A26))</f>
        <v>1.583</v>
      </c>
      <c r="Q26" s="27" t="str">
        <f>IF((COUNTIFS(Input_Konektivitas!$A$3:$A$563,$A26,Input_Konektivitas!$B$3:$B$563,Q$3,Input_Konektivitas!$D$3:$D$563,"&gt;0")+COUNTIFS(Input_Konektivitas!$A$3:$A$563,Q$3,Input_Konektivitas!$B$3:$B$563,$A26,Input_Konektivitas!$D$3:$D$563,"&gt;0"))=0,"",SUMIFS(Input_Konektivitas!$D$3:$D$563,Input_Konektivitas!$A$3:$A$563,$A26,Input_Konektivitas!$B$3:$B$563,Q$3)+SUMIFS(Input_Konektivitas!$D$3:$D$563,Input_Konektivitas!$A$3:$A$563,Q$3,Input_Konektivitas!$B$3:$B$563,$A26))</f>
        <v/>
      </c>
      <c r="R26" s="27">
        <f>IF((COUNTIFS(Input_Konektivitas!$A$3:$A$563,$A26,Input_Konektivitas!$B$3:$B$563,R$3,Input_Konektivitas!$D$3:$D$563,"&gt;0")+COUNTIFS(Input_Konektivitas!$A$3:$A$563,R$3,Input_Konektivitas!$B$3:$B$563,$A26,Input_Konektivitas!$D$3:$D$563,"&gt;0"))=0,"",SUMIFS(Input_Konektivitas!$D$3:$D$563,Input_Konektivitas!$A$3:$A$563,$A26,Input_Konektivitas!$B$3:$B$563,R$3)+SUMIFS(Input_Konektivitas!$D$3:$D$563,Input_Konektivitas!$A$3:$A$563,R$3,Input_Konektivitas!$B$3:$B$563,$A26))</f>
        <v>1.75</v>
      </c>
      <c r="S26" s="27">
        <f>IF((COUNTIFS(Input_Konektivitas!$A$3:$A$563,$A26,Input_Konektivitas!$B$3:$B$563,S$3,Input_Konektivitas!$D$3:$D$563,"&gt;0")+COUNTIFS(Input_Konektivitas!$A$3:$A$563,S$3,Input_Konektivitas!$B$3:$B$563,$A26,Input_Konektivitas!$D$3:$D$563,"&gt;0"))=0,"",SUMIFS(Input_Konektivitas!$D$3:$D$563,Input_Konektivitas!$A$3:$A$563,$A26,Input_Konektivitas!$B$3:$B$563,S$3)+SUMIFS(Input_Konektivitas!$D$3:$D$563,Input_Konektivitas!$A$3:$A$563,S$3,Input_Konektivitas!$B$3:$B$563,$A26))</f>
        <v>1.5833</v>
      </c>
      <c r="T26" s="27">
        <f>IF((COUNTIFS(Input_Konektivitas!$A$3:$A$563,$A26,Input_Konektivitas!$B$3:$B$563,T$3,Input_Konektivitas!$D$3:$D$563,"&gt;0")+COUNTIFS(Input_Konektivitas!$A$3:$A$563,T$3,Input_Konektivitas!$B$3:$B$563,$A26,Input_Konektivitas!$D$3:$D$563,"&gt;0"))=0,"",SUMIFS(Input_Konektivitas!$D$3:$D$563,Input_Konektivitas!$A$3:$A$563,$A26,Input_Konektivitas!$B$3:$B$563,T$3)+SUMIFS(Input_Konektivitas!$D$3:$D$563,Input_Konektivitas!$A$3:$A$563,T$3,Input_Konektivitas!$B$3:$B$563,$A26))</f>
        <v>3.75</v>
      </c>
      <c r="U26" s="27">
        <f>IF((COUNTIFS(Input_Konektivitas!$A$3:$A$563,$A26,Input_Konektivitas!$B$3:$B$563,U$3,Input_Konektivitas!$D$3:$D$563,"&gt;0")+COUNTIFS(Input_Konektivitas!$A$3:$A$563,U$3,Input_Konektivitas!$B$3:$B$563,$A26,Input_Konektivitas!$D$3:$D$563,"&gt;0"))=0,"",SUMIFS(Input_Konektivitas!$D$3:$D$563,Input_Konektivitas!$A$3:$A$563,$A26,Input_Konektivitas!$B$3:$B$563,U$3)+SUMIFS(Input_Konektivitas!$D$3:$D$563,Input_Konektivitas!$A$3:$A$563,U$3,Input_Konektivitas!$B$3:$B$563,$A26))</f>
        <v>1.5833</v>
      </c>
      <c r="V26" s="27">
        <f>IF((COUNTIFS(Input_Konektivitas!$A$3:$A$563,$A26,Input_Konektivitas!$B$3:$B$563,V$3,Input_Konektivitas!$D$3:$D$563,"&gt;0")+COUNTIFS(Input_Konektivitas!$A$3:$A$563,V$3,Input_Konektivitas!$B$3:$B$563,$A26,Input_Konektivitas!$D$3:$D$563,"&gt;0"))=0,"",SUMIFS(Input_Konektivitas!$D$3:$D$563,Input_Konektivitas!$A$3:$A$563,$A26,Input_Konektivitas!$B$3:$B$563,V$3)+SUMIFS(Input_Konektivitas!$D$3:$D$563,Input_Konektivitas!$A$3:$A$563,V$3,Input_Konektivitas!$B$3:$B$563,$A26))</f>
        <v>1.25</v>
      </c>
      <c r="W26" s="27">
        <f>IF((COUNTIFS(Input_Konektivitas!$A$3:$A$563,$A26,Input_Konektivitas!$B$3:$B$563,W$3,Input_Konektivitas!$D$3:$D$563,"&gt;0")+COUNTIFS(Input_Konektivitas!$A$3:$A$563,W$3,Input_Konektivitas!$B$3:$B$563,$A26,Input_Konektivitas!$D$3:$D$563,"&gt;0"))=0,"",SUMIFS(Input_Konektivitas!$D$3:$D$563,Input_Konektivitas!$A$3:$A$563,$A26,Input_Konektivitas!$B$3:$B$563,W$3)+SUMIFS(Input_Konektivitas!$D$3:$D$563,Input_Konektivitas!$A$3:$A$563,W$3,Input_Konektivitas!$B$3:$B$563,$A26))</f>
        <v>1.166</v>
      </c>
      <c r="X26" s="23">
        <v>0.0</v>
      </c>
      <c r="Y26" s="27">
        <f>IF((COUNTIFS(Input_Konektivitas!$A$3:$A$563,$A26,Input_Konektivitas!$B$3:$B$563,Y$3,Input_Konektivitas!$D$3:$D$563,"&gt;0")+COUNTIFS(Input_Konektivitas!$A$3:$A$563,Y$3,Input_Konektivitas!$B$3:$B$563,$A26,Input_Konektivitas!$D$3:$D$563,"&gt;0"))=0,"",SUMIFS(Input_Konektivitas!$D$3:$D$563,Input_Konektivitas!$A$3:$A$563,$A26,Input_Konektivitas!$B$3:$B$563,Y$3)+SUMIFS(Input_Konektivitas!$D$3:$D$563,Input_Konektivitas!$A$3:$A$563,Y$3,Input_Konektivitas!$B$3:$B$563,$A26))</f>
        <v>1.166</v>
      </c>
      <c r="Z26" s="27">
        <f>IF((COUNTIFS(Input_Konektivitas!$A$3:$A$563,$A26,Input_Konektivitas!$B$3:$B$563,Z$3,Input_Konektivitas!$D$3:$D$563,"&gt;0")+COUNTIFS(Input_Konektivitas!$A$3:$A$563,Z$3,Input_Konektivitas!$B$3:$B$563,$A26,Input_Konektivitas!$D$3:$D$563,"&gt;0"))=0,"",SUMIFS(Input_Konektivitas!$D$3:$D$563,Input_Konektivitas!$A$3:$A$563,$A26,Input_Konektivitas!$B$3:$B$563,Z$3)+SUMIFS(Input_Konektivitas!$D$3:$D$563,Input_Konektivitas!$A$3:$A$563,Z$3,Input_Konektivitas!$B$3:$B$563,$A26))</f>
        <v>1.75</v>
      </c>
      <c r="AA26" s="27">
        <f>IF((COUNTIFS(Input_Konektivitas!$A$3:$A$563,$A26,Input_Konektivitas!$B$3:$B$563,AA$3,Input_Konektivitas!$D$3:$D$563,"&gt;0")+COUNTIFS(Input_Konektivitas!$A$3:$A$563,AA$3,Input_Konektivitas!$B$3:$B$563,$A26,Input_Konektivitas!$D$3:$D$563,"&gt;0"))=0,"",SUMIFS(Input_Konektivitas!$D$3:$D$563,Input_Konektivitas!$A$3:$A$563,$A26,Input_Konektivitas!$B$3:$B$563,AA$3)+SUMIFS(Input_Konektivitas!$D$3:$D$563,Input_Konektivitas!$A$3:$A$563,AA$3,Input_Konektivitas!$B$3:$B$563,$A26))</f>
        <v>3.166</v>
      </c>
      <c r="AB26" s="27">
        <f>IF((COUNTIFS(Input_Konektivitas!$A$3:$A$563,$A26,Input_Konektivitas!$B$3:$B$563,AB$3,Input_Konektivitas!$D$3:$D$563,"&gt;0")+COUNTIFS(Input_Konektivitas!$A$3:$A$563,AB$3,Input_Konektivitas!$B$3:$B$563,$A26,Input_Konektivitas!$D$3:$D$563,"&gt;0"))=0,"",SUMIFS(Input_Konektivitas!$D$3:$D$563,Input_Konektivitas!$A$3:$A$563,$A26,Input_Konektivitas!$B$3:$B$563,AB$3)+SUMIFS(Input_Konektivitas!$D$3:$D$563,Input_Konektivitas!$A$3:$A$563,AB$3,Input_Konektivitas!$B$3:$B$563,$A26))</f>
        <v>1.166</v>
      </c>
      <c r="AC26" s="27">
        <f>IF((COUNTIFS(Input_Konektivitas!$A$3:$A$563,$A26,Input_Konektivitas!$B$3:$B$563,AC$3,Input_Konektivitas!$D$3:$D$563,"&gt;0")+COUNTIFS(Input_Konektivitas!$A$3:$A$563,AC$3,Input_Konektivitas!$B$3:$B$563,$A26,Input_Konektivitas!$D$3:$D$563,"&gt;0"))=0,"",SUMIFS(Input_Konektivitas!$D$3:$D$563,Input_Konektivitas!$A$3:$A$563,$A26,Input_Konektivitas!$B$3:$B$563,AC$3)+SUMIFS(Input_Konektivitas!$D$3:$D$563,Input_Konektivitas!$A$3:$A$563,AC$3,Input_Konektivitas!$B$3:$B$563,$A26))</f>
        <v>4.333</v>
      </c>
      <c r="AD26" s="27">
        <f>IF((COUNTIFS(Input_Konektivitas!$A$3:$A$563,$A26,Input_Konektivitas!$B$3:$B$563,AD$3,Input_Konektivitas!$D$3:$D$563,"&gt;0")+COUNTIFS(Input_Konektivitas!$A$3:$A$563,AD$3,Input_Konektivitas!$B$3:$B$563,$A26,Input_Konektivitas!$D$3:$D$563,"&gt;0"))=0,"",SUMIFS(Input_Konektivitas!$D$3:$D$563,Input_Konektivitas!$A$3:$A$563,$A26,Input_Konektivitas!$B$3:$B$563,AD$3)+SUMIFS(Input_Konektivitas!$D$3:$D$563,Input_Konektivitas!$A$3:$A$563,AD$3,Input_Konektivitas!$B$3:$B$563,$A26))</f>
        <v>7.66</v>
      </c>
      <c r="AE26" s="27">
        <f>IF((COUNTIFS(Input_Konektivitas!$A$3:$A$563,$A26,Input_Konektivitas!$B$3:$B$563,AE$3,Input_Konektivitas!$D$3:$D$563,"&gt;0")+COUNTIFS(Input_Konektivitas!$A$3:$A$563,AE$3,Input_Konektivitas!$B$3:$B$563,$A26,Input_Konektivitas!$D$3:$D$563,"&gt;0"))=0,"",SUMIFS(Input_Konektivitas!$D$3:$D$563,Input_Konektivitas!$A$3:$A$563,$A26,Input_Konektivitas!$B$3:$B$563,AE$3)+SUMIFS(Input_Konektivitas!$D$3:$D$563,Input_Konektivitas!$A$3:$A$563,AE$3,Input_Konektivitas!$B$3:$B$563,$A26))</f>
        <v>1</v>
      </c>
      <c r="AF26" s="27">
        <f>IF((COUNTIFS(Input_Konektivitas!$A$3:$A$563,$A26,Input_Konektivitas!$B$3:$B$563,AF$3,Input_Konektivitas!$D$3:$D$563,"&gt;0")+COUNTIFS(Input_Konektivitas!$A$3:$A$563,AF$3,Input_Konektivitas!$B$3:$B$563,$A26,Input_Konektivitas!$D$3:$D$563,"&gt;0"))=0,"",SUMIFS(Input_Konektivitas!$D$3:$D$563,Input_Konektivitas!$A$3:$A$563,$A26,Input_Konektivitas!$B$3:$B$563,AF$3)+SUMIFS(Input_Konektivitas!$D$3:$D$563,Input_Konektivitas!$A$3:$A$563,AF$3,Input_Konektivitas!$B$3:$B$563,$A26))</f>
        <v>8.25</v>
      </c>
      <c r="AG26" s="27">
        <f>IF((COUNTIFS(Input_Konektivitas!$A$3:$A$563,$A26,Input_Konektivitas!$B$3:$B$563,AG$3,Input_Konektivitas!$D$3:$D$563,"&gt;0")+COUNTIFS(Input_Konektivitas!$A$3:$A$563,AG$3,Input_Konektivitas!$B$3:$B$563,$A26,Input_Konektivitas!$D$3:$D$563,"&gt;0"))=0,"",SUMIFS(Input_Konektivitas!$D$3:$D$563,Input_Konektivitas!$A$3:$A$563,$A26,Input_Konektivitas!$B$3:$B$563,AG$3)+SUMIFS(Input_Konektivitas!$D$3:$D$563,Input_Konektivitas!$A$3:$A$563,AG$3,Input_Konektivitas!$B$3:$B$563,$A26))</f>
        <v>11.25</v>
      </c>
      <c r="AH26" s="27">
        <f>IF((COUNTIFS(Input_Konektivitas!$A$3:$A$563,$A26,Input_Konektivitas!$B$3:$B$563,AH$3,Input_Konektivitas!$D$3:$D$563,"&gt;0")+COUNTIFS(Input_Konektivitas!$A$3:$A$563,AH$3,Input_Konektivitas!$B$3:$B$563,$A26,Input_Konektivitas!$D$3:$D$563,"&gt;0"))=0,"",SUMIFS(Input_Konektivitas!$D$3:$D$563,Input_Konektivitas!$A$3:$A$563,$A26,Input_Konektivitas!$B$3:$B$563,AH$3)+SUMIFS(Input_Konektivitas!$D$3:$D$563,Input_Konektivitas!$A$3:$A$563,AH$3,Input_Konektivitas!$B$3:$B$563,$A26))</f>
        <v>7.25</v>
      </c>
      <c r="AI26" s="27">
        <f>IF((COUNTIFS(Input_Konektivitas!$A$3:$A$563,$A26,Input_Konektivitas!$B$3:$B$563,AI$3,Input_Konektivitas!$D$3:$D$563,"&gt;0")+COUNTIFS(Input_Konektivitas!$A$3:$A$563,AI$3,Input_Konektivitas!$B$3:$B$563,$A26,Input_Konektivitas!$D$3:$D$563,"&gt;0"))=0,"",SUMIFS(Input_Konektivitas!$D$3:$D$563,Input_Konektivitas!$A$3:$A$563,$A26,Input_Konektivitas!$B$3:$B$563,AI$3)+SUMIFS(Input_Konektivitas!$D$3:$D$563,Input_Konektivitas!$A$3:$A$563,AI$3,Input_Konektivitas!$B$3:$B$563,$A26))</f>
        <v>9.25</v>
      </c>
    </row>
    <row r="27" ht="14.25" customHeight="1">
      <c r="A27" s="22" t="s">
        <v>71</v>
      </c>
      <c r="B27" s="27">
        <f>IF((COUNTIFS(Input_Konektivitas!$A$3:$A$563,$A27,Input_Konektivitas!$B$3:$B$563,B$3,Input_Konektivitas!$D$3:$D$563,"&gt;0")+COUNTIFS(Input_Konektivitas!$A$3:$A$563,B$3,Input_Konektivitas!$B$3:$B$563,$A27,Input_Konektivitas!$D$3:$D$563,"&gt;0"))=0,"",SUMIFS(Input_Konektivitas!$D$3:$D$563,Input_Konektivitas!$A$3:$A$563,$A27,Input_Konektivitas!$B$3:$B$563,B$3)+SUMIFS(Input_Konektivitas!$D$3:$D$563,Input_Konektivitas!$A$3:$A$563,B$3,Input_Konektivitas!$B$3:$B$563,$A27))</f>
        <v>21.75</v>
      </c>
      <c r="C27" s="27">
        <f>IF((COUNTIFS(Input_Konektivitas!$A$3:$A$563,$A27,Input_Konektivitas!$B$3:$B$563,C$3,Input_Konektivitas!$D$3:$D$563,"&gt;0")+COUNTIFS(Input_Konektivitas!$A$3:$A$563,C$3,Input_Konektivitas!$B$3:$B$563,$A27,Input_Konektivitas!$D$3:$D$563,"&gt;0"))=0,"",SUMIFS(Input_Konektivitas!$D$3:$D$563,Input_Konektivitas!$A$3:$A$563,$A27,Input_Konektivitas!$B$3:$B$563,C$3)+SUMIFS(Input_Konektivitas!$D$3:$D$563,Input_Konektivitas!$A$3:$A$563,C$3,Input_Konektivitas!$B$3:$B$563,$A27))</f>
        <v>7.42</v>
      </c>
      <c r="D27" s="27">
        <f>IF((COUNTIFS(Input_Konektivitas!$A$3:$A$563,$A27,Input_Konektivitas!$B$3:$B$563,D$3,Input_Konektivitas!$D$3:$D$563,"&gt;0")+COUNTIFS(Input_Konektivitas!$A$3:$A$563,D$3,Input_Konektivitas!$B$3:$B$563,$A27,Input_Konektivitas!$D$3:$D$563,"&gt;0"))=0,"",SUMIFS(Input_Konektivitas!$D$3:$D$563,Input_Konektivitas!$A$3:$A$563,$A27,Input_Konektivitas!$B$3:$B$563,D$3)+SUMIFS(Input_Konektivitas!$D$3:$D$563,Input_Konektivitas!$A$3:$A$563,D$3,Input_Konektivitas!$B$3:$B$563,$A27))</f>
        <v>5.25</v>
      </c>
      <c r="E27" s="27">
        <f>IF((COUNTIFS(Input_Konektivitas!$A$3:$A$563,$A27,Input_Konektivitas!$B$3:$B$563,E$3,Input_Konektivitas!$D$3:$D$563,"&gt;0")+COUNTIFS(Input_Konektivitas!$A$3:$A$563,E$3,Input_Konektivitas!$B$3:$B$563,$A27,Input_Konektivitas!$D$3:$D$563,"&gt;0"))=0,"",SUMIFS(Input_Konektivitas!$D$3:$D$563,Input_Konektivitas!$A$3:$A$563,$A27,Input_Konektivitas!$B$3:$B$563,E$3)+SUMIFS(Input_Konektivitas!$D$3:$D$563,Input_Konektivitas!$A$3:$A$563,E$3,Input_Konektivitas!$B$3:$B$563,$A27))</f>
        <v>6.75</v>
      </c>
      <c r="F27" s="27">
        <f>IF((COUNTIFS(Input_Konektivitas!$A$3:$A$563,$A27,Input_Konektivitas!$B$3:$B$563,F$3,Input_Konektivitas!$D$3:$D$563,"&gt;0")+COUNTIFS(Input_Konektivitas!$A$3:$A$563,F$3,Input_Konektivitas!$B$3:$B$563,$A27,Input_Konektivitas!$D$3:$D$563,"&gt;0"))=0,"",SUMIFS(Input_Konektivitas!$D$3:$D$563,Input_Konektivitas!$A$3:$A$563,$A27,Input_Konektivitas!$B$3:$B$563,F$3)+SUMIFS(Input_Konektivitas!$D$3:$D$563,Input_Konektivitas!$A$3:$A$563,F$3,Input_Konektivitas!$B$3:$B$563,$A27))</f>
        <v>5.42</v>
      </c>
      <c r="G27" s="27">
        <f>IF((COUNTIFS(Input_Konektivitas!$A$3:$A$563,$A27,Input_Konektivitas!$B$3:$B$563,G$3,Input_Konektivitas!$D$3:$D$563,"&gt;0")+COUNTIFS(Input_Konektivitas!$A$3:$A$563,G$3,Input_Konektivitas!$B$3:$B$563,$A27,Input_Konektivitas!$D$3:$D$563,"&gt;0"))=0,"",SUMIFS(Input_Konektivitas!$D$3:$D$563,Input_Konektivitas!$A$3:$A$563,$A27,Input_Konektivitas!$B$3:$B$563,G$3)+SUMIFS(Input_Konektivitas!$D$3:$D$563,Input_Konektivitas!$A$3:$A$563,G$3,Input_Konektivitas!$B$3:$B$563,$A27))</f>
        <v>5.42</v>
      </c>
      <c r="H27" s="27">
        <f>IF((COUNTIFS(Input_Konektivitas!$A$3:$A$563,$A27,Input_Konektivitas!$B$3:$B$563,H$3,Input_Konektivitas!$D$3:$D$563,"&gt;0")+COUNTIFS(Input_Konektivitas!$A$3:$A$563,H$3,Input_Konektivitas!$B$3:$B$563,$A27,Input_Konektivitas!$D$3:$D$563,"&gt;0"))=0,"",SUMIFS(Input_Konektivitas!$D$3:$D$563,Input_Konektivitas!$A$3:$A$563,$A27,Input_Konektivitas!$B$3:$B$563,H$3)+SUMIFS(Input_Konektivitas!$D$3:$D$563,Input_Konektivitas!$A$3:$A$563,H$3,Input_Konektivitas!$B$3:$B$563,$A27))</f>
        <v>6.92</v>
      </c>
      <c r="I27" s="27">
        <f>IF((COUNTIFS(Input_Konektivitas!$A$3:$A$563,$A27,Input_Konektivitas!$B$3:$B$563,I$3,Input_Konektivitas!$D$3:$D$563,"&gt;0")+COUNTIFS(Input_Konektivitas!$A$3:$A$563,I$3,Input_Konektivitas!$B$3:$B$563,$A27,Input_Konektivitas!$D$3:$D$563,"&gt;0"))=0,"",SUMIFS(Input_Konektivitas!$D$3:$D$563,Input_Konektivitas!$A$3:$A$563,$A27,Input_Konektivitas!$B$3:$B$563,I$3)+SUMIFS(Input_Konektivitas!$D$3:$D$563,Input_Konektivitas!$A$3:$A$563,I$3,Input_Konektivitas!$B$3:$B$563,$A27))</f>
        <v>4.83</v>
      </c>
      <c r="J27" s="27">
        <f>IF((COUNTIFS(Input_Konektivitas!$A$3:$A$563,$A27,Input_Konektivitas!$B$3:$B$563,J$3,Input_Konektivitas!$D$3:$D$563,"&gt;0")+COUNTIFS(Input_Konektivitas!$A$3:$A$563,J$3,Input_Konektivitas!$B$3:$B$563,$A27,Input_Konektivitas!$D$3:$D$563,"&gt;0"))=0,"",SUMIFS(Input_Konektivitas!$D$3:$D$563,Input_Konektivitas!$A$3:$A$563,$A27,Input_Konektivitas!$B$3:$B$563,J$3)+SUMIFS(Input_Konektivitas!$D$3:$D$563,Input_Konektivitas!$A$3:$A$563,J$3,Input_Konektivitas!$B$3:$B$563,$A27))</f>
        <v>18.67</v>
      </c>
      <c r="K27" s="27">
        <f>IF((COUNTIFS(Input_Konektivitas!$A$3:$A$563,$A27,Input_Konektivitas!$B$3:$B$563,K$3,Input_Konektivitas!$D$3:$D$563,"&gt;0")+COUNTIFS(Input_Konektivitas!$A$3:$A$563,K$3,Input_Konektivitas!$B$3:$B$563,$A27,Input_Konektivitas!$D$3:$D$563,"&gt;0"))=0,"",SUMIFS(Input_Konektivitas!$D$3:$D$563,Input_Konektivitas!$A$3:$A$563,$A27,Input_Konektivitas!$B$3:$B$563,K$3)+SUMIFS(Input_Konektivitas!$D$3:$D$563,Input_Konektivitas!$A$3:$A$563,K$3,Input_Konektivitas!$B$3:$B$563,$A27))</f>
        <v>10.1666</v>
      </c>
      <c r="L27" s="27">
        <f>IF((COUNTIFS(Input_Konektivitas!$A$3:$A$563,$A27,Input_Konektivitas!$B$3:$B$563,L$3,Input_Konektivitas!$D$3:$D$563,"&gt;0")+COUNTIFS(Input_Konektivitas!$A$3:$A$563,L$3,Input_Konektivitas!$B$3:$B$563,$A27,Input_Konektivitas!$D$3:$D$563,"&gt;0"))=0,"",SUMIFS(Input_Konektivitas!$D$3:$D$563,Input_Konektivitas!$A$3:$A$563,$A27,Input_Konektivitas!$B$3:$B$563,L$3)+SUMIFS(Input_Konektivitas!$D$3:$D$563,Input_Konektivitas!$A$3:$A$563,L$3,Input_Konektivitas!$B$3:$B$563,$A27))</f>
        <v>2.83</v>
      </c>
      <c r="M27" s="27" t="str">
        <f>IF((COUNTIFS(Input_Konektivitas!$A$3:$A$563,$A27,Input_Konektivitas!$B$3:$B$563,M$3,Input_Konektivitas!$D$3:$D$563,"&gt;0")+COUNTIFS(Input_Konektivitas!$A$3:$A$563,M$3,Input_Konektivitas!$B$3:$B$563,$A27,Input_Konektivitas!$D$3:$D$563,"&gt;0"))=0,"",SUMIFS(Input_Konektivitas!$D$3:$D$563,Input_Konektivitas!$A$3:$A$563,$A27,Input_Konektivitas!$B$3:$B$563,M$3)+SUMIFS(Input_Konektivitas!$D$3:$D$563,Input_Konektivitas!$A$3:$A$563,M$3,Input_Konektivitas!$B$3:$B$563,$A27))</f>
        <v/>
      </c>
      <c r="N27" s="27">
        <f>IF((COUNTIFS(Input_Konektivitas!$A$3:$A$563,$A27,Input_Konektivitas!$B$3:$B$563,N$3,Input_Konektivitas!$D$3:$D$563,"&gt;0")+COUNTIFS(Input_Konektivitas!$A$3:$A$563,N$3,Input_Konektivitas!$B$3:$B$563,$A27,Input_Konektivitas!$D$3:$D$563,"&gt;0"))=0,"",SUMIFS(Input_Konektivitas!$D$3:$D$563,Input_Konektivitas!$A$3:$A$563,$A27,Input_Konektivitas!$B$3:$B$563,N$3)+SUMIFS(Input_Konektivitas!$D$3:$D$563,Input_Konektivitas!$A$3:$A$563,N$3,Input_Konektivitas!$B$3:$B$563,$A27))</f>
        <v>4.083</v>
      </c>
      <c r="O27" s="27">
        <f>IF((COUNTIFS(Input_Konektivitas!$A$3:$A$563,$A27,Input_Konektivitas!$B$3:$B$563,O$3,Input_Konektivitas!$D$3:$D$563,"&gt;0")+COUNTIFS(Input_Konektivitas!$A$3:$A$563,O$3,Input_Konektivitas!$B$3:$B$563,$A27,Input_Konektivitas!$D$3:$D$563,"&gt;0"))=0,"",SUMIFS(Input_Konektivitas!$D$3:$D$563,Input_Konektivitas!$A$3:$A$563,$A27,Input_Konektivitas!$B$3:$B$563,O$3)+SUMIFS(Input_Konektivitas!$D$3:$D$563,Input_Konektivitas!$A$3:$A$563,O$3,Input_Konektivitas!$B$3:$B$563,$A27))</f>
        <v>4.75</v>
      </c>
      <c r="P27" s="27">
        <f>IF((COUNTIFS(Input_Konektivitas!$A$3:$A$563,$A27,Input_Konektivitas!$B$3:$B$563,P$3,Input_Konektivitas!$D$3:$D$563,"&gt;0")+COUNTIFS(Input_Konektivitas!$A$3:$A$563,P$3,Input_Konektivitas!$B$3:$B$563,$A27,Input_Konektivitas!$D$3:$D$563,"&gt;0"))=0,"",SUMIFS(Input_Konektivitas!$D$3:$D$563,Input_Konektivitas!$A$3:$A$563,$A27,Input_Konektivitas!$B$3:$B$563,P$3)+SUMIFS(Input_Konektivitas!$D$3:$D$563,Input_Konektivitas!$A$3:$A$563,P$3,Input_Konektivitas!$B$3:$B$563,$A27))</f>
        <v>2.083</v>
      </c>
      <c r="Q27" s="27" t="str">
        <f>IF((COUNTIFS(Input_Konektivitas!$A$3:$A$563,$A27,Input_Konektivitas!$B$3:$B$563,Q$3,Input_Konektivitas!$D$3:$D$563,"&gt;0")+COUNTIFS(Input_Konektivitas!$A$3:$A$563,Q$3,Input_Konektivitas!$B$3:$B$563,$A27,Input_Konektivitas!$D$3:$D$563,"&gt;0"))=0,"",SUMIFS(Input_Konektivitas!$D$3:$D$563,Input_Konektivitas!$A$3:$A$563,$A27,Input_Konektivitas!$B$3:$B$563,Q$3)+SUMIFS(Input_Konektivitas!$D$3:$D$563,Input_Konektivitas!$A$3:$A$563,Q$3,Input_Konektivitas!$B$3:$B$563,$A27))</f>
        <v/>
      </c>
      <c r="R27" s="27">
        <f>IF((COUNTIFS(Input_Konektivitas!$A$3:$A$563,$A27,Input_Konektivitas!$B$3:$B$563,R$3,Input_Konektivitas!$D$3:$D$563,"&gt;0")+COUNTIFS(Input_Konektivitas!$A$3:$A$563,R$3,Input_Konektivitas!$B$3:$B$563,$A27,Input_Konektivitas!$D$3:$D$563,"&gt;0"))=0,"",SUMIFS(Input_Konektivitas!$D$3:$D$563,Input_Konektivitas!$A$3:$A$563,$A27,Input_Konektivitas!$B$3:$B$563,R$3)+SUMIFS(Input_Konektivitas!$D$3:$D$563,Input_Konektivitas!$A$3:$A$563,R$3,Input_Konektivitas!$B$3:$B$563,$A27))</f>
        <v>5.916</v>
      </c>
      <c r="S27" s="27">
        <f>IF((COUNTIFS(Input_Konektivitas!$A$3:$A$563,$A27,Input_Konektivitas!$B$3:$B$563,S$3,Input_Konektivitas!$D$3:$D$563,"&gt;0")+COUNTIFS(Input_Konektivitas!$A$3:$A$563,S$3,Input_Konektivitas!$B$3:$B$563,$A27,Input_Konektivitas!$D$3:$D$563,"&gt;0"))=0,"",SUMIFS(Input_Konektivitas!$D$3:$D$563,Input_Konektivitas!$A$3:$A$563,$A27,Input_Konektivitas!$B$3:$B$563,S$3)+SUMIFS(Input_Konektivitas!$D$3:$D$563,Input_Konektivitas!$A$3:$A$563,S$3,Input_Konektivitas!$B$3:$B$563,$A27))</f>
        <v>7.9166</v>
      </c>
      <c r="T27" s="27">
        <f>IF((COUNTIFS(Input_Konektivitas!$A$3:$A$563,$A27,Input_Konektivitas!$B$3:$B$563,T$3,Input_Konektivitas!$D$3:$D$563,"&gt;0")+COUNTIFS(Input_Konektivitas!$A$3:$A$563,T$3,Input_Konektivitas!$B$3:$B$563,$A27,Input_Konektivitas!$D$3:$D$563,"&gt;0"))=0,"",SUMIFS(Input_Konektivitas!$D$3:$D$563,Input_Konektivitas!$A$3:$A$563,$A27,Input_Konektivitas!$B$3:$B$563,T$3)+SUMIFS(Input_Konektivitas!$D$3:$D$563,Input_Konektivitas!$A$3:$A$563,T$3,Input_Konektivitas!$B$3:$B$563,$A27))</f>
        <v>10</v>
      </c>
      <c r="U27" s="27">
        <f>IF((COUNTIFS(Input_Konektivitas!$A$3:$A$563,$A27,Input_Konektivitas!$B$3:$B$563,U$3,Input_Konektivitas!$D$3:$D$563,"&gt;0")+COUNTIFS(Input_Konektivitas!$A$3:$A$563,U$3,Input_Konektivitas!$B$3:$B$563,$A27,Input_Konektivitas!$D$3:$D$563,"&gt;0"))=0,"",SUMIFS(Input_Konektivitas!$D$3:$D$563,Input_Konektivitas!$A$3:$A$563,$A27,Input_Konektivitas!$B$3:$B$563,U$3)+SUMIFS(Input_Konektivitas!$D$3:$D$563,Input_Konektivitas!$A$3:$A$563,U$3,Input_Konektivitas!$B$3:$B$563,$A27))</f>
        <v>5.33</v>
      </c>
      <c r="V27" s="27">
        <f>IF((COUNTIFS(Input_Konektivitas!$A$3:$A$563,$A27,Input_Konektivitas!$B$3:$B$563,V$3,Input_Konektivitas!$D$3:$D$563,"&gt;0")+COUNTIFS(Input_Konektivitas!$A$3:$A$563,V$3,Input_Konektivitas!$B$3:$B$563,$A27,Input_Konektivitas!$D$3:$D$563,"&gt;0"))=0,"",SUMIFS(Input_Konektivitas!$D$3:$D$563,Input_Konektivitas!$A$3:$A$563,$A27,Input_Konektivitas!$B$3:$B$563,V$3)+SUMIFS(Input_Konektivitas!$D$3:$D$563,Input_Konektivitas!$A$3:$A$563,V$3,Input_Konektivitas!$B$3:$B$563,$A27))</f>
        <v>3.1666</v>
      </c>
      <c r="W27" s="27">
        <f>IF((COUNTIFS(Input_Konektivitas!$A$3:$A$563,$A27,Input_Konektivitas!$B$3:$B$563,W$3,Input_Konektivitas!$D$3:$D$563,"&gt;0")+COUNTIFS(Input_Konektivitas!$A$3:$A$563,W$3,Input_Konektivitas!$B$3:$B$563,$A27,Input_Konektivitas!$D$3:$D$563,"&gt;0"))=0,"",SUMIFS(Input_Konektivitas!$D$3:$D$563,Input_Konektivitas!$A$3:$A$563,$A27,Input_Konektivitas!$B$3:$B$563,W$3)+SUMIFS(Input_Konektivitas!$D$3:$D$563,Input_Konektivitas!$A$3:$A$563,W$3,Input_Konektivitas!$B$3:$B$563,$A27))</f>
        <v>4</v>
      </c>
      <c r="X27" s="27">
        <f>IF((COUNTIFS(Input_Konektivitas!$A$3:$A$563,$A27,Input_Konektivitas!$B$3:$B$563,X$3,Input_Konektivitas!$D$3:$D$563,"&gt;0")+COUNTIFS(Input_Konektivitas!$A$3:$A$563,X$3,Input_Konektivitas!$B$3:$B$563,$A27,Input_Konektivitas!$D$3:$D$563,"&gt;0"))=0,"",SUMIFS(Input_Konektivitas!$D$3:$D$563,Input_Konektivitas!$A$3:$A$563,$A27,Input_Konektivitas!$B$3:$B$563,X$3)+SUMIFS(Input_Konektivitas!$D$3:$D$563,Input_Konektivitas!$A$3:$A$563,X$3,Input_Konektivitas!$B$3:$B$563,$A27))</f>
        <v>1.166</v>
      </c>
      <c r="Y27" s="23">
        <v>0.0</v>
      </c>
      <c r="Z27" s="27">
        <f>IF((COUNTIFS(Input_Konektivitas!$A$3:$A$563,$A27,Input_Konektivitas!$B$3:$B$563,Z$3,Input_Konektivitas!$D$3:$D$563,"&gt;0")+COUNTIFS(Input_Konektivitas!$A$3:$A$563,Z$3,Input_Konektivitas!$B$3:$B$563,$A27,Input_Konektivitas!$D$3:$D$563,"&gt;0"))=0,"",SUMIFS(Input_Konektivitas!$D$3:$D$563,Input_Konektivitas!$A$3:$A$563,$A27,Input_Konektivitas!$B$3:$B$563,Z$3)+SUMIFS(Input_Konektivitas!$D$3:$D$563,Input_Konektivitas!$A$3:$A$563,Z$3,Input_Konektivitas!$B$3:$B$563,$A27))</f>
        <v>6.75</v>
      </c>
      <c r="AA27" s="27">
        <f>IF((COUNTIFS(Input_Konektivitas!$A$3:$A$563,$A27,Input_Konektivitas!$B$3:$B$563,AA$3,Input_Konektivitas!$D$3:$D$563,"&gt;0")+COUNTIFS(Input_Konektivitas!$A$3:$A$563,AA$3,Input_Konektivitas!$B$3:$B$563,$A27,Input_Konektivitas!$D$3:$D$563,"&gt;0"))=0,"",SUMIFS(Input_Konektivitas!$D$3:$D$563,Input_Konektivitas!$A$3:$A$563,$A27,Input_Konektivitas!$B$3:$B$563,AA$3)+SUMIFS(Input_Konektivitas!$D$3:$D$563,Input_Konektivitas!$A$3:$A$563,AA$3,Input_Konektivitas!$B$3:$B$563,$A27))</f>
        <v>16.916</v>
      </c>
      <c r="AB27" s="27">
        <f>IF((COUNTIFS(Input_Konektivitas!$A$3:$A$563,$A27,Input_Konektivitas!$B$3:$B$563,AB$3,Input_Konektivitas!$D$3:$D$563,"&gt;0")+COUNTIFS(Input_Konektivitas!$A$3:$A$563,AB$3,Input_Konektivitas!$B$3:$B$563,$A27,Input_Konektivitas!$D$3:$D$563,"&gt;0"))=0,"",SUMIFS(Input_Konektivitas!$D$3:$D$563,Input_Konektivitas!$A$3:$A$563,$A27,Input_Konektivitas!$B$3:$B$563,AB$3)+SUMIFS(Input_Konektivitas!$D$3:$D$563,Input_Konektivitas!$A$3:$A$563,AB$3,Input_Konektivitas!$B$3:$B$563,$A27))</f>
        <v>3.333</v>
      </c>
      <c r="AC27" s="27">
        <f>IF((COUNTIFS(Input_Konektivitas!$A$3:$A$563,$A27,Input_Konektivitas!$B$3:$B$563,AC$3,Input_Konektivitas!$D$3:$D$563,"&gt;0")+COUNTIFS(Input_Konektivitas!$A$3:$A$563,AC$3,Input_Konektivitas!$B$3:$B$563,$A27,Input_Konektivitas!$D$3:$D$563,"&gt;0"))=0,"",SUMIFS(Input_Konektivitas!$D$3:$D$563,Input_Konektivitas!$A$3:$A$563,$A27,Input_Konektivitas!$B$3:$B$563,AC$3)+SUMIFS(Input_Konektivitas!$D$3:$D$563,Input_Konektivitas!$A$3:$A$563,AC$3,Input_Konektivitas!$B$3:$B$563,$A27))</f>
        <v>9.916</v>
      </c>
      <c r="AD27" s="27" t="str">
        <f>IF((COUNTIFS(Input_Konektivitas!$A$3:$A$563,$A27,Input_Konektivitas!$B$3:$B$563,AD$3,Input_Konektivitas!$D$3:$D$563,"&gt;0")+COUNTIFS(Input_Konektivitas!$A$3:$A$563,AD$3,Input_Konektivitas!$B$3:$B$563,$A27,Input_Konektivitas!$D$3:$D$563,"&gt;0"))=0,"",SUMIFS(Input_Konektivitas!$D$3:$D$563,Input_Konektivitas!$A$3:$A$563,$A27,Input_Konektivitas!$B$3:$B$563,AD$3)+SUMIFS(Input_Konektivitas!$D$3:$D$563,Input_Konektivitas!$A$3:$A$563,AD$3,Input_Konektivitas!$B$3:$B$563,$A27))</f>
        <v/>
      </c>
      <c r="AE27" s="27">
        <f>IF((COUNTIFS(Input_Konektivitas!$A$3:$A$563,$A27,Input_Konektivitas!$B$3:$B$563,AE$3,Input_Konektivitas!$D$3:$D$563,"&gt;0")+COUNTIFS(Input_Konektivitas!$A$3:$A$563,AE$3,Input_Konektivitas!$B$3:$B$563,$A27,Input_Konektivitas!$D$3:$D$563,"&gt;0"))=0,"",SUMIFS(Input_Konektivitas!$D$3:$D$563,Input_Konektivitas!$A$3:$A$563,$A27,Input_Konektivitas!$B$3:$B$563,AE$3)+SUMIFS(Input_Konektivitas!$D$3:$D$563,Input_Konektivitas!$A$3:$A$563,AE$3,Input_Konektivitas!$B$3:$B$563,$A27))</f>
        <v>9.833</v>
      </c>
      <c r="AF27" s="27">
        <f>IF((COUNTIFS(Input_Konektivitas!$A$3:$A$563,$A27,Input_Konektivitas!$B$3:$B$563,AF$3,Input_Konektivitas!$D$3:$D$563,"&gt;0")+COUNTIFS(Input_Konektivitas!$A$3:$A$563,AF$3,Input_Konektivitas!$B$3:$B$563,$A27,Input_Konektivitas!$D$3:$D$563,"&gt;0"))=0,"",SUMIFS(Input_Konektivitas!$D$3:$D$563,Input_Konektivitas!$A$3:$A$563,$A27,Input_Konektivitas!$B$3:$B$563,AF$3)+SUMIFS(Input_Konektivitas!$D$3:$D$563,Input_Konektivitas!$A$3:$A$563,AF$3,Input_Konektivitas!$B$3:$B$563,$A27))</f>
        <v>15.5833</v>
      </c>
      <c r="AG27" s="27">
        <f>IF((COUNTIFS(Input_Konektivitas!$A$3:$A$563,$A27,Input_Konektivitas!$B$3:$B$563,AG$3,Input_Konektivitas!$D$3:$D$563,"&gt;0")+COUNTIFS(Input_Konektivitas!$A$3:$A$563,AG$3,Input_Konektivitas!$B$3:$B$563,$A27,Input_Konektivitas!$D$3:$D$563,"&gt;0"))=0,"",SUMIFS(Input_Konektivitas!$D$3:$D$563,Input_Konektivitas!$A$3:$A$563,$A27,Input_Konektivitas!$B$3:$B$563,AG$3)+SUMIFS(Input_Konektivitas!$D$3:$D$563,Input_Konektivitas!$A$3:$A$563,AG$3,Input_Konektivitas!$B$3:$B$563,$A27))</f>
        <v>11.833</v>
      </c>
      <c r="AH27" s="27">
        <f>IF((COUNTIFS(Input_Konektivitas!$A$3:$A$563,$A27,Input_Konektivitas!$B$3:$B$563,AH$3,Input_Konektivitas!$D$3:$D$563,"&gt;0")+COUNTIFS(Input_Konektivitas!$A$3:$A$563,AH$3,Input_Konektivitas!$B$3:$B$563,$A27,Input_Konektivitas!$D$3:$D$563,"&gt;0"))=0,"",SUMIFS(Input_Konektivitas!$D$3:$D$563,Input_Konektivitas!$A$3:$A$563,$A27,Input_Konektivitas!$B$3:$B$563,AH$3)+SUMIFS(Input_Konektivitas!$D$3:$D$563,Input_Konektivitas!$A$3:$A$563,AH$3,Input_Konektivitas!$B$3:$B$563,$A27))</f>
        <v>13.5</v>
      </c>
      <c r="AI27" s="27">
        <f>IF((COUNTIFS(Input_Konektivitas!$A$3:$A$563,$A27,Input_Konektivitas!$B$3:$B$563,AI$3,Input_Konektivitas!$D$3:$D$563,"&gt;0")+COUNTIFS(Input_Konektivitas!$A$3:$A$563,AI$3,Input_Konektivitas!$B$3:$B$563,$A27,Input_Konektivitas!$D$3:$D$563,"&gt;0"))=0,"",SUMIFS(Input_Konektivitas!$D$3:$D$563,Input_Konektivitas!$A$3:$A$563,$A27,Input_Konektivitas!$B$3:$B$563,AI$3)+SUMIFS(Input_Konektivitas!$D$3:$D$563,Input_Konektivitas!$A$3:$A$563,AI$3,Input_Konektivitas!$B$3:$B$563,$A27))</f>
        <v>17.5</v>
      </c>
    </row>
    <row r="28" ht="14.25" customHeight="1">
      <c r="A28" s="22" t="s">
        <v>75</v>
      </c>
      <c r="B28" s="27">
        <f>IF((COUNTIFS(Input_Konektivitas!$A$3:$A$563,$A28,Input_Konektivitas!$B$3:$B$563,B$3,Input_Konektivitas!$D$3:$D$563,"&gt;0")+COUNTIFS(Input_Konektivitas!$A$3:$A$563,B$3,Input_Konektivitas!$B$3:$B$563,$A28,Input_Konektivitas!$D$3:$D$563,"&gt;0"))=0,"",SUMIFS(Input_Konektivitas!$D$3:$D$563,Input_Konektivitas!$A$3:$A$563,$A28,Input_Konektivitas!$B$3:$B$563,B$3)+SUMIFS(Input_Konektivitas!$D$3:$D$563,Input_Konektivitas!$A$3:$A$563,B$3,Input_Konektivitas!$B$3:$B$563,$A28))</f>
        <v>19.8333</v>
      </c>
      <c r="C28" s="27">
        <f>IF((COUNTIFS(Input_Konektivitas!$A$3:$A$563,$A28,Input_Konektivitas!$B$3:$B$563,C$3,Input_Konektivitas!$D$3:$D$563,"&gt;0")+COUNTIFS(Input_Konektivitas!$A$3:$A$563,C$3,Input_Konektivitas!$B$3:$B$563,$A28,Input_Konektivitas!$D$3:$D$563,"&gt;0"))=0,"",SUMIFS(Input_Konektivitas!$D$3:$D$563,Input_Konektivitas!$A$3:$A$563,$A28,Input_Konektivitas!$B$3:$B$563,C$3)+SUMIFS(Input_Konektivitas!$D$3:$D$563,Input_Konektivitas!$A$3:$A$563,C$3,Input_Konektivitas!$B$3:$B$563,$A28))</f>
        <v>8.33</v>
      </c>
      <c r="D28" s="27">
        <f>IF((COUNTIFS(Input_Konektivitas!$A$3:$A$563,$A28,Input_Konektivitas!$B$3:$B$563,D$3,Input_Konektivitas!$D$3:$D$563,"&gt;0")+COUNTIFS(Input_Konektivitas!$A$3:$A$563,D$3,Input_Konektivitas!$B$3:$B$563,$A28,Input_Konektivitas!$D$3:$D$563,"&gt;0"))=0,"",SUMIFS(Input_Konektivitas!$D$3:$D$563,Input_Konektivitas!$A$3:$A$563,$A28,Input_Konektivitas!$B$3:$B$563,D$3)+SUMIFS(Input_Konektivitas!$D$3:$D$563,Input_Konektivitas!$A$3:$A$563,D$3,Input_Konektivitas!$B$3:$B$563,$A28))</f>
        <v>7.5</v>
      </c>
      <c r="E28" s="27">
        <f>IF((COUNTIFS(Input_Konektivitas!$A$3:$A$563,$A28,Input_Konektivitas!$B$3:$B$563,E$3,Input_Konektivitas!$D$3:$D$563,"&gt;0")+COUNTIFS(Input_Konektivitas!$A$3:$A$563,E$3,Input_Konektivitas!$B$3:$B$563,$A28,Input_Konektivitas!$D$3:$D$563,"&gt;0"))=0,"",SUMIFS(Input_Konektivitas!$D$3:$D$563,Input_Konektivitas!$A$3:$A$563,$A28,Input_Konektivitas!$B$3:$B$563,E$3)+SUMIFS(Input_Konektivitas!$D$3:$D$563,Input_Konektivitas!$A$3:$A$563,E$3,Input_Konektivitas!$B$3:$B$563,$A28))</f>
        <v>7.25</v>
      </c>
      <c r="F28" s="27">
        <f>IF((COUNTIFS(Input_Konektivitas!$A$3:$A$563,$A28,Input_Konektivitas!$B$3:$B$563,F$3,Input_Konektivitas!$D$3:$D$563,"&gt;0")+COUNTIFS(Input_Konektivitas!$A$3:$A$563,F$3,Input_Konektivitas!$B$3:$B$563,$A28,Input_Konektivitas!$D$3:$D$563,"&gt;0"))=0,"",SUMIFS(Input_Konektivitas!$D$3:$D$563,Input_Konektivitas!$A$3:$A$563,$A28,Input_Konektivitas!$B$3:$B$563,F$3)+SUMIFS(Input_Konektivitas!$D$3:$D$563,Input_Konektivitas!$A$3:$A$563,F$3,Input_Konektivitas!$B$3:$B$563,$A28))</f>
        <v>6.75</v>
      </c>
      <c r="G28" s="27">
        <f>IF((COUNTIFS(Input_Konektivitas!$A$3:$A$563,$A28,Input_Konektivitas!$B$3:$B$563,G$3,Input_Konektivitas!$D$3:$D$563,"&gt;0")+COUNTIFS(Input_Konektivitas!$A$3:$A$563,G$3,Input_Konektivitas!$B$3:$B$563,$A28,Input_Konektivitas!$D$3:$D$563,"&gt;0"))=0,"",SUMIFS(Input_Konektivitas!$D$3:$D$563,Input_Konektivitas!$A$3:$A$563,$A28,Input_Konektivitas!$B$3:$B$563,G$3)+SUMIFS(Input_Konektivitas!$D$3:$D$563,Input_Konektivitas!$A$3:$A$563,G$3,Input_Konektivitas!$B$3:$B$563,$A28))</f>
        <v>6.08</v>
      </c>
      <c r="H28" s="27">
        <f>IF((COUNTIFS(Input_Konektivitas!$A$3:$A$563,$A28,Input_Konektivitas!$B$3:$B$563,H$3,Input_Konektivitas!$D$3:$D$563,"&gt;0")+COUNTIFS(Input_Konektivitas!$A$3:$A$563,H$3,Input_Konektivitas!$B$3:$B$563,$A28,Input_Konektivitas!$D$3:$D$563,"&gt;0"))=0,"",SUMIFS(Input_Konektivitas!$D$3:$D$563,Input_Konektivitas!$A$3:$A$563,$A28,Input_Konektivitas!$B$3:$B$563,H$3)+SUMIFS(Input_Konektivitas!$D$3:$D$563,Input_Konektivitas!$A$3:$A$563,H$3,Input_Konektivitas!$B$3:$B$563,$A28))</f>
        <v>6.5</v>
      </c>
      <c r="I28" s="27">
        <f>IF((COUNTIFS(Input_Konektivitas!$A$3:$A$563,$A28,Input_Konektivitas!$B$3:$B$563,I$3,Input_Konektivitas!$D$3:$D$563,"&gt;0")+COUNTIFS(Input_Konektivitas!$A$3:$A$563,I$3,Input_Konektivitas!$B$3:$B$563,$A28,Input_Konektivitas!$D$3:$D$563,"&gt;0"))=0,"",SUMIFS(Input_Konektivitas!$D$3:$D$563,Input_Konektivitas!$A$3:$A$563,$A28,Input_Konektivitas!$B$3:$B$563,I$3)+SUMIFS(Input_Konektivitas!$D$3:$D$563,Input_Konektivitas!$A$3:$A$563,I$3,Input_Konektivitas!$B$3:$B$563,$A28))</f>
        <v>5.58</v>
      </c>
      <c r="J28" s="27">
        <f>IF((COUNTIFS(Input_Konektivitas!$A$3:$A$563,$A28,Input_Konektivitas!$B$3:$B$563,J$3,Input_Konektivitas!$D$3:$D$563,"&gt;0")+COUNTIFS(Input_Konektivitas!$A$3:$A$563,J$3,Input_Konektivitas!$B$3:$B$563,$A28,Input_Konektivitas!$D$3:$D$563,"&gt;0"))=0,"",SUMIFS(Input_Konektivitas!$D$3:$D$563,Input_Konektivitas!$A$3:$A$563,$A28,Input_Konektivitas!$B$3:$B$563,J$3)+SUMIFS(Input_Konektivitas!$D$3:$D$563,Input_Konektivitas!$A$3:$A$563,J$3,Input_Konektivitas!$B$3:$B$563,$A28))</f>
        <v>10.83</v>
      </c>
      <c r="K28" s="27">
        <f>IF((COUNTIFS(Input_Konektivitas!$A$3:$A$563,$A28,Input_Konektivitas!$B$3:$B$563,K$3,Input_Konektivitas!$D$3:$D$563,"&gt;0")+COUNTIFS(Input_Konektivitas!$A$3:$A$563,K$3,Input_Konektivitas!$B$3:$B$563,$A28,Input_Konektivitas!$D$3:$D$563,"&gt;0"))=0,"",SUMIFS(Input_Konektivitas!$D$3:$D$563,Input_Konektivitas!$A$3:$A$563,$A28,Input_Konektivitas!$B$3:$B$563,K$3)+SUMIFS(Input_Konektivitas!$D$3:$D$563,Input_Konektivitas!$A$3:$A$563,K$3,Input_Konektivitas!$B$3:$B$563,$A28))</f>
        <v>6.42</v>
      </c>
      <c r="L28" s="27">
        <f>IF((COUNTIFS(Input_Konektivitas!$A$3:$A$563,$A28,Input_Konektivitas!$B$3:$B$563,L$3,Input_Konektivitas!$D$3:$D$563,"&gt;0")+COUNTIFS(Input_Konektivitas!$A$3:$A$563,L$3,Input_Konektivitas!$B$3:$B$563,$A28,Input_Konektivitas!$D$3:$D$563,"&gt;0"))=0,"",SUMIFS(Input_Konektivitas!$D$3:$D$563,Input_Konektivitas!$A$3:$A$563,$A28,Input_Konektivitas!$B$3:$B$563,L$3)+SUMIFS(Input_Konektivitas!$D$3:$D$563,Input_Konektivitas!$A$3:$A$563,L$3,Input_Konektivitas!$B$3:$B$563,$A28))</f>
        <v>3.42</v>
      </c>
      <c r="M28" s="27">
        <f>IF((COUNTIFS(Input_Konektivitas!$A$3:$A$563,$A28,Input_Konektivitas!$B$3:$B$563,M$3,Input_Konektivitas!$D$3:$D$563,"&gt;0")+COUNTIFS(Input_Konektivitas!$A$3:$A$563,M$3,Input_Konektivitas!$B$3:$B$563,$A28,Input_Konektivitas!$D$3:$D$563,"&gt;0"))=0,"",SUMIFS(Input_Konektivitas!$D$3:$D$563,Input_Konektivitas!$A$3:$A$563,$A28,Input_Konektivitas!$B$3:$B$563,M$3)+SUMIFS(Input_Konektivitas!$D$3:$D$563,Input_Konektivitas!$A$3:$A$563,M$3,Input_Konektivitas!$B$3:$B$563,$A28))</f>
        <v>8.42</v>
      </c>
      <c r="N28" s="27">
        <f>IF((COUNTIFS(Input_Konektivitas!$A$3:$A$563,$A28,Input_Konektivitas!$B$3:$B$563,N$3,Input_Konektivitas!$D$3:$D$563,"&gt;0")+COUNTIFS(Input_Konektivitas!$A$3:$A$563,N$3,Input_Konektivitas!$B$3:$B$563,$A28,Input_Konektivitas!$D$3:$D$563,"&gt;0"))=0,"",SUMIFS(Input_Konektivitas!$D$3:$D$563,Input_Konektivitas!$A$3:$A$563,$A28,Input_Konektivitas!$B$3:$B$563,N$3)+SUMIFS(Input_Konektivitas!$D$3:$D$563,Input_Konektivitas!$A$3:$A$563,N$3,Input_Konektivitas!$B$3:$B$563,$A28))</f>
        <v>5.67</v>
      </c>
      <c r="O28" s="27">
        <f>IF((COUNTIFS(Input_Konektivitas!$A$3:$A$563,$A28,Input_Konektivitas!$B$3:$B$563,O$3,Input_Konektivitas!$D$3:$D$563,"&gt;0")+COUNTIFS(Input_Konektivitas!$A$3:$A$563,O$3,Input_Konektivitas!$B$3:$B$563,$A28,Input_Konektivitas!$D$3:$D$563,"&gt;0"))=0,"",SUMIFS(Input_Konektivitas!$D$3:$D$563,Input_Konektivitas!$A$3:$A$563,$A28,Input_Konektivitas!$B$3:$B$563,O$3)+SUMIFS(Input_Konektivitas!$D$3:$D$563,Input_Konektivitas!$A$3:$A$563,O$3,Input_Konektivitas!$B$3:$B$563,$A28))</f>
        <v>4.67</v>
      </c>
      <c r="P28" s="27">
        <f>IF((COUNTIFS(Input_Konektivitas!$A$3:$A$563,$A28,Input_Konektivitas!$B$3:$B$563,P$3,Input_Konektivitas!$D$3:$D$563,"&gt;0")+COUNTIFS(Input_Konektivitas!$A$3:$A$563,P$3,Input_Konektivitas!$B$3:$B$563,$A28,Input_Konektivitas!$D$3:$D$563,"&gt;0"))=0,"",SUMIFS(Input_Konektivitas!$D$3:$D$563,Input_Konektivitas!$A$3:$A$563,$A28,Input_Konektivitas!$B$3:$B$563,P$3)+SUMIFS(Input_Konektivitas!$D$3:$D$563,Input_Konektivitas!$A$3:$A$563,P$3,Input_Konektivitas!$B$3:$B$563,$A28))</f>
        <v>2.67</v>
      </c>
      <c r="Q28" s="27" t="str">
        <f>IF((COUNTIFS(Input_Konektivitas!$A$3:$A$563,$A28,Input_Konektivitas!$B$3:$B$563,Q$3,Input_Konektivitas!$D$3:$D$563,"&gt;0")+COUNTIFS(Input_Konektivitas!$A$3:$A$563,Q$3,Input_Konektivitas!$B$3:$B$563,$A28,Input_Konektivitas!$D$3:$D$563,"&gt;0"))=0,"",SUMIFS(Input_Konektivitas!$D$3:$D$563,Input_Konektivitas!$A$3:$A$563,$A28,Input_Konektivitas!$B$3:$B$563,Q$3)+SUMIFS(Input_Konektivitas!$D$3:$D$563,Input_Konektivitas!$A$3:$A$563,Q$3,Input_Konektivitas!$B$3:$B$563,$A28))</f>
        <v/>
      </c>
      <c r="R28" s="27">
        <f>IF((COUNTIFS(Input_Konektivitas!$A$3:$A$563,$A28,Input_Konektivitas!$B$3:$B$563,R$3,Input_Konektivitas!$D$3:$D$563,"&gt;0")+COUNTIFS(Input_Konektivitas!$A$3:$A$563,R$3,Input_Konektivitas!$B$3:$B$563,$A28,Input_Konektivitas!$D$3:$D$563,"&gt;0"))=0,"",SUMIFS(Input_Konektivitas!$D$3:$D$563,Input_Konektivitas!$A$3:$A$563,$A28,Input_Konektivitas!$B$3:$B$563,R$3)+SUMIFS(Input_Konektivitas!$D$3:$D$563,Input_Konektivitas!$A$3:$A$563,R$3,Input_Konektivitas!$B$3:$B$563,$A28))</f>
        <v>2.5</v>
      </c>
      <c r="S28" s="27">
        <f>IF((COUNTIFS(Input_Konektivitas!$A$3:$A$563,$A28,Input_Konektivitas!$B$3:$B$563,S$3,Input_Konektivitas!$D$3:$D$563,"&gt;0")+COUNTIFS(Input_Konektivitas!$A$3:$A$563,S$3,Input_Konektivitas!$B$3:$B$563,$A28,Input_Konektivitas!$D$3:$D$563,"&gt;0"))=0,"",SUMIFS(Input_Konektivitas!$D$3:$D$563,Input_Konektivitas!$A$3:$A$563,$A28,Input_Konektivitas!$B$3:$B$563,S$3)+SUMIFS(Input_Konektivitas!$D$3:$D$563,Input_Konektivitas!$A$3:$A$563,S$3,Input_Konektivitas!$B$3:$B$563,$A28))</f>
        <v>4</v>
      </c>
      <c r="T28" s="27">
        <f>IF((COUNTIFS(Input_Konektivitas!$A$3:$A$563,$A28,Input_Konektivitas!$B$3:$B$563,T$3,Input_Konektivitas!$D$3:$D$563,"&gt;0")+COUNTIFS(Input_Konektivitas!$A$3:$A$563,T$3,Input_Konektivitas!$B$3:$B$563,$A28,Input_Konektivitas!$D$3:$D$563,"&gt;0"))=0,"",SUMIFS(Input_Konektivitas!$D$3:$D$563,Input_Konektivitas!$A$3:$A$563,$A28,Input_Konektivitas!$B$3:$B$563,T$3)+SUMIFS(Input_Konektivitas!$D$3:$D$563,Input_Konektivitas!$A$3:$A$563,T$3,Input_Konektivitas!$B$3:$B$563,$A28))</f>
        <v>6.5</v>
      </c>
      <c r="U28" s="27">
        <f>IF((COUNTIFS(Input_Konektivitas!$A$3:$A$563,$A28,Input_Konektivitas!$B$3:$B$563,U$3,Input_Konektivitas!$D$3:$D$563,"&gt;0")+COUNTIFS(Input_Konektivitas!$A$3:$A$563,U$3,Input_Konektivitas!$B$3:$B$563,$A28,Input_Konektivitas!$D$3:$D$563,"&gt;0"))=0,"",SUMIFS(Input_Konektivitas!$D$3:$D$563,Input_Konektivitas!$A$3:$A$563,$A28,Input_Konektivitas!$B$3:$B$563,U$3)+SUMIFS(Input_Konektivitas!$D$3:$D$563,Input_Konektivitas!$A$3:$A$563,U$3,Input_Konektivitas!$B$3:$B$563,$A28))</f>
        <v>7.75</v>
      </c>
      <c r="V28" s="27">
        <f>IF((COUNTIFS(Input_Konektivitas!$A$3:$A$563,$A28,Input_Konektivitas!$B$3:$B$563,V$3,Input_Konektivitas!$D$3:$D$563,"&gt;0")+COUNTIFS(Input_Konektivitas!$A$3:$A$563,V$3,Input_Konektivitas!$B$3:$B$563,$A28,Input_Konektivitas!$D$3:$D$563,"&gt;0"))=0,"",SUMIFS(Input_Konektivitas!$D$3:$D$563,Input_Konektivitas!$A$3:$A$563,$A28,Input_Konektivitas!$B$3:$B$563,V$3)+SUMIFS(Input_Konektivitas!$D$3:$D$563,Input_Konektivitas!$A$3:$A$563,V$3,Input_Konektivitas!$B$3:$B$563,$A28))</f>
        <v>8.25</v>
      </c>
      <c r="W28" s="27">
        <f>IF((COUNTIFS(Input_Konektivitas!$A$3:$A$563,$A28,Input_Konektivitas!$B$3:$B$563,W$3,Input_Konektivitas!$D$3:$D$563,"&gt;0")+COUNTIFS(Input_Konektivitas!$A$3:$A$563,W$3,Input_Konektivitas!$B$3:$B$563,$A28,Input_Konektivitas!$D$3:$D$563,"&gt;0"))=0,"",SUMIFS(Input_Konektivitas!$D$3:$D$563,Input_Konektivitas!$A$3:$A$563,$A28,Input_Konektivitas!$B$3:$B$563,W$3)+SUMIFS(Input_Konektivitas!$D$3:$D$563,Input_Konektivitas!$A$3:$A$563,W$3,Input_Konektivitas!$B$3:$B$563,$A28))</f>
        <v>5.4166</v>
      </c>
      <c r="X28" s="27">
        <f>IF((COUNTIFS(Input_Konektivitas!$A$3:$A$563,$A28,Input_Konektivitas!$B$3:$B$563,X$3,Input_Konektivitas!$D$3:$D$563,"&gt;0")+COUNTIFS(Input_Konektivitas!$A$3:$A$563,X$3,Input_Konektivitas!$B$3:$B$563,$A28,Input_Konektivitas!$D$3:$D$563,"&gt;0"))=0,"",SUMIFS(Input_Konektivitas!$D$3:$D$563,Input_Konektivitas!$A$3:$A$563,$A28,Input_Konektivitas!$B$3:$B$563,X$3)+SUMIFS(Input_Konektivitas!$D$3:$D$563,Input_Konektivitas!$A$3:$A$563,X$3,Input_Konektivitas!$B$3:$B$563,$A28))</f>
        <v>1.75</v>
      </c>
      <c r="Y28" s="27">
        <f>IF((COUNTIFS(Input_Konektivitas!$A$3:$A$563,$A28,Input_Konektivitas!$B$3:$B$563,Y$3,Input_Konektivitas!$D$3:$D$563,"&gt;0")+COUNTIFS(Input_Konektivitas!$A$3:$A$563,Y$3,Input_Konektivitas!$B$3:$B$563,$A28,Input_Konektivitas!$D$3:$D$563,"&gt;0"))=0,"",SUMIFS(Input_Konektivitas!$D$3:$D$563,Input_Konektivitas!$A$3:$A$563,$A28,Input_Konektivitas!$B$3:$B$563,Y$3)+SUMIFS(Input_Konektivitas!$D$3:$D$563,Input_Konektivitas!$A$3:$A$563,Y$3,Input_Konektivitas!$B$3:$B$563,$A28))</f>
        <v>6.75</v>
      </c>
      <c r="Z28" s="23">
        <v>0.0</v>
      </c>
      <c r="AA28" s="27">
        <f>IF((COUNTIFS(Input_Konektivitas!$A$3:$A$563,$A28,Input_Konektivitas!$B$3:$B$563,AA$3,Input_Konektivitas!$D$3:$D$563,"&gt;0")+COUNTIFS(Input_Konektivitas!$A$3:$A$563,AA$3,Input_Konektivitas!$B$3:$B$563,$A28,Input_Konektivitas!$D$3:$D$563,"&gt;0"))=0,"",SUMIFS(Input_Konektivitas!$D$3:$D$563,Input_Konektivitas!$A$3:$A$563,$A28,Input_Konektivitas!$B$3:$B$563,AA$3)+SUMIFS(Input_Konektivitas!$D$3:$D$563,Input_Konektivitas!$A$3:$A$563,AA$3,Input_Konektivitas!$B$3:$B$563,$A28))</f>
        <v>3.666</v>
      </c>
      <c r="AB28" s="27">
        <f>IF((COUNTIFS(Input_Konektivitas!$A$3:$A$563,$A28,Input_Konektivitas!$B$3:$B$563,AB$3,Input_Konektivitas!$D$3:$D$563,"&gt;0")+COUNTIFS(Input_Konektivitas!$A$3:$A$563,AB$3,Input_Konektivitas!$B$3:$B$563,$A28,Input_Konektivitas!$D$3:$D$563,"&gt;0"))=0,"",SUMIFS(Input_Konektivitas!$D$3:$D$563,Input_Konektivitas!$A$3:$A$563,$A28,Input_Konektivitas!$B$3:$B$563,AB$3)+SUMIFS(Input_Konektivitas!$D$3:$D$563,Input_Konektivitas!$A$3:$A$563,AB$3,Input_Konektivitas!$B$3:$B$563,$A28))</f>
        <v>1.75</v>
      </c>
      <c r="AC28" s="27">
        <f>IF((COUNTIFS(Input_Konektivitas!$A$3:$A$563,$A28,Input_Konektivitas!$B$3:$B$563,AC$3,Input_Konektivitas!$D$3:$D$563,"&gt;0")+COUNTIFS(Input_Konektivitas!$A$3:$A$563,AC$3,Input_Konektivitas!$B$3:$B$563,$A28,Input_Konektivitas!$D$3:$D$563,"&gt;0"))=0,"",SUMIFS(Input_Konektivitas!$D$3:$D$563,Input_Konektivitas!$A$3:$A$563,$A28,Input_Konektivitas!$B$3:$B$563,AC$3)+SUMIFS(Input_Konektivitas!$D$3:$D$563,Input_Konektivitas!$A$3:$A$563,AC$3,Input_Konektivitas!$B$3:$B$563,$A28))</f>
        <v>3.25</v>
      </c>
      <c r="AD28" s="27">
        <f>IF((COUNTIFS(Input_Konektivitas!$A$3:$A$563,$A28,Input_Konektivitas!$B$3:$B$563,AD$3,Input_Konektivitas!$D$3:$D$563,"&gt;0")+COUNTIFS(Input_Konektivitas!$A$3:$A$563,AD$3,Input_Konektivitas!$B$3:$B$563,$A28,Input_Konektivitas!$D$3:$D$563,"&gt;0"))=0,"",SUMIFS(Input_Konektivitas!$D$3:$D$563,Input_Konektivitas!$A$3:$A$563,$A28,Input_Konektivitas!$B$3:$B$563,AD$3)+SUMIFS(Input_Konektivitas!$D$3:$D$563,Input_Konektivitas!$A$3:$A$563,AD$3,Input_Konektivitas!$B$3:$B$563,$A28))</f>
        <v>1.083</v>
      </c>
      <c r="AE28" s="27">
        <f>IF((COUNTIFS(Input_Konektivitas!$A$3:$A$563,$A28,Input_Konektivitas!$B$3:$B$563,AE$3,Input_Konektivitas!$D$3:$D$563,"&gt;0")+COUNTIFS(Input_Konektivitas!$A$3:$A$563,AE$3,Input_Konektivitas!$B$3:$B$563,$A28,Input_Konektivitas!$D$3:$D$563,"&gt;0"))=0,"",SUMIFS(Input_Konektivitas!$D$3:$D$563,Input_Konektivitas!$A$3:$A$563,$A28,Input_Konektivitas!$B$3:$B$563,AE$3)+SUMIFS(Input_Konektivitas!$D$3:$D$563,Input_Konektivitas!$A$3:$A$563,AE$3,Input_Konektivitas!$B$3:$B$563,$A28))</f>
        <v>4.4166</v>
      </c>
      <c r="AF28" s="27">
        <f>IF((COUNTIFS(Input_Konektivitas!$A$3:$A$563,$A28,Input_Konektivitas!$B$3:$B$563,AF$3,Input_Konektivitas!$D$3:$D$563,"&gt;0")+COUNTIFS(Input_Konektivitas!$A$3:$A$563,AF$3,Input_Konektivitas!$B$3:$B$563,$A28,Input_Konektivitas!$D$3:$D$563,"&gt;0"))=0,"",SUMIFS(Input_Konektivitas!$D$3:$D$563,Input_Konektivitas!$A$3:$A$563,$A28,Input_Konektivitas!$B$3:$B$563,AF$3)+SUMIFS(Input_Konektivitas!$D$3:$D$563,Input_Konektivitas!$A$3:$A$563,AF$3,Input_Konektivitas!$B$3:$B$563,$A28))</f>
        <v>3.083</v>
      </c>
      <c r="AG28" s="27">
        <f>IF((COUNTIFS(Input_Konektivitas!$A$3:$A$563,$A28,Input_Konektivitas!$B$3:$B$563,AG$3,Input_Konektivitas!$D$3:$D$563,"&gt;0")+COUNTIFS(Input_Konektivitas!$A$3:$A$563,AG$3,Input_Konektivitas!$B$3:$B$563,$A28,Input_Konektivitas!$D$3:$D$563,"&gt;0"))=0,"",SUMIFS(Input_Konektivitas!$D$3:$D$563,Input_Konektivitas!$A$3:$A$563,$A28,Input_Konektivitas!$B$3:$B$563,AG$3)+SUMIFS(Input_Konektivitas!$D$3:$D$563,Input_Konektivitas!$A$3:$A$563,AG$3,Input_Konektivitas!$B$3:$B$563,$A28))</f>
        <v>0.833</v>
      </c>
      <c r="AH28" s="27">
        <f>IF((COUNTIFS(Input_Konektivitas!$A$3:$A$563,$A28,Input_Konektivitas!$B$3:$B$563,AH$3,Input_Konektivitas!$D$3:$D$563,"&gt;0")+COUNTIFS(Input_Konektivitas!$A$3:$A$563,AH$3,Input_Konektivitas!$B$3:$B$563,$A28,Input_Konektivitas!$D$3:$D$563,"&gt;0"))=0,"",SUMIFS(Input_Konektivitas!$D$3:$D$563,Input_Konektivitas!$A$3:$A$563,$A28,Input_Konektivitas!$B$3:$B$563,AH$3)+SUMIFS(Input_Konektivitas!$D$3:$D$563,Input_Konektivitas!$A$3:$A$563,AH$3,Input_Konektivitas!$B$3:$B$563,$A28))</f>
        <v>1.333</v>
      </c>
      <c r="AI28" s="27">
        <f>IF((COUNTIFS(Input_Konektivitas!$A$3:$A$563,$A28,Input_Konektivitas!$B$3:$B$563,AI$3,Input_Konektivitas!$D$3:$D$563,"&gt;0")+COUNTIFS(Input_Konektivitas!$A$3:$A$563,AI$3,Input_Konektivitas!$B$3:$B$563,$A28,Input_Konektivitas!$D$3:$D$563,"&gt;0"))=0,"",SUMIFS(Input_Konektivitas!$D$3:$D$563,Input_Konektivitas!$A$3:$A$563,$A28,Input_Konektivitas!$B$3:$B$563,AI$3)+SUMIFS(Input_Konektivitas!$D$3:$D$563,Input_Konektivitas!$A$3:$A$563,AI$3,Input_Konektivitas!$B$3:$B$563,$A28))</f>
        <v>3.9166</v>
      </c>
    </row>
    <row r="29" ht="14.25" customHeight="1">
      <c r="A29" s="22" t="s">
        <v>78</v>
      </c>
      <c r="B29" s="27">
        <f>IF((COUNTIFS(Input_Konektivitas!$A$3:$A$563,$A29,Input_Konektivitas!$B$3:$B$563,B$3,Input_Konektivitas!$D$3:$D$563,"&gt;0")+COUNTIFS(Input_Konektivitas!$A$3:$A$563,B$3,Input_Konektivitas!$B$3:$B$563,$A29,Input_Konektivitas!$D$3:$D$563,"&gt;0"))=0,"",SUMIFS(Input_Konektivitas!$D$3:$D$563,Input_Konektivitas!$A$3:$A$563,$A29,Input_Konektivitas!$B$3:$B$563,B$3)+SUMIFS(Input_Konektivitas!$D$3:$D$563,Input_Konektivitas!$A$3:$A$563,B$3,Input_Konektivitas!$B$3:$B$563,$A29))</f>
        <v>13.5</v>
      </c>
      <c r="C29" s="27">
        <f>IF((COUNTIFS(Input_Konektivitas!$A$3:$A$563,$A29,Input_Konektivitas!$B$3:$B$563,C$3,Input_Konektivitas!$D$3:$D$563,"&gt;0")+COUNTIFS(Input_Konektivitas!$A$3:$A$563,C$3,Input_Konektivitas!$B$3:$B$563,$A29,Input_Konektivitas!$D$3:$D$563,"&gt;0"))=0,"",SUMIFS(Input_Konektivitas!$D$3:$D$563,Input_Konektivitas!$A$3:$A$563,$A29,Input_Konektivitas!$B$3:$B$563,C$3)+SUMIFS(Input_Konektivitas!$D$3:$D$563,Input_Konektivitas!$A$3:$A$563,C$3,Input_Konektivitas!$B$3:$B$563,$A29))</f>
        <v>9.33</v>
      </c>
      <c r="D29" s="27">
        <f>IF((COUNTIFS(Input_Konektivitas!$A$3:$A$563,$A29,Input_Konektivitas!$B$3:$B$563,D$3,Input_Konektivitas!$D$3:$D$563,"&gt;0")+COUNTIFS(Input_Konektivitas!$A$3:$A$563,D$3,Input_Konektivitas!$B$3:$B$563,$A29,Input_Konektivitas!$D$3:$D$563,"&gt;0"))=0,"",SUMIFS(Input_Konektivitas!$D$3:$D$563,Input_Konektivitas!$A$3:$A$563,$A29,Input_Konektivitas!$B$3:$B$563,D$3)+SUMIFS(Input_Konektivitas!$D$3:$D$563,Input_Konektivitas!$A$3:$A$563,D$3,Input_Konektivitas!$B$3:$B$563,$A29))</f>
        <v>9.67</v>
      </c>
      <c r="E29" s="27">
        <f>IF((COUNTIFS(Input_Konektivitas!$A$3:$A$563,$A29,Input_Konektivitas!$B$3:$B$563,E$3,Input_Konektivitas!$D$3:$D$563,"&gt;0")+COUNTIFS(Input_Konektivitas!$A$3:$A$563,E$3,Input_Konektivitas!$B$3:$B$563,$A29,Input_Konektivitas!$D$3:$D$563,"&gt;0"))=0,"",SUMIFS(Input_Konektivitas!$D$3:$D$563,Input_Konektivitas!$A$3:$A$563,$A29,Input_Konektivitas!$B$3:$B$563,E$3)+SUMIFS(Input_Konektivitas!$D$3:$D$563,Input_Konektivitas!$A$3:$A$563,E$3,Input_Konektivitas!$B$3:$B$563,$A29))</f>
        <v>7.83</v>
      </c>
      <c r="F29" s="27">
        <f>IF((COUNTIFS(Input_Konektivitas!$A$3:$A$563,$A29,Input_Konektivitas!$B$3:$B$563,F$3,Input_Konektivitas!$D$3:$D$563,"&gt;0")+COUNTIFS(Input_Konektivitas!$A$3:$A$563,F$3,Input_Konektivitas!$B$3:$B$563,$A29,Input_Konektivitas!$D$3:$D$563,"&gt;0"))=0,"",SUMIFS(Input_Konektivitas!$D$3:$D$563,Input_Konektivitas!$A$3:$A$563,$A29,Input_Konektivitas!$B$3:$B$563,F$3)+SUMIFS(Input_Konektivitas!$D$3:$D$563,Input_Konektivitas!$A$3:$A$563,F$3,Input_Konektivitas!$B$3:$B$563,$A29))</f>
        <v>7.5</v>
      </c>
      <c r="G29" s="27">
        <f>IF((COUNTIFS(Input_Konektivitas!$A$3:$A$563,$A29,Input_Konektivitas!$B$3:$B$563,G$3,Input_Konektivitas!$D$3:$D$563,"&gt;0")+COUNTIFS(Input_Konektivitas!$A$3:$A$563,G$3,Input_Konektivitas!$B$3:$B$563,$A29,Input_Konektivitas!$D$3:$D$563,"&gt;0"))=0,"",SUMIFS(Input_Konektivitas!$D$3:$D$563,Input_Konektivitas!$A$3:$A$563,$A29,Input_Konektivitas!$B$3:$B$563,G$3)+SUMIFS(Input_Konektivitas!$D$3:$D$563,Input_Konektivitas!$A$3:$A$563,G$3,Input_Konektivitas!$B$3:$B$563,$A29))</f>
        <v>9.66</v>
      </c>
      <c r="H29" s="27">
        <f>IF((COUNTIFS(Input_Konektivitas!$A$3:$A$563,$A29,Input_Konektivitas!$B$3:$B$563,H$3,Input_Konektivitas!$D$3:$D$563,"&gt;0")+COUNTIFS(Input_Konektivitas!$A$3:$A$563,H$3,Input_Konektivitas!$B$3:$B$563,$A29,Input_Konektivitas!$D$3:$D$563,"&gt;0"))=0,"",SUMIFS(Input_Konektivitas!$D$3:$D$563,Input_Konektivitas!$A$3:$A$563,$A29,Input_Konektivitas!$B$3:$B$563,H$3)+SUMIFS(Input_Konektivitas!$D$3:$D$563,Input_Konektivitas!$A$3:$A$563,H$3,Input_Konektivitas!$B$3:$B$563,$A29))</f>
        <v>7.5</v>
      </c>
      <c r="I29" s="27">
        <f>IF((COUNTIFS(Input_Konektivitas!$A$3:$A$563,$A29,Input_Konektivitas!$B$3:$B$563,I$3,Input_Konektivitas!$D$3:$D$563,"&gt;0")+COUNTIFS(Input_Konektivitas!$A$3:$A$563,I$3,Input_Konektivitas!$B$3:$B$563,$A29,Input_Konektivitas!$D$3:$D$563,"&gt;0"))=0,"",SUMIFS(Input_Konektivitas!$D$3:$D$563,Input_Konektivitas!$A$3:$A$563,$A29,Input_Konektivitas!$B$3:$B$563,I$3)+SUMIFS(Input_Konektivitas!$D$3:$D$563,Input_Konektivitas!$A$3:$A$563,I$3,Input_Konektivitas!$B$3:$B$563,$A29))</f>
        <v>14.17</v>
      </c>
      <c r="J29" s="27">
        <f>IF((COUNTIFS(Input_Konektivitas!$A$3:$A$563,$A29,Input_Konektivitas!$B$3:$B$563,J$3,Input_Konektivitas!$D$3:$D$563,"&gt;0")+COUNTIFS(Input_Konektivitas!$A$3:$A$563,J$3,Input_Konektivitas!$B$3:$B$563,$A29,Input_Konektivitas!$D$3:$D$563,"&gt;0"))=0,"",SUMIFS(Input_Konektivitas!$D$3:$D$563,Input_Konektivitas!$A$3:$A$563,$A29,Input_Konektivitas!$B$3:$B$563,J$3)+SUMIFS(Input_Konektivitas!$D$3:$D$563,Input_Konektivitas!$A$3:$A$563,J$3,Input_Konektivitas!$B$3:$B$563,$A29))</f>
        <v>12.17</v>
      </c>
      <c r="K29" s="27">
        <f>IF((COUNTIFS(Input_Konektivitas!$A$3:$A$563,$A29,Input_Konektivitas!$B$3:$B$563,K$3,Input_Konektivitas!$D$3:$D$563,"&gt;0")+COUNTIFS(Input_Konektivitas!$A$3:$A$563,K$3,Input_Konektivitas!$B$3:$B$563,$A29,Input_Konektivitas!$D$3:$D$563,"&gt;0"))=0,"",SUMIFS(Input_Konektivitas!$D$3:$D$563,Input_Konektivitas!$A$3:$A$563,$A29,Input_Konektivitas!$B$3:$B$563,K$3)+SUMIFS(Input_Konektivitas!$D$3:$D$563,Input_Konektivitas!$A$3:$A$563,K$3,Input_Konektivitas!$B$3:$B$563,$A29))</f>
        <v>7.16666</v>
      </c>
      <c r="L29" s="27">
        <f>IF((COUNTIFS(Input_Konektivitas!$A$3:$A$563,$A29,Input_Konektivitas!$B$3:$B$563,L$3,Input_Konektivitas!$D$3:$D$563,"&gt;0")+COUNTIFS(Input_Konektivitas!$A$3:$A$563,L$3,Input_Konektivitas!$B$3:$B$563,$A29,Input_Konektivitas!$D$3:$D$563,"&gt;0"))=0,"",SUMIFS(Input_Konektivitas!$D$3:$D$563,Input_Konektivitas!$A$3:$A$563,$A29,Input_Konektivitas!$B$3:$B$563,L$3)+SUMIFS(Input_Konektivitas!$D$3:$D$563,Input_Konektivitas!$A$3:$A$563,L$3,Input_Konektivitas!$B$3:$B$563,$A29))</f>
        <v>4.17</v>
      </c>
      <c r="M29" s="27" t="str">
        <f>IF((COUNTIFS(Input_Konektivitas!$A$3:$A$563,$A29,Input_Konektivitas!$B$3:$B$563,M$3,Input_Konektivitas!$D$3:$D$563,"&gt;0")+COUNTIFS(Input_Konektivitas!$A$3:$A$563,M$3,Input_Konektivitas!$B$3:$B$563,$A29,Input_Konektivitas!$D$3:$D$563,"&gt;0"))=0,"",SUMIFS(Input_Konektivitas!$D$3:$D$563,Input_Konektivitas!$A$3:$A$563,$A29,Input_Konektivitas!$B$3:$B$563,M$3)+SUMIFS(Input_Konektivitas!$D$3:$D$563,Input_Konektivitas!$A$3:$A$563,M$3,Input_Konektivitas!$B$3:$B$563,$A29))</f>
        <v/>
      </c>
      <c r="N29" s="27">
        <f>IF((COUNTIFS(Input_Konektivitas!$A$3:$A$563,$A29,Input_Konektivitas!$B$3:$B$563,N$3,Input_Konektivitas!$D$3:$D$563,"&gt;0")+COUNTIFS(Input_Konektivitas!$A$3:$A$563,N$3,Input_Konektivitas!$B$3:$B$563,$A29,Input_Konektivitas!$D$3:$D$563,"&gt;0"))=0,"",SUMIFS(Input_Konektivitas!$D$3:$D$563,Input_Konektivitas!$A$3:$A$563,$A29,Input_Konektivitas!$B$3:$B$563,N$3)+SUMIFS(Input_Konektivitas!$D$3:$D$563,Input_Konektivitas!$A$3:$A$563,N$3,Input_Konektivitas!$B$3:$B$563,$A29))</f>
        <v>6.92</v>
      </c>
      <c r="O29" s="27">
        <f>IF((COUNTIFS(Input_Konektivitas!$A$3:$A$563,$A29,Input_Konektivitas!$B$3:$B$563,O$3,Input_Konektivitas!$D$3:$D$563,"&gt;0")+COUNTIFS(Input_Konektivitas!$A$3:$A$563,O$3,Input_Konektivitas!$B$3:$B$563,$A29,Input_Konektivitas!$D$3:$D$563,"&gt;0"))=0,"",SUMIFS(Input_Konektivitas!$D$3:$D$563,Input_Konektivitas!$A$3:$A$563,$A29,Input_Konektivitas!$B$3:$B$563,O$3)+SUMIFS(Input_Konektivitas!$D$3:$D$563,Input_Konektivitas!$A$3:$A$563,O$3,Input_Konektivitas!$B$3:$B$563,$A29))</f>
        <v>3.83</v>
      </c>
      <c r="P29" s="27">
        <f>IF((COUNTIFS(Input_Konektivitas!$A$3:$A$563,$A29,Input_Konektivitas!$B$3:$B$563,P$3,Input_Konektivitas!$D$3:$D$563,"&gt;0")+COUNTIFS(Input_Konektivitas!$A$3:$A$563,P$3,Input_Konektivitas!$B$3:$B$563,$A29,Input_Konektivitas!$D$3:$D$563,"&gt;0"))=0,"",SUMIFS(Input_Konektivitas!$D$3:$D$563,Input_Konektivitas!$A$3:$A$563,$A29,Input_Konektivitas!$B$3:$B$563,P$3)+SUMIFS(Input_Konektivitas!$D$3:$D$563,Input_Konektivitas!$A$3:$A$563,P$3,Input_Konektivitas!$B$3:$B$563,$A29))</f>
        <v>3.583</v>
      </c>
      <c r="Q29" s="27" t="str">
        <f>IF((COUNTIFS(Input_Konektivitas!$A$3:$A$563,$A29,Input_Konektivitas!$B$3:$B$563,Q$3,Input_Konektivitas!$D$3:$D$563,"&gt;0")+COUNTIFS(Input_Konektivitas!$A$3:$A$563,Q$3,Input_Konektivitas!$B$3:$B$563,$A29,Input_Konektivitas!$D$3:$D$563,"&gt;0"))=0,"",SUMIFS(Input_Konektivitas!$D$3:$D$563,Input_Konektivitas!$A$3:$A$563,$A29,Input_Konektivitas!$B$3:$B$563,Q$3)+SUMIFS(Input_Konektivitas!$D$3:$D$563,Input_Konektivitas!$A$3:$A$563,Q$3,Input_Konektivitas!$B$3:$B$563,$A29))</f>
        <v/>
      </c>
      <c r="R29" s="27">
        <f>IF((COUNTIFS(Input_Konektivitas!$A$3:$A$563,$A29,Input_Konektivitas!$B$3:$B$563,R$3,Input_Konektivitas!$D$3:$D$563,"&gt;0")+COUNTIFS(Input_Konektivitas!$A$3:$A$563,R$3,Input_Konektivitas!$B$3:$B$563,$A29,Input_Konektivitas!$D$3:$D$563,"&gt;0"))=0,"",SUMIFS(Input_Konektivitas!$D$3:$D$563,Input_Konektivitas!$A$3:$A$563,$A29,Input_Konektivitas!$B$3:$B$563,R$3)+SUMIFS(Input_Konektivitas!$D$3:$D$563,Input_Konektivitas!$A$3:$A$563,R$3,Input_Konektivitas!$B$3:$B$563,$A29))</f>
        <v>4.166</v>
      </c>
      <c r="S29" s="27">
        <f>IF((COUNTIFS(Input_Konektivitas!$A$3:$A$563,$A29,Input_Konektivitas!$B$3:$B$563,S$3,Input_Konektivitas!$D$3:$D$563,"&gt;0")+COUNTIFS(Input_Konektivitas!$A$3:$A$563,S$3,Input_Konektivitas!$B$3:$B$563,$A29,Input_Konektivitas!$D$3:$D$563,"&gt;0"))=0,"",SUMIFS(Input_Konektivitas!$D$3:$D$563,Input_Konektivitas!$A$3:$A$563,$A29,Input_Konektivitas!$B$3:$B$563,S$3)+SUMIFS(Input_Konektivitas!$D$3:$D$563,Input_Konektivitas!$A$3:$A$563,S$3,Input_Konektivitas!$B$3:$B$563,$A29))</f>
        <v>6.75</v>
      </c>
      <c r="T29" s="27">
        <f>IF((COUNTIFS(Input_Konektivitas!$A$3:$A$563,$A29,Input_Konektivitas!$B$3:$B$563,T$3,Input_Konektivitas!$D$3:$D$563,"&gt;0")+COUNTIFS(Input_Konektivitas!$A$3:$A$563,T$3,Input_Konektivitas!$B$3:$B$563,$A29,Input_Konektivitas!$D$3:$D$563,"&gt;0"))=0,"",SUMIFS(Input_Konektivitas!$D$3:$D$563,Input_Konektivitas!$A$3:$A$563,$A29,Input_Konektivitas!$B$3:$B$563,T$3)+SUMIFS(Input_Konektivitas!$D$3:$D$563,Input_Konektivitas!$A$3:$A$563,T$3,Input_Konektivitas!$B$3:$B$563,$A29))</f>
        <v>12.5</v>
      </c>
      <c r="U29" s="27">
        <f>IF((COUNTIFS(Input_Konektivitas!$A$3:$A$563,$A29,Input_Konektivitas!$B$3:$B$563,U$3,Input_Konektivitas!$D$3:$D$563,"&gt;0")+COUNTIFS(Input_Konektivitas!$A$3:$A$563,U$3,Input_Konektivitas!$B$3:$B$563,$A29,Input_Konektivitas!$D$3:$D$563,"&gt;0"))=0,"",SUMIFS(Input_Konektivitas!$D$3:$D$563,Input_Konektivitas!$A$3:$A$563,$A29,Input_Konektivitas!$B$3:$B$563,U$3)+SUMIFS(Input_Konektivitas!$D$3:$D$563,Input_Konektivitas!$A$3:$A$563,U$3,Input_Konektivitas!$B$3:$B$563,$A29))</f>
        <v>7.75</v>
      </c>
      <c r="V29" s="27">
        <f>IF((COUNTIFS(Input_Konektivitas!$A$3:$A$563,$A29,Input_Konektivitas!$B$3:$B$563,V$3,Input_Konektivitas!$D$3:$D$563,"&gt;0")+COUNTIFS(Input_Konektivitas!$A$3:$A$563,V$3,Input_Konektivitas!$B$3:$B$563,$A29,Input_Konektivitas!$D$3:$D$563,"&gt;0"))=0,"",SUMIFS(Input_Konektivitas!$D$3:$D$563,Input_Konektivitas!$A$3:$A$563,$A29,Input_Konektivitas!$B$3:$B$563,V$3)+SUMIFS(Input_Konektivitas!$D$3:$D$563,Input_Konektivitas!$A$3:$A$563,V$3,Input_Konektivitas!$B$3:$B$563,$A29))</f>
        <v>15.0833</v>
      </c>
      <c r="W29" s="27">
        <f>IF((COUNTIFS(Input_Konektivitas!$A$3:$A$563,$A29,Input_Konektivitas!$B$3:$B$563,W$3,Input_Konektivitas!$D$3:$D$563,"&gt;0")+COUNTIFS(Input_Konektivitas!$A$3:$A$563,W$3,Input_Konektivitas!$B$3:$B$563,$A29,Input_Konektivitas!$D$3:$D$563,"&gt;0"))=0,"",SUMIFS(Input_Konektivitas!$D$3:$D$563,Input_Konektivitas!$A$3:$A$563,$A29,Input_Konektivitas!$B$3:$B$563,W$3)+SUMIFS(Input_Konektivitas!$D$3:$D$563,Input_Konektivitas!$A$3:$A$563,W$3,Input_Konektivitas!$B$3:$B$563,$A29))</f>
        <v>7.9166</v>
      </c>
      <c r="X29" s="27">
        <f>IF((COUNTIFS(Input_Konektivitas!$A$3:$A$563,$A29,Input_Konektivitas!$B$3:$B$563,X$3,Input_Konektivitas!$D$3:$D$563,"&gt;0")+COUNTIFS(Input_Konektivitas!$A$3:$A$563,X$3,Input_Konektivitas!$B$3:$B$563,$A29,Input_Konektivitas!$D$3:$D$563,"&gt;0"))=0,"",SUMIFS(Input_Konektivitas!$D$3:$D$563,Input_Konektivitas!$A$3:$A$563,$A29,Input_Konektivitas!$B$3:$B$563,X$3)+SUMIFS(Input_Konektivitas!$D$3:$D$563,Input_Konektivitas!$A$3:$A$563,X$3,Input_Konektivitas!$B$3:$B$563,$A29))</f>
        <v>3.166</v>
      </c>
      <c r="Y29" s="27">
        <f>IF((COUNTIFS(Input_Konektivitas!$A$3:$A$563,$A29,Input_Konektivitas!$B$3:$B$563,Y$3,Input_Konektivitas!$D$3:$D$563,"&gt;0")+COUNTIFS(Input_Konektivitas!$A$3:$A$563,Y$3,Input_Konektivitas!$B$3:$B$563,$A29,Input_Konektivitas!$D$3:$D$563,"&gt;0"))=0,"",SUMIFS(Input_Konektivitas!$D$3:$D$563,Input_Konektivitas!$A$3:$A$563,$A29,Input_Konektivitas!$B$3:$B$563,Y$3)+SUMIFS(Input_Konektivitas!$D$3:$D$563,Input_Konektivitas!$A$3:$A$563,Y$3,Input_Konektivitas!$B$3:$B$563,$A29))</f>
        <v>16.916</v>
      </c>
      <c r="Z29" s="27">
        <f>IF((COUNTIFS(Input_Konektivitas!$A$3:$A$563,$A29,Input_Konektivitas!$B$3:$B$563,Z$3,Input_Konektivitas!$D$3:$D$563,"&gt;0")+COUNTIFS(Input_Konektivitas!$A$3:$A$563,Z$3,Input_Konektivitas!$B$3:$B$563,$A29,Input_Konektivitas!$D$3:$D$563,"&gt;0"))=0,"",SUMIFS(Input_Konektivitas!$D$3:$D$563,Input_Konektivitas!$A$3:$A$563,$A29,Input_Konektivitas!$B$3:$B$563,Z$3)+SUMIFS(Input_Konektivitas!$D$3:$D$563,Input_Konektivitas!$A$3:$A$563,Z$3,Input_Konektivitas!$B$3:$B$563,$A29))</f>
        <v>3.666</v>
      </c>
      <c r="AA29" s="23">
        <v>0.0</v>
      </c>
      <c r="AB29" s="27">
        <f>IF((COUNTIFS(Input_Konektivitas!$A$3:$A$563,$A29,Input_Konektivitas!$B$3:$B$563,AB$3,Input_Konektivitas!$D$3:$D$563,"&gt;0")+COUNTIFS(Input_Konektivitas!$A$3:$A$563,AB$3,Input_Konektivitas!$B$3:$B$563,$A29,Input_Konektivitas!$D$3:$D$563,"&gt;0"))=0,"",SUMIFS(Input_Konektivitas!$D$3:$D$563,Input_Konektivitas!$A$3:$A$563,$A29,Input_Konektivitas!$B$3:$B$563,AB$3)+SUMIFS(Input_Konektivitas!$D$3:$D$563,Input_Konektivitas!$A$3:$A$563,AB$3,Input_Konektivitas!$B$3:$B$563,$A29))</f>
        <v>1.083</v>
      </c>
      <c r="AC29" s="27">
        <f>IF((COUNTIFS(Input_Konektivitas!$A$3:$A$563,$A29,Input_Konektivitas!$B$3:$B$563,AC$3,Input_Konektivitas!$D$3:$D$563,"&gt;0")+COUNTIFS(Input_Konektivitas!$A$3:$A$563,AC$3,Input_Konektivitas!$B$3:$B$563,$A29,Input_Konektivitas!$D$3:$D$563,"&gt;0"))=0,"",SUMIFS(Input_Konektivitas!$D$3:$D$563,Input_Konektivitas!$A$3:$A$563,$A29,Input_Konektivitas!$B$3:$B$563,AC$3)+SUMIFS(Input_Konektivitas!$D$3:$D$563,Input_Konektivitas!$A$3:$A$563,AC$3,Input_Konektivitas!$B$3:$B$563,$A29))</f>
        <v>2.833</v>
      </c>
      <c r="AD29" s="27">
        <f>IF((COUNTIFS(Input_Konektivitas!$A$3:$A$563,$A29,Input_Konektivitas!$B$3:$B$563,AD$3,Input_Konektivitas!$D$3:$D$563,"&gt;0")+COUNTIFS(Input_Konektivitas!$A$3:$A$563,AD$3,Input_Konektivitas!$B$3:$B$563,$A29,Input_Konektivitas!$D$3:$D$563,"&gt;0"))=0,"",SUMIFS(Input_Konektivitas!$D$3:$D$563,Input_Konektivitas!$A$3:$A$563,$A29,Input_Konektivitas!$B$3:$B$563,AD$3)+SUMIFS(Input_Konektivitas!$D$3:$D$563,Input_Konektivitas!$A$3:$A$563,AD$3,Input_Konektivitas!$B$3:$B$563,$A29))</f>
        <v>4.083</v>
      </c>
      <c r="AE29" s="27">
        <f>IF((COUNTIFS(Input_Konektivitas!$A$3:$A$563,$A29,Input_Konektivitas!$B$3:$B$563,AE$3,Input_Konektivitas!$D$3:$D$563,"&gt;0")+COUNTIFS(Input_Konektivitas!$A$3:$A$563,AE$3,Input_Konektivitas!$B$3:$B$563,$A29,Input_Konektivitas!$D$3:$D$563,"&gt;0"))=0,"",SUMIFS(Input_Konektivitas!$D$3:$D$563,Input_Konektivitas!$A$3:$A$563,$A29,Input_Konektivitas!$B$3:$B$563,AE$3)+SUMIFS(Input_Konektivitas!$D$3:$D$563,Input_Konektivitas!$A$3:$A$563,AE$3,Input_Konektivitas!$B$3:$B$563,$A29))</f>
        <v>4.25</v>
      </c>
      <c r="AF29" s="27">
        <f>IF((COUNTIFS(Input_Konektivitas!$A$3:$A$563,$A29,Input_Konektivitas!$B$3:$B$563,AF$3,Input_Konektivitas!$D$3:$D$563,"&gt;0")+COUNTIFS(Input_Konektivitas!$A$3:$A$563,AF$3,Input_Konektivitas!$B$3:$B$563,$A29,Input_Konektivitas!$D$3:$D$563,"&gt;0"))=0,"",SUMIFS(Input_Konektivitas!$D$3:$D$563,Input_Konektivitas!$A$3:$A$563,$A29,Input_Konektivitas!$B$3:$B$563,AF$3)+SUMIFS(Input_Konektivitas!$D$3:$D$563,Input_Konektivitas!$A$3:$A$563,AF$3,Input_Konektivitas!$B$3:$B$563,$A29))</f>
        <v>28.33</v>
      </c>
      <c r="AG29" s="27">
        <f>IF((COUNTIFS(Input_Konektivitas!$A$3:$A$563,$A29,Input_Konektivitas!$B$3:$B$563,AG$3,Input_Konektivitas!$D$3:$D$563,"&gt;0")+COUNTIFS(Input_Konektivitas!$A$3:$A$563,AG$3,Input_Konektivitas!$B$3:$B$563,$A29,Input_Konektivitas!$D$3:$D$563,"&gt;0"))=0,"",SUMIFS(Input_Konektivitas!$D$3:$D$563,Input_Konektivitas!$A$3:$A$563,$A29,Input_Konektivitas!$B$3:$B$563,AG$3)+SUMIFS(Input_Konektivitas!$D$3:$D$563,Input_Konektivitas!$A$3:$A$563,AG$3,Input_Konektivitas!$B$3:$B$563,$A29))</f>
        <v>4.33</v>
      </c>
      <c r="AH29" s="27">
        <f>IF((COUNTIFS(Input_Konektivitas!$A$3:$A$563,$A29,Input_Konektivitas!$B$3:$B$563,AH$3,Input_Konektivitas!$D$3:$D$563,"&gt;0")+COUNTIFS(Input_Konektivitas!$A$3:$A$563,AH$3,Input_Konektivitas!$B$3:$B$563,$A29,Input_Konektivitas!$D$3:$D$563,"&gt;0"))=0,"",SUMIFS(Input_Konektivitas!$D$3:$D$563,Input_Konektivitas!$A$3:$A$563,$A29,Input_Konektivitas!$B$3:$B$563,AH$3)+SUMIFS(Input_Konektivitas!$D$3:$D$563,Input_Konektivitas!$A$3:$A$563,AH$3,Input_Konektivitas!$B$3:$B$563,$A29))</f>
        <v>5.83</v>
      </c>
      <c r="AI29" s="27">
        <f>IF((COUNTIFS(Input_Konektivitas!$A$3:$A$563,$A29,Input_Konektivitas!$B$3:$B$563,AI$3,Input_Konektivitas!$D$3:$D$563,"&gt;0")+COUNTIFS(Input_Konektivitas!$A$3:$A$563,AI$3,Input_Konektivitas!$B$3:$B$563,$A29,Input_Konektivitas!$D$3:$D$563,"&gt;0"))=0,"",SUMIFS(Input_Konektivitas!$D$3:$D$563,Input_Konektivitas!$A$3:$A$563,$A29,Input_Konektivitas!$B$3:$B$563,AI$3)+SUMIFS(Input_Konektivitas!$D$3:$D$563,Input_Konektivitas!$A$3:$A$563,AI$3,Input_Konektivitas!$B$3:$B$563,$A29))</f>
        <v>13.583</v>
      </c>
    </row>
    <row r="30" ht="14.25" customHeight="1">
      <c r="A30" s="22" t="s">
        <v>81</v>
      </c>
      <c r="B30" s="27">
        <f>IF((COUNTIFS(Input_Konektivitas!$A$3:$A$563,$A30,Input_Konektivitas!$B$3:$B$563,B$3,Input_Konektivitas!$D$3:$D$563,"&gt;0")+COUNTIFS(Input_Konektivitas!$A$3:$A$563,B$3,Input_Konektivitas!$B$3:$B$563,$A30,Input_Konektivitas!$D$3:$D$563,"&gt;0"))=0,"",SUMIFS(Input_Konektivitas!$D$3:$D$563,Input_Konektivitas!$A$3:$A$563,$A30,Input_Konektivitas!$B$3:$B$563,B$3)+SUMIFS(Input_Konektivitas!$D$3:$D$563,Input_Konektivitas!$A$3:$A$563,B$3,Input_Konektivitas!$B$3:$B$563,$A30))</f>
        <v>6.92</v>
      </c>
      <c r="C30" s="27">
        <f>IF((COUNTIFS(Input_Konektivitas!$A$3:$A$563,$A30,Input_Konektivitas!$B$3:$B$563,C$3,Input_Konektivitas!$D$3:$D$563,"&gt;0")+COUNTIFS(Input_Konektivitas!$A$3:$A$563,C$3,Input_Konektivitas!$B$3:$B$563,$A30,Input_Konektivitas!$D$3:$D$563,"&gt;0"))=0,"",SUMIFS(Input_Konektivitas!$D$3:$D$563,Input_Konektivitas!$A$3:$A$563,$A30,Input_Konektivitas!$B$3:$B$563,C$3)+SUMIFS(Input_Konektivitas!$D$3:$D$563,Input_Konektivitas!$A$3:$A$563,C$3,Input_Konektivitas!$B$3:$B$563,$A30))</f>
        <v>5.92</v>
      </c>
      <c r="D30" s="27">
        <f>IF((COUNTIFS(Input_Konektivitas!$A$3:$A$563,$A30,Input_Konektivitas!$B$3:$B$563,D$3,Input_Konektivitas!$D$3:$D$563,"&gt;0")+COUNTIFS(Input_Konektivitas!$A$3:$A$563,D$3,Input_Konektivitas!$B$3:$B$563,$A30,Input_Konektivitas!$D$3:$D$563,"&gt;0"))=0,"",SUMIFS(Input_Konektivitas!$D$3:$D$563,Input_Konektivitas!$A$3:$A$563,$A30,Input_Konektivitas!$B$3:$B$563,D$3)+SUMIFS(Input_Konektivitas!$D$3:$D$563,Input_Konektivitas!$A$3:$A$563,D$3,Input_Konektivitas!$B$3:$B$563,$A30))</f>
        <v>5.42</v>
      </c>
      <c r="E30" s="27">
        <f>IF((COUNTIFS(Input_Konektivitas!$A$3:$A$563,$A30,Input_Konektivitas!$B$3:$B$563,E$3,Input_Konektivitas!$D$3:$D$563,"&gt;0")+COUNTIFS(Input_Konektivitas!$A$3:$A$563,E$3,Input_Konektivitas!$B$3:$B$563,$A30,Input_Konektivitas!$D$3:$D$563,"&gt;0"))=0,"",SUMIFS(Input_Konektivitas!$D$3:$D$563,Input_Konektivitas!$A$3:$A$563,$A30,Input_Konektivitas!$B$3:$B$563,E$3)+SUMIFS(Input_Konektivitas!$D$3:$D$563,Input_Konektivitas!$A$3:$A$563,E$3,Input_Konektivitas!$B$3:$B$563,$A30))</f>
        <v>5.167</v>
      </c>
      <c r="F30" s="27">
        <f>IF((COUNTIFS(Input_Konektivitas!$A$3:$A$563,$A30,Input_Konektivitas!$B$3:$B$563,F$3,Input_Konektivitas!$D$3:$D$563,"&gt;0")+COUNTIFS(Input_Konektivitas!$A$3:$A$563,F$3,Input_Konektivitas!$B$3:$B$563,$A30,Input_Konektivitas!$D$3:$D$563,"&gt;0"))=0,"",SUMIFS(Input_Konektivitas!$D$3:$D$563,Input_Konektivitas!$A$3:$A$563,$A30,Input_Konektivitas!$B$3:$B$563,F$3)+SUMIFS(Input_Konektivitas!$D$3:$D$563,Input_Konektivitas!$A$3:$A$563,F$3,Input_Konektivitas!$B$3:$B$563,$A30))</f>
        <v>4.58</v>
      </c>
      <c r="G30" s="27">
        <f>IF((COUNTIFS(Input_Konektivitas!$A$3:$A$563,$A30,Input_Konektivitas!$B$3:$B$563,G$3,Input_Konektivitas!$D$3:$D$563,"&gt;0")+COUNTIFS(Input_Konektivitas!$A$3:$A$563,G$3,Input_Konektivitas!$B$3:$B$563,$A30,Input_Konektivitas!$D$3:$D$563,"&gt;0"))=0,"",SUMIFS(Input_Konektivitas!$D$3:$D$563,Input_Konektivitas!$A$3:$A$563,$A30,Input_Konektivitas!$B$3:$B$563,G$3)+SUMIFS(Input_Konektivitas!$D$3:$D$563,Input_Konektivitas!$A$3:$A$563,G$3,Input_Konektivitas!$B$3:$B$563,$A30))</f>
        <v>5.08</v>
      </c>
      <c r="H30" s="27">
        <f>IF((COUNTIFS(Input_Konektivitas!$A$3:$A$563,$A30,Input_Konektivitas!$B$3:$B$563,H$3,Input_Konektivitas!$D$3:$D$563,"&gt;0")+COUNTIFS(Input_Konektivitas!$A$3:$A$563,H$3,Input_Konektivitas!$B$3:$B$563,$A30,Input_Konektivitas!$D$3:$D$563,"&gt;0"))=0,"",SUMIFS(Input_Konektivitas!$D$3:$D$563,Input_Konektivitas!$A$3:$A$563,$A30,Input_Konektivitas!$B$3:$B$563,H$3)+SUMIFS(Input_Konektivitas!$D$3:$D$563,Input_Konektivitas!$A$3:$A$563,H$3,Input_Konektivitas!$B$3:$B$563,$A30))</f>
        <v>5.5</v>
      </c>
      <c r="I30" s="27">
        <f>IF((COUNTIFS(Input_Konektivitas!$A$3:$A$563,$A30,Input_Konektivitas!$B$3:$B$563,I$3,Input_Konektivitas!$D$3:$D$563,"&gt;0")+COUNTIFS(Input_Konektivitas!$A$3:$A$563,I$3,Input_Konektivitas!$B$3:$B$563,$A30,Input_Konektivitas!$D$3:$D$563,"&gt;0"))=0,"",SUMIFS(Input_Konektivitas!$D$3:$D$563,Input_Konektivitas!$A$3:$A$563,$A30,Input_Konektivitas!$B$3:$B$563,I$3)+SUMIFS(Input_Konektivitas!$D$3:$D$563,Input_Konektivitas!$A$3:$A$563,I$3,Input_Konektivitas!$B$3:$B$563,$A30))</f>
        <v>4.33</v>
      </c>
      <c r="J30" s="27">
        <f>IF((COUNTIFS(Input_Konektivitas!$A$3:$A$563,$A30,Input_Konektivitas!$B$3:$B$563,J$3,Input_Konektivitas!$D$3:$D$563,"&gt;0")+COUNTIFS(Input_Konektivitas!$A$3:$A$563,J$3,Input_Konektivitas!$B$3:$B$563,$A30,Input_Konektivitas!$D$3:$D$563,"&gt;0"))=0,"",SUMIFS(Input_Konektivitas!$D$3:$D$563,Input_Konektivitas!$A$3:$A$563,$A30,Input_Konektivitas!$B$3:$B$563,J$3)+SUMIFS(Input_Konektivitas!$D$3:$D$563,Input_Konektivitas!$A$3:$A$563,J$3,Input_Konektivitas!$B$3:$B$563,$A30))</f>
        <v>4.58</v>
      </c>
      <c r="K30" s="27">
        <f>IF((COUNTIFS(Input_Konektivitas!$A$3:$A$563,$A30,Input_Konektivitas!$B$3:$B$563,K$3,Input_Konektivitas!$D$3:$D$563,"&gt;0")+COUNTIFS(Input_Konektivitas!$A$3:$A$563,K$3,Input_Konektivitas!$B$3:$B$563,$A30,Input_Konektivitas!$D$3:$D$563,"&gt;0"))=0,"",SUMIFS(Input_Konektivitas!$D$3:$D$563,Input_Konektivitas!$A$3:$A$563,$A30,Input_Konektivitas!$B$3:$B$563,K$3)+SUMIFS(Input_Konektivitas!$D$3:$D$563,Input_Konektivitas!$A$3:$A$563,K$3,Input_Konektivitas!$B$3:$B$563,$A30))</f>
        <v>5.25</v>
      </c>
      <c r="L30" s="27">
        <f>IF((COUNTIFS(Input_Konektivitas!$A$3:$A$563,$A30,Input_Konektivitas!$B$3:$B$563,L$3,Input_Konektivitas!$D$3:$D$563,"&gt;0")+COUNTIFS(Input_Konektivitas!$A$3:$A$563,L$3,Input_Konektivitas!$B$3:$B$563,$A30,Input_Konektivitas!$D$3:$D$563,"&gt;0"))=0,"",SUMIFS(Input_Konektivitas!$D$3:$D$563,Input_Konektivitas!$A$3:$A$563,$A30,Input_Konektivitas!$B$3:$B$563,L$3)+SUMIFS(Input_Konektivitas!$D$3:$D$563,Input_Konektivitas!$A$3:$A$563,L$3,Input_Konektivitas!$B$3:$B$563,$A30))</f>
        <v>2.33</v>
      </c>
      <c r="M30" s="27">
        <f>IF((COUNTIFS(Input_Konektivitas!$A$3:$A$563,$A30,Input_Konektivitas!$B$3:$B$563,M$3,Input_Konektivitas!$D$3:$D$563,"&gt;0")+COUNTIFS(Input_Konektivitas!$A$3:$A$563,M$3,Input_Konektivitas!$B$3:$B$563,$A30,Input_Konektivitas!$D$3:$D$563,"&gt;0"))=0,"",SUMIFS(Input_Konektivitas!$D$3:$D$563,Input_Konektivitas!$A$3:$A$563,$A30,Input_Konektivitas!$B$3:$B$563,M$3)+SUMIFS(Input_Konektivitas!$D$3:$D$563,Input_Konektivitas!$A$3:$A$563,M$3,Input_Konektivitas!$B$3:$B$563,$A30))</f>
        <v>6.92</v>
      </c>
      <c r="N30" s="27">
        <f>IF((COUNTIFS(Input_Konektivitas!$A$3:$A$563,$A30,Input_Konektivitas!$B$3:$B$563,N$3,Input_Konektivitas!$D$3:$D$563,"&gt;0")+COUNTIFS(Input_Konektivitas!$A$3:$A$563,N$3,Input_Konektivitas!$B$3:$B$563,$A30,Input_Konektivitas!$D$3:$D$563,"&gt;0"))=0,"",SUMIFS(Input_Konektivitas!$D$3:$D$563,Input_Konektivitas!$A$3:$A$563,$A30,Input_Konektivitas!$B$3:$B$563,N$3)+SUMIFS(Input_Konektivitas!$D$3:$D$563,Input_Konektivitas!$A$3:$A$563,N$3,Input_Konektivitas!$B$3:$B$563,$A30))</f>
        <v>1.75</v>
      </c>
      <c r="O30" s="27">
        <f>IF((COUNTIFS(Input_Konektivitas!$A$3:$A$563,$A30,Input_Konektivitas!$B$3:$B$563,O$3,Input_Konektivitas!$D$3:$D$563,"&gt;0")+COUNTIFS(Input_Konektivitas!$A$3:$A$563,O$3,Input_Konektivitas!$B$3:$B$563,$A30,Input_Konektivitas!$D$3:$D$563,"&gt;0"))=0,"",SUMIFS(Input_Konektivitas!$D$3:$D$563,Input_Konektivitas!$A$3:$A$563,$A30,Input_Konektivitas!$B$3:$B$563,O$3)+SUMIFS(Input_Konektivitas!$D$3:$D$563,Input_Konektivitas!$A$3:$A$563,O$3,Input_Konektivitas!$B$3:$B$563,$A30))</f>
        <v>1.83</v>
      </c>
      <c r="P30" s="27">
        <f>IF((COUNTIFS(Input_Konektivitas!$A$3:$A$563,$A30,Input_Konektivitas!$B$3:$B$563,P$3,Input_Konektivitas!$D$3:$D$563,"&gt;0")+COUNTIFS(Input_Konektivitas!$A$3:$A$563,P$3,Input_Konektivitas!$B$3:$B$563,$A30,Input_Konektivitas!$D$3:$D$563,"&gt;0"))=0,"",SUMIFS(Input_Konektivitas!$D$3:$D$563,Input_Konektivitas!$A$3:$A$563,$A30,Input_Konektivitas!$B$3:$B$563,P$3)+SUMIFS(Input_Konektivitas!$D$3:$D$563,Input_Konektivitas!$A$3:$A$563,P$3,Input_Konektivitas!$B$3:$B$563,$A30))</f>
        <v>1.416</v>
      </c>
      <c r="Q30" s="27" t="str">
        <f>IF((COUNTIFS(Input_Konektivitas!$A$3:$A$563,$A30,Input_Konektivitas!$B$3:$B$563,Q$3,Input_Konektivitas!$D$3:$D$563,"&gt;0")+COUNTIFS(Input_Konektivitas!$A$3:$A$563,Q$3,Input_Konektivitas!$B$3:$B$563,$A30,Input_Konektivitas!$D$3:$D$563,"&gt;0"))=0,"",SUMIFS(Input_Konektivitas!$D$3:$D$563,Input_Konektivitas!$A$3:$A$563,$A30,Input_Konektivitas!$B$3:$B$563,Q$3)+SUMIFS(Input_Konektivitas!$D$3:$D$563,Input_Konektivitas!$A$3:$A$563,Q$3,Input_Konektivitas!$B$3:$B$563,$A30))</f>
        <v/>
      </c>
      <c r="R30" s="27">
        <f>IF((COUNTIFS(Input_Konektivitas!$A$3:$A$563,$A30,Input_Konektivitas!$B$3:$B$563,R$3,Input_Konektivitas!$D$3:$D$563,"&gt;0")+COUNTIFS(Input_Konektivitas!$A$3:$A$563,R$3,Input_Konektivitas!$B$3:$B$563,$A30,Input_Konektivitas!$D$3:$D$563,"&gt;0"))=0,"",SUMIFS(Input_Konektivitas!$D$3:$D$563,Input_Konektivitas!$A$3:$A$563,$A30,Input_Konektivitas!$B$3:$B$563,R$3)+SUMIFS(Input_Konektivitas!$D$3:$D$563,Input_Konektivitas!$A$3:$A$563,R$3,Input_Konektivitas!$B$3:$B$563,$A30))</f>
        <v>1.33</v>
      </c>
      <c r="S30" s="27">
        <f>IF((COUNTIFS(Input_Konektivitas!$A$3:$A$563,$A30,Input_Konektivitas!$B$3:$B$563,S$3,Input_Konektivitas!$D$3:$D$563,"&gt;0")+COUNTIFS(Input_Konektivitas!$A$3:$A$563,S$3,Input_Konektivitas!$B$3:$B$563,$A30,Input_Konektivitas!$D$3:$D$563,"&gt;0"))=0,"",SUMIFS(Input_Konektivitas!$D$3:$D$563,Input_Konektivitas!$A$3:$A$563,$A30,Input_Konektivitas!$B$3:$B$563,S$3)+SUMIFS(Input_Konektivitas!$D$3:$D$563,Input_Konektivitas!$A$3:$A$563,S$3,Input_Konektivitas!$B$3:$B$563,$A30))</f>
        <v>1.166</v>
      </c>
      <c r="T30" s="27">
        <f>IF((COUNTIFS(Input_Konektivitas!$A$3:$A$563,$A30,Input_Konektivitas!$B$3:$B$563,T$3,Input_Konektivitas!$D$3:$D$563,"&gt;0")+COUNTIFS(Input_Konektivitas!$A$3:$A$563,T$3,Input_Konektivitas!$B$3:$B$563,$A30,Input_Konektivitas!$D$3:$D$563,"&gt;0"))=0,"",SUMIFS(Input_Konektivitas!$D$3:$D$563,Input_Konektivitas!$A$3:$A$563,$A30,Input_Konektivitas!$B$3:$B$563,T$3)+SUMIFS(Input_Konektivitas!$D$3:$D$563,Input_Konektivitas!$A$3:$A$563,T$3,Input_Konektivitas!$B$3:$B$563,$A30))</f>
        <v>1.666</v>
      </c>
      <c r="U30" s="27">
        <f>IF((COUNTIFS(Input_Konektivitas!$A$3:$A$563,$A30,Input_Konektivitas!$B$3:$B$563,U$3,Input_Konektivitas!$D$3:$D$563,"&gt;0")+COUNTIFS(Input_Konektivitas!$A$3:$A$563,U$3,Input_Konektivitas!$B$3:$B$563,$A30,Input_Konektivitas!$D$3:$D$563,"&gt;0"))=0,"",SUMIFS(Input_Konektivitas!$D$3:$D$563,Input_Konektivitas!$A$3:$A$563,$A30,Input_Konektivitas!$B$3:$B$563,U$3)+SUMIFS(Input_Konektivitas!$D$3:$D$563,Input_Konektivitas!$A$3:$A$563,U$3,Input_Konektivitas!$B$3:$B$563,$A30))</f>
        <v>3.4166</v>
      </c>
      <c r="V30" s="27">
        <f>IF((COUNTIFS(Input_Konektivitas!$A$3:$A$563,$A30,Input_Konektivitas!$B$3:$B$563,V$3,Input_Konektivitas!$D$3:$D$563,"&gt;0")+COUNTIFS(Input_Konektivitas!$A$3:$A$563,V$3,Input_Konektivitas!$B$3:$B$563,$A30,Input_Konektivitas!$D$3:$D$563,"&gt;0"))=0,"",SUMIFS(Input_Konektivitas!$D$3:$D$563,Input_Konektivitas!$A$3:$A$563,$A30,Input_Konektivitas!$B$3:$B$563,V$3)+SUMIFS(Input_Konektivitas!$D$3:$D$563,Input_Konektivitas!$A$3:$A$563,V$3,Input_Konektivitas!$B$3:$B$563,$A30))</f>
        <v>5.083</v>
      </c>
      <c r="W30" s="27">
        <f>IF((COUNTIFS(Input_Konektivitas!$A$3:$A$563,$A30,Input_Konektivitas!$B$3:$B$563,W$3,Input_Konektivitas!$D$3:$D$563,"&gt;0")+COUNTIFS(Input_Konektivitas!$A$3:$A$563,W$3,Input_Konektivitas!$B$3:$B$563,$A30,Input_Konektivitas!$D$3:$D$563,"&gt;0"))=0,"",SUMIFS(Input_Konektivitas!$D$3:$D$563,Input_Konektivitas!$A$3:$A$563,$A30,Input_Konektivitas!$B$3:$B$563,W$3)+SUMIFS(Input_Konektivitas!$D$3:$D$563,Input_Konektivitas!$A$3:$A$563,W$3,Input_Konektivitas!$B$3:$B$563,$A30))</f>
        <v>1.25</v>
      </c>
      <c r="X30" s="27">
        <f>IF((COUNTIFS(Input_Konektivitas!$A$3:$A$563,$A30,Input_Konektivitas!$B$3:$B$563,X$3,Input_Konektivitas!$D$3:$D$563,"&gt;0")+COUNTIFS(Input_Konektivitas!$A$3:$A$563,X$3,Input_Konektivitas!$B$3:$B$563,$A30,Input_Konektivitas!$D$3:$D$563,"&gt;0"))=0,"",SUMIFS(Input_Konektivitas!$D$3:$D$563,Input_Konektivitas!$A$3:$A$563,$A30,Input_Konektivitas!$B$3:$B$563,X$3)+SUMIFS(Input_Konektivitas!$D$3:$D$563,Input_Konektivitas!$A$3:$A$563,X$3,Input_Konektivitas!$B$3:$B$563,$A30))</f>
        <v>1.166</v>
      </c>
      <c r="Y30" s="27">
        <f>IF((COUNTIFS(Input_Konektivitas!$A$3:$A$563,$A30,Input_Konektivitas!$B$3:$B$563,Y$3,Input_Konektivitas!$D$3:$D$563,"&gt;0")+COUNTIFS(Input_Konektivitas!$A$3:$A$563,Y$3,Input_Konektivitas!$B$3:$B$563,$A30,Input_Konektivitas!$D$3:$D$563,"&gt;0"))=0,"",SUMIFS(Input_Konektivitas!$D$3:$D$563,Input_Konektivitas!$A$3:$A$563,$A30,Input_Konektivitas!$B$3:$B$563,Y$3)+SUMIFS(Input_Konektivitas!$D$3:$D$563,Input_Konektivitas!$A$3:$A$563,Y$3,Input_Konektivitas!$B$3:$B$563,$A30))</f>
        <v>3.333</v>
      </c>
      <c r="Z30" s="27">
        <f>IF((COUNTIFS(Input_Konektivitas!$A$3:$A$563,$A30,Input_Konektivitas!$B$3:$B$563,Z$3,Input_Konektivitas!$D$3:$D$563,"&gt;0")+COUNTIFS(Input_Konektivitas!$A$3:$A$563,Z$3,Input_Konektivitas!$B$3:$B$563,$A30,Input_Konektivitas!$D$3:$D$563,"&gt;0"))=0,"",SUMIFS(Input_Konektivitas!$D$3:$D$563,Input_Konektivitas!$A$3:$A$563,$A30,Input_Konektivitas!$B$3:$B$563,Z$3)+SUMIFS(Input_Konektivitas!$D$3:$D$563,Input_Konektivitas!$A$3:$A$563,Z$3,Input_Konektivitas!$B$3:$B$563,$A30))</f>
        <v>1.75</v>
      </c>
      <c r="AA30" s="27">
        <f>IF((COUNTIFS(Input_Konektivitas!$A$3:$A$563,$A30,Input_Konektivitas!$B$3:$B$563,AA$3,Input_Konektivitas!$D$3:$D$563,"&gt;0")+COUNTIFS(Input_Konektivitas!$A$3:$A$563,AA$3,Input_Konektivitas!$B$3:$B$563,$A30,Input_Konektivitas!$D$3:$D$563,"&gt;0"))=0,"",SUMIFS(Input_Konektivitas!$D$3:$D$563,Input_Konektivitas!$A$3:$A$563,$A30,Input_Konektivitas!$B$3:$B$563,AA$3)+SUMIFS(Input_Konektivitas!$D$3:$D$563,Input_Konektivitas!$A$3:$A$563,AA$3,Input_Konektivitas!$B$3:$B$563,$A30))</f>
        <v>1.083</v>
      </c>
      <c r="AB30" s="23">
        <v>0.0</v>
      </c>
      <c r="AC30" s="27">
        <f>IF((COUNTIFS(Input_Konektivitas!$A$3:$A$563,$A30,Input_Konektivitas!$B$3:$B$563,AC$3,Input_Konektivitas!$D$3:$D$563,"&gt;0")+COUNTIFS(Input_Konektivitas!$A$3:$A$563,AC$3,Input_Konektivitas!$B$3:$B$563,$A30,Input_Konektivitas!$D$3:$D$563,"&gt;0"))=0,"",SUMIFS(Input_Konektivitas!$D$3:$D$563,Input_Konektivitas!$A$3:$A$563,$A30,Input_Konektivitas!$B$3:$B$563,AC$3)+SUMIFS(Input_Konektivitas!$D$3:$D$563,Input_Konektivitas!$A$3:$A$563,AC$3,Input_Konektivitas!$B$3:$B$563,$A30))</f>
        <v>1</v>
      </c>
      <c r="AD30" s="27">
        <f>IF((COUNTIFS(Input_Konektivitas!$A$3:$A$563,$A30,Input_Konektivitas!$B$3:$B$563,AD$3,Input_Konektivitas!$D$3:$D$563,"&gt;0")+COUNTIFS(Input_Konektivitas!$A$3:$A$563,AD$3,Input_Konektivitas!$B$3:$B$563,$A30,Input_Konektivitas!$D$3:$D$563,"&gt;0"))=0,"",SUMIFS(Input_Konektivitas!$D$3:$D$563,Input_Konektivitas!$A$3:$A$563,$A30,Input_Konektivitas!$B$3:$B$563,AD$3)+SUMIFS(Input_Konektivitas!$D$3:$D$563,Input_Konektivitas!$A$3:$A$563,AD$3,Input_Konektivitas!$B$3:$B$563,$A30))</f>
        <v>1.5</v>
      </c>
      <c r="AE30" s="27">
        <f>IF((COUNTIFS(Input_Konektivitas!$A$3:$A$563,$A30,Input_Konektivitas!$B$3:$B$563,AE$3,Input_Konektivitas!$D$3:$D$563,"&gt;0")+COUNTIFS(Input_Konektivitas!$A$3:$A$563,AE$3,Input_Konektivitas!$B$3:$B$563,$A30,Input_Konektivitas!$D$3:$D$563,"&gt;0"))=0,"",SUMIFS(Input_Konektivitas!$D$3:$D$563,Input_Konektivitas!$A$3:$A$563,$A30,Input_Konektivitas!$B$3:$B$563,AE$3)+SUMIFS(Input_Konektivitas!$D$3:$D$563,Input_Konektivitas!$A$3:$A$563,AE$3,Input_Konektivitas!$B$3:$B$563,$A30))</f>
        <v>1.166</v>
      </c>
      <c r="AF30" s="27">
        <f>IF((COUNTIFS(Input_Konektivitas!$A$3:$A$563,$A30,Input_Konektivitas!$B$3:$B$563,AF$3,Input_Konektivitas!$D$3:$D$563,"&gt;0")+COUNTIFS(Input_Konektivitas!$A$3:$A$563,AF$3,Input_Konektivitas!$B$3:$B$563,$A30,Input_Konektivitas!$D$3:$D$563,"&gt;0"))=0,"",SUMIFS(Input_Konektivitas!$D$3:$D$563,Input_Konektivitas!$A$3:$A$563,$A30,Input_Konektivitas!$B$3:$B$563,AF$3)+SUMIFS(Input_Konektivitas!$D$3:$D$563,Input_Konektivitas!$A$3:$A$563,AF$3,Input_Konektivitas!$B$3:$B$563,$A30))</f>
        <v>1.75</v>
      </c>
      <c r="AG30" s="27">
        <f>IF((COUNTIFS(Input_Konektivitas!$A$3:$A$563,$A30,Input_Konektivitas!$B$3:$B$563,AG$3,Input_Konektivitas!$D$3:$D$563,"&gt;0")+COUNTIFS(Input_Konektivitas!$A$3:$A$563,AG$3,Input_Konektivitas!$B$3:$B$563,$A30,Input_Konektivitas!$D$3:$D$563,"&gt;0"))=0,"",SUMIFS(Input_Konektivitas!$D$3:$D$563,Input_Konektivitas!$A$3:$A$563,$A30,Input_Konektivitas!$B$3:$B$563,AG$3)+SUMIFS(Input_Konektivitas!$D$3:$D$563,Input_Konektivitas!$A$3:$A$563,AG$3,Input_Konektivitas!$B$3:$B$563,$A30))</f>
        <v>1.9166</v>
      </c>
      <c r="AH30" s="27">
        <f>IF((COUNTIFS(Input_Konektivitas!$A$3:$A$563,$A30,Input_Konektivitas!$B$3:$B$563,AH$3,Input_Konektivitas!$D$3:$D$563,"&gt;0")+COUNTIFS(Input_Konektivitas!$A$3:$A$563,AH$3,Input_Konektivitas!$B$3:$B$563,$A30,Input_Konektivitas!$D$3:$D$563,"&gt;0"))=0,"",SUMIFS(Input_Konektivitas!$D$3:$D$563,Input_Konektivitas!$A$3:$A$563,$A30,Input_Konektivitas!$B$3:$B$563,AH$3)+SUMIFS(Input_Konektivitas!$D$3:$D$563,Input_Konektivitas!$A$3:$A$563,AH$3,Input_Konektivitas!$B$3:$B$563,$A30))</f>
        <v>2.25</v>
      </c>
      <c r="AI30" s="27">
        <f>IF((COUNTIFS(Input_Konektivitas!$A$3:$A$563,$A30,Input_Konektivitas!$B$3:$B$563,AI$3,Input_Konektivitas!$D$3:$D$563,"&gt;0")+COUNTIFS(Input_Konektivitas!$A$3:$A$563,AI$3,Input_Konektivitas!$B$3:$B$563,$A30,Input_Konektivitas!$D$3:$D$563,"&gt;0"))=0,"",SUMIFS(Input_Konektivitas!$D$3:$D$563,Input_Konektivitas!$A$3:$A$563,$A30,Input_Konektivitas!$B$3:$B$563,AI$3)+SUMIFS(Input_Konektivitas!$D$3:$D$563,Input_Konektivitas!$A$3:$A$563,AI$3,Input_Konektivitas!$B$3:$B$563,$A30))</f>
        <v>3.5</v>
      </c>
    </row>
    <row r="31" ht="14.25" customHeight="1">
      <c r="A31" s="22" t="s">
        <v>84</v>
      </c>
      <c r="B31" s="27">
        <f>IF((COUNTIFS(Input_Konektivitas!$A$3:$A$563,$A31,Input_Konektivitas!$B$3:$B$563,B$3,Input_Konektivitas!$D$3:$D$563,"&gt;0")+COUNTIFS(Input_Konektivitas!$A$3:$A$563,B$3,Input_Konektivitas!$B$3:$B$563,$A31,Input_Konektivitas!$D$3:$D$563,"&gt;0"))=0,"",SUMIFS(Input_Konektivitas!$D$3:$D$563,Input_Konektivitas!$A$3:$A$563,$A31,Input_Konektivitas!$B$3:$B$563,B$3)+SUMIFS(Input_Konektivitas!$D$3:$D$563,Input_Konektivitas!$A$3:$A$563,B$3,Input_Konektivitas!$B$3:$B$563,$A31))</f>
        <v>8.67</v>
      </c>
      <c r="C31" s="27">
        <f>IF((COUNTIFS(Input_Konektivitas!$A$3:$A$563,$A31,Input_Konektivitas!$B$3:$B$563,C$3,Input_Konektivitas!$D$3:$D$563,"&gt;0")+COUNTIFS(Input_Konektivitas!$A$3:$A$563,C$3,Input_Konektivitas!$B$3:$B$563,$A31,Input_Konektivitas!$D$3:$D$563,"&gt;0"))=0,"",SUMIFS(Input_Konektivitas!$D$3:$D$563,Input_Konektivitas!$A$3:$A$563,$A31,Input_Konektivitas!$B$3:$B$563,C$3)+SUMIFS(Input_Konektivitas!$D$3:$D$563,Input_Konektivitas!$A$3:$A$563,C$3,Input_Konektivitas!$B$3:$B$563,$A31))</f>
        <v>7.33</v>
      </c>
      <c r="D31" s="27">
        <f>IF((COUNTIFS(Input_Konektivitas!$A$3:$A$563,$A31,Input_Konektivitas!$B$3:$B$563,D$3,Input_Konektivitas!$D$3:$D$563,"&gt;0")+COUNTIFS(Input_Konektivitas!$A$3:$A$563,D$3,Input_Konektivitas!$B$3:$B$563,$A31,Input_Konektivitas!$D$3:$D$563,"&gt;0"))=0,"",SUMIFS(Input_Konektivitas!$D$3:$D$563,Input_Konektivitas!$A$3:$A$563,$A31,Input_Konektivitas!$B$3:$B$563,D$3)+SUMIFS(Input_Konektivitas!$D$3:$D$563,Input_Konektivitas!$A$3:$A$563,D$3,Input_Konektivitas!$B$3:$B$563,$A31))</f>
        <v>6.75</v>
      </c>
      <c r="E31" s="27">
        <f>IF((COUNTIFS(Input_Konektivitas!$A$3:$A$563,$A31,Input_Konektivitas!$B$3:$B$563,E$3,Input_Konektivitas!$D$3:$D$563,"&gt;0")+COUNTIFS(Input_Konektivitas!$A$3:$A$563,E$3,Input_Konektivitas!$B$3:$B$563,$A31,Input_Konektivitas!$D$3:$D$563,"&gt;0"))=0,"",SUMIFS(Input_Konektivitas!$D$3:$D$563,Input_Konektivitas!$A$3:$A$563,$A31,Input_Konektivitas!$B$3:$B$563,E$3)+SUMIFS(Input_Konektivitas!$D$3:$D$563,Input_Konektivitas!$A$3:$A$563,E$3,Input_Konektivitas!$B$3:$B$563,$A31))</f>
        <v>7.67</v>
      </c>
      <c r="F31" s="27">
        <f>IF((COUNTIFS(Input_Konektivitas!$A$3:$A$563,$A31,Input_Konektivitas!$B$3:$B$563,F$3,Input_Konektivitas!$D$3:$D$563,"&gt;0")+COUNTIFS(Input_Konektivitas!$A$3:$A$563,F$3,Input_Konektivitas!$B$3:$B$563,$A31,Input_Konektivitas!$D$3:$D$563,"&gt;0"))=0,"",SUMIFS(Input_Konektivitas!$D$3:$D$563,Input_Konektivitas!$A$3:$A$563,$A31,Input_Konektivitas!$B$3:$B$563,F$3)+SUMIFS(Input_Konektivitas!$D$3:$D$563,Input_Konektivitas!$A$3:$A$563,F$3,Input_Konektivitas!$B$3:$B$563,$A31))</f>
        <v>6.75</v>
      </c>
      <c r="G31" s="27">
        <f>IF((COUNTIFS(Input_Konektivitas!$A$3:$A$563,$A31,Input_Konektivitas!$B$3:$B$563,G$3,Input_Konektivitas!$D$3:$D$563,"&gt;0")+COUNTIFS(Input_Konektivitas!$A$3:$A$563,G$3,Input_Konektivitas!$B$3:$B$563,$A31,Input_Konektivitas!$D$3:$D$563,"&gt;0"))=0,"",SUMIFS(Input_Konektivitas!$D$3:$D$563,Input_Konektivitas!$A$3:$A$563,$A31,Input_Konektivitas!$B$3:$B$563,G$3)+SUMIFS(Input_Konektivitas!$D$3:$D$563,Input_Konektivitas!$A$3:$A$563,G$3,Input_Konektivitas!$B$3:$B$563,$A31))</f>
        <v>6.17</v>
      </c>
      <c r="H31" s="27">
        <f>IF((COUNTIFS(Input_Konektivitas!$A$3:$A$563,$A31,Input_Konektivitas!$B$3:$B$563,H$3,Input_Konektivitas!$D$3:$D$563,"&gt;0")+COUNTIFS(Input_Konektivitas!$A$3:$A$563,H$3,Input_Konektivitas!$B$3:$B$563,$A31,Input_Konektivitas!$D$3:$D$563,"&gt;0"))=0,"",SUMIFS(Input_Konektivitas!$D$3:$D$563,Input_Konektivitas!$A$3:$A$563,$A31,Input_Konektivitas!$B$3:$B$563,H$3)+SUMIFS(Input_Konektivitas!$D$3:$D$563,Input_Konektivitas!$A$3:$A$563,H$3,Input_Konektivitas!$B$3:$B$563,$A31))</f>
        <v>5.75</v>
      </c>
      <c r="I31" s="27">
        <f>IF((COUNTIFS(Input_Konektivitas!$A$3:$A$563,$A31,Input_Konektivitas!$B$3:$B$563,I$3,Input_Konektivitas!$D$3:$D$563,"&gt;0")+COUNTIFS(Input_Konektivitas!$A$3:$A$563,I$3,Input_Konektivitas!$B$3:$B$563,$A31,Input_Konektivitas!$D$3:$D$563,"&gt;0"))=0,"",SUMIFS(Input_Konektivitas!$D$3:$D$563,Input_Konektivitas!$A$3:$A$563,$A31,Input_Konektivitas!$B$3:$B$563,I$3)+SUMIFS(Input_Konektivitas!$D$3:$D$563,Input_Konektivitas!$A$3:$A$563,I$3,Input_Konektivitas!$B$3:$B$563,$A31))</f>
        <v>6.75</v>
      </c>
      <c r="J31" s="27">
        <f>IF((COUNTIFS(Input_Konektivitas!$A$3:$A$563,$A31,Input_Konektivitas!$B$3:$B$563,J$3,Input_Konektivitas!$D$3:$D$563,"&gt;0")+COUNTIFS(Input_Konektivitas!$A$3:$A$563,J$3,Input_Konektivitas!$B$3:$B$563,$A31,Input_Konektivitas!$D$3:$D$563,"&gt;0"))=0,"",SUMIFS(Input_Konektivitas!$D$3:$D$563,Input_Konektivitas!$A$3:$A$563,$A31,Input_Konektivitas!$B$3:$B$563,J$3)+SUMIFS(Input_Konektivitas!$D$3:$D$563,Input_Konektivitas!$A$3:$A$563,J$3,Input_Konektivitas!$B$3:$B$563,$A31))</f>
        <v>6.25</v>
      </c>
      <c r="K31" s="27">
        <f>IF((COUNTIFS(Input_Konektivitas!$A$3:$A$563,$A31,Input_Konektivitas!$B$3:$B$563,K$3,Input_Konektivitas!$D$3:$D$563,"&gt;0")+COUNTIFS(Input_Konektivitas!$A$3:$A$563,K$3,Input_Konektivitas!$B$3:$B$563,$A31,Input_Konektivitas!$D$3:$D$563,"&gt;0"))=0,"",SUMIFS(Input_Konektivitas!$D$3:$D$563,Input_Konektivitas!$A$3:$A$563,$A31,Input_Konektivitas!$B$3:$B$563,K$3)+SUMIFS(Input_Konektivitas!$D$3:$D$563,Input_Konektivitas!$A$3:$A$563,K$3,Input_Konektivitas!$B$3:$B$563,$A31))</f>
        <v>5.75</v>
      </c>
      <c r="L31" s="27">
        <f>IF((COUNTIFS(Input_Konektivitas!$A$3:$A$563,$A31,Input_Konektivitas!$B$3:$B$563,L$3,Input_Konektivitas!$D$3:$D$563,"&gt;0")+COUNTIFS(Input_Konektivitas!$A$3:$A$563,L$3,Input_Konektivitas!$B$3:$B$563,$A31,Input_Konektivitas!$D$3:$D$563,"&gt;0"))=0,"",SUMIFS(Input_Konektivitas!$D$3:$D$563,Input_Konektivitas!$A$3:$A$563,$A31,Input_Konektivitas!$B$3:$B$563,L$3)+SUMIFS(Input_Konektivitas!$D$3:$D$563,Input_Konektivitas!$A$3:$A$563,L$3,Input_Konektivitas!$B$3:$B$563,$A31))</f>
        <v>2.83</v>
      </c>
      <c r="M31" s="27">
        <f>IF((COUNTIFS(Input_Konektivitas!$A$3:$A$563,$A31,Input_Konektivitas!$B$3:$B$563,M$3,Input_Konektivitas!$D$3:$D$563,"&gt;0")+COUNTIFS(Input_Konektivitas!$A$3:$A$563,M$3,Input_Konektivitas!$B$3:$B$563,$A31,Input_Konektivitas!$D$3:$D$563,"&gt;0"))=0,"",SUMIFS(Input_Konektivitas!$D$3:$D$563,Input_Konektivitas!$A$3:$A$563,$A31,Input_Konektivitas!$B$3:$B$563,M$3)+SUMIFS(Input_Konektivitas!$D$3:$D$563,Input_Konektivitas!$A$3:$A$563,M$3,Input_Konektivitas!$B$3:$B$563,$A31))</f>
        <v>20.67</v>
      </c>
      <c r="N31" s="27">
        <f>IF((COUNTIFS(Input_Konektivitas!$A$3:$A$563,$A31,Input_Konektivitas!$B$3:$B$563,N$3,Input_Konektivitas!$D$3:$D$563,"&gt;0")+COUNTIFS(Input_Konektivitas!$A$3:$A$563,N$3,Input_Konektivitas!$B$3:$B$563,$A31,Input_Konektivitas!$D$3:$D$563,"&gt;0"))=0,"",SUMIFS(Input_Konektivitas!$D$3:$D$563,Input_Konektivitas!$A$3:$A$563,$A31,Input_Konektivitas!$B$3:$B$563,N$3)+SUMIFS(Input_Konektivitas!$D$3:$D$563,Input_Konektivitas!$A$3:$A$563,N$3,Input_Konektivitas!$B$3:$B$563,$A31))</f>
        <v>6.33</v>
      </c>
      <c r="O31" s="27">
        <f>IF((COUNTIFS(Input_Konektivitas!$A$3:$A$563,$A31,Input_Konektivitas!$B$3:$B$563,O$3,Input_Konektivitas!$D$3:$D$563,"&gt;0")+COUNTIFS(Input_Konektivitas!$A$3:$A$563,O$3,Input_Konektivitas!$B$3:$B$563,$A31,Input_Konektivitas!$D$3:$D$563,"&gt;0"))=0,"",SUMIFS(Input_Konektivitas!$D$3:$D$563,Input_Konektivitas!$A$3:$A$563,$A31,Input_Konektivitas!$B$3:$B$563,O$3)+SUMIFS(Input_Konektivitas!$D$3:$D$563,Input_Konektivitas!$A$3:$A$563,O$3,Input_Konektivitas!$B$3:$B$563,$A31))</f>
        <v>3.583</v>
      </c>
      <c r="P31" s="27">
        <f>IF((COUNTIFS(Input_Konektivitas!$A$3:$A$563,$A31,Input_Konektivitas!$B$3:$B$563,P$3,Input_Konektivitas!$D$3:$D$563,"&gt;0")+COUNTIFS(Input_Konektivitas!$A$3:$A$563,P$3,Input_Konektivitas!$B$3:$B$563,$A31,Input_Konektivitas!$D$3:$D$563,"&gt;0"))=0,"",SUMIFS(Input_Konektivitas!$D$3:$D$563,Input_Konektivitas!$A$3:$A$563,$A31,Input_Konektivitas!$B$3:$B$563,P$3)+SUMIFS(Input_Konektivitas!$D$3:$D$563,Input_Konektivitas!$A$3:$A$563,P$3,Input_Konektivitas!$B$3:$B$563,$A31))</f>
        <v>2</v>
      </c>
      <c r="Q31" s="27" t="str">
        <f>IF((COUNTIFS(Input_Konektivitas!$A$3:$A$563,$A31,Input_Konektivitas!$B$3:$B$563,Q$3,Input_Konektivitas!$D$3:$D$563,"&gt;0")+COUNTIFS(Input_Konektivitas!$A$3:$A$563,Q$3,Input_Konektivitas!$B$3:$B$563,$A31,Input_Konektivitas!$D$3:$D$563,"&gt;0"))=0,"",SUMIFS(Input_Konektivitas!$D$3:$D$563,Input_Konektivitas!$A$3:$A$563,$A31,Input_Konektivitas!$B$3:$B$563,Q$3)+SUMIFS(Input_Konektivitas!$D$3:$D$563,Input_Konektivitas!$A$3:$A$563,Q$3,Input_Konektivitas!$B$3:$B$563,$A31))</f>
        <v/>
      </c>
      <c r="R31" s="27">
        <f>IF((COUNTIFS(Input_Konektivitas!$A$3:$A$563,$A31,Input_Konektivitas!$B$3:$B$563,R$3,Input_Konektivitas!$D$3:$D$563,"&gt;0")+COUNTIFS(Input_Konektivitas!$A$3:$A$563,R$3,Input_Konektivitas!$B$3:$B$563,$A31,Input_Konektivitas!$D$3:$D$563,"&gt;0"))=0,"",SUMIFS(Input_Konektivitas!$D$3:$D$563,Input_Konektivitas!$A$3:$A$563,$A31,Input_Konektivitas!$B$3:$B$563,R$3)+SUMIFS(Input_Konektivitas!$D$3:$D$563,Input_Konektivitas!$A$3:$A$563,R$3,Input_Konektivitas!$B$3:$B$563,$A31))</f>
        <v>4.833</v>
      </c>
      <c r="S31" s="27">
        <f>IF((COUNTIFS(Input_Konektivitas!$A$3:$A$563,$A31,Input_Konektivitas!$B$3:$B$563,S$3,Input_Konektivitas!$D$3:$D$563,"&gt;0")+COUNTIFS(Input_Konektivitas!$A$3:$A$563,S$3,Input_Konektivitas!$B$3:$B$563,$A31,Input_Konektivitas!$D$3:$D$563,"&gt;0"))=0,"",SUMIFS(Input_Konektivitas!$D$3:$D$563,Input_Konektivitas!$A$3:$A$563,$A31,Input_Konektivitas!$B$3:$B$563,S$3)+SUMIFS(Input_Konektivitas!$D$3:$D$563,Input_Konektivitas!$A$3:$A$563,S$3,Input_Konektivitas!$B$3:$B$563,$A31))</f>
        <v>6.75</v>
      </c>
      <c r="T31" s="27">
        <f>IF((COUNTIFS(Input_Konektivitas!$A$3:$A$563,$A31,Input_Konektivitas!$B$3:$B$563,T$3,Input_Konektivitas!$D$3:$D$563,"&gt;0")+COUNTIFS(Input_Konektivitas!$A$3:$A$563,T$3,Input_Konektivitas!$B$3:$B$563,$A31,Input_Konektivitas!$D$3:$D$563,"&gt;0"))=0,"",SUMIFS(Input_Konektivitas!$D$3:$D$563,Input_Konektivitas!$A$3:$A$563,$A31,Input_Konektivitas!$B$3:$B$563,T$3)+SUMIFS(Input_Konektivitas!$D$3:$D$563,Input_Konektivitas!$A$3:$A$563,T$3,Input_Konektivitas!$B$3:$B$563,$A31))</f>
        <v>3.33</v>
      </c>
      <c r="U31" s="27">
        <f>IF((COUNTIFS(Input_Konektivitas!$A$3:$A$563,$A31,Input_Konektivitas!$B$3:$B$563,U$3,Input_Konektivitas!$D$3:$D$563,"&gt;0")+COUNTIFS(Input_Konektivitas!$A$3:$A$563,U$3,Input_Konektivitas!$B$3:$B$563,$A31,Input_Konektivitas!$D$3:$D$563,"&gt;0"))=0,"",SUMIFS(Input_Konektivitas!$D$3:$D$563,Input_Konektivitas!$A$3:$A$563,$A31,Input_Konektivitas!$B$3:$B$563,U$3)+SUMIFS(Input_Konektivitas!$D$3:$D$563,Input_Konektivitas!$A$3:$A$563,U$3,Input_Konektivitas!$B$3:$B$563,$A31))</f>
        <v>11.33</v>
      </c>
      <c r="V31" s="27">
        <f>IF((COUNTIFS(Input_Konektivitas!$A$3:$A$563,$A31,Input_Konektivitas!$B$3:$B$563,V$3,Input_Konektivitas!$D$3:$D$563,"&gt;0")+COUNTIFS(Input_Konektivitas!$A$3:$A$563,V$3,Input_Konektivitas!$B$3:$B$563,$A31,Input_Konektivitas!$D$3:$D$563,"&gt;0"))=0,"",SUMIFS(Input_Konektivitas!$D$3:$D$563,Input_Konektivitas!$A$3:$A$563,$A31,Input_Konektivitas!$B$3:$B$563,V$3)+SUMIFS(Input_Konektivitas!$D$3:$D$563,Input_Konektivitas!$A$3:$A$563,V$3,Input_Konektivitas!$B$3:$B$563,$A31))</f>
        <v>8.666</v>
      </c>
      <c r="W31" s="27">
        <f>IF((COUNTIFS(Input_Konektivitas!$A$3:$A$563,$A31,Input_Konektivitas!$B$3:$B$563,W$3,Input_Konektivitas!$D$3:$D$563,"&gt;0")+COUNTIFS(Input_Konektivitas!$A$3:$A$563,W$3,Input_Konektivitas!$B$3:$B$563,$A31,Input_Konektivitas!$D$3:$D$563,"&gt;0"))=0,"",SUMIFS(Input_Konektivitas!$D$3:$D$563,Input_Konektivitas!$A$3:$A$563,$A31,Input_Konektivitas!$B$3:$B$563,W$3)+SUMIFS(Input_Konektivitas!$D$3:$D$563,Input_Konektivitas!$A$3:$A$563,W$3,Input_Konektivitas!$B$3:$B$563,$A31))</f>
        <v>4.25</v>
      </c>
      <c r="X31" s="27">
        <f>IF((COUNTIFS(Input_Konektivitas!$A$3:$A$563,$A31,Input_Konektivitas!$B$3:$B$563,X$3,Input_Konektivitas!$D$3:$D$563,"&gt;0")+COUNTIFS(Input_Konektivitas!$A$3:$A$563,X$3,Input_Konektivitas!$B$3:$B$563,$A31,Input_Konektivitas!$D$3:$D$563,"&gt;0"))=0,"",SUMIFS(Input_Konektivitas!$D$3:$D$563,Input_Konektivitas!$A$3:$A$563,$A31,Input_Konektivitas!$B$3:$B$563,X$3)+SUMIFS(Input_Konektivitas!$D$3:$D$563,Input_Konektivitas!$A$3:$A$563,X$3,Input_Konektivitas!$B$3:$B$563,$A31))</f>
        <v>4.333</v>
      </c>
      <c r="Y31" s="27">
        <f>IF((COUNTIFS(Input_Konektivitas!$A$3:$A$563,$A31,Input_Konektivitas!$B$3:$B$563,Y$3,Input_Konektivitas!$D$3:$D$563,"&gt;0")+COUNTIFS(Input_Konektivitas!$A$3:$A$563,Y$3,Input_Konektivitas!$B$3:$B$563,$A31,Input_Konektivitas!$D$3:$D$563,"&gt;0"))=0,"",SUMIFS(Input_Konektivitas!$D$3:$D$563,Input_Konektivitas!$A$3:$A$563,$A31,Input_Konektivitas!$B$3:$B$563,Y$3)+SUMIFS(Input_Konektivitas!$D$3:$D$563,Input_Konektivitas!$A$3:$A$563,Y$3,Input_Konektivitas!$B$3:$B$563,$A31))</f>
        <v>9.916</v>
      </c>
      <c r="Z31" s="27">
        <f>IF((COUNTIFS(Input_Konektivitas!$A$3:$A$563,$A31,Input_Konektivitas!$B$3:$B$563,Z$3,Input_Konektivitas!$D$3:$D$563,"&gt;0")+COUNTIFS(Input_Konektivitas!$A$3:$A$563,Z$3,Input_Konektivitas!$B$3:$B$563,$A31,Input_Konektivitas!$D$3:$D$563,"&gt;0"))=0,"",SUMIFS(Input_Konektivitas!$D$3:$D$563,Input_Konektivitas!$A$3:$A$563,$A31,Input_Konektivitas!$B$3:$B$563,Z$3)+SUMIFS(Input_Konektivitas!$D$3:$D$563,Input_Konektivitas!$A$3:$A$563,Z$3,Input_Konektivitas!$B$3:$B$563,$A31))</f>
        <v>3.25</v>
      </c>
      <c r="AA31" s="27">
        <f>IF((COUNTIFS(Input_Konektivitas!$A$3:$A$563,$A31,Input_Konektivitas!$B$3:$B$563,AA$3,Input_Konektivitas!$D$3:$D$563,"&gt;0")+COUNTIFS(Input_Konektivitas!$A$3:$A$563,AA$3,Input_Konektivitas!$B$3:$B$563,$A31,Input_Konektivitas!$D$3:$D$563,"&gt;0"))=0,"",SUMIFS(Input_Konektivitas!$D$3:$D$563,Input_Konektivitas!$A$3:$A$563,$A31,Input_Konektivitas!$B$3:$B$563,AA$3)+SUMIFS(Input_Konektivitas!$D$3:$D$563,Input_Konektivitas!$A$3:$A$563,AA$3,Input_Konektivitas!$B$3:$B$563,$A31))</f>
        <v>2.833</v>
      </c>
      <c r="AB31" s="27">
        <f>IF((COUNTIFS(Input_Konektivitas!$A$3:$A$563,$A31,Input_Konektivitas!$B$3:$B$563,AB$3,Input_Konektivitas!$D$3:$D$563,"&gt;0")+COUNTIFS(Input_Konektivitas!$A$3:$A$563,AB$3,Input_Konektivitas!$B$3:$B$563,$A31,Input_Konektivitas!$D$3:$D$563,"&gt;0"))=0,"",SUMIFS(Input_Konektivitas!$D$3:$D$563,Input_Konektivitas!$A$3:$A$563,$A31,Input_Konektivitas!$B$3:$B$563,AB$3)+SUMIFS(Input_Konektivitas!$D$3:$D$563,Input_Konektivitas!$A$3:$A$563,AB$3,Input_Konektivitas!$B$3:$B$563,$A31))</f>
        <v>1</v>
      </c>
      <c r="AC31" s="23">
        <v>0.0</v>
      </c>
      <c r="AD31" s="27">
        <f>IF((COUNTIFS(Input_Konektivitas!$A$3:$A$563,$A31,Input_Konektivitas!$B$3:$B$563,AD$3,Input_Konektivitas!$D$3:$D$563,"&gt;0")+COUNTIFS(Input_Konektivitas!$A$3:$A$563,AD$3,Input_Konektivitas!$B$3:$B$563,$A31,Input_Konektivitas!$D$3:$D$563,"&gt;0"))=0,"",SUMIFS(Input_Konektivitas!$D$3:$D$563,Input_Konektivitas!$A$3:$A$563,$A31,Input_Konektivitas!$B$3:$B$563,AD$3)+SUMIFS(Input_Konektivitas!$D$3:$D$563,Input_Konektivitas!$A$3:$A$563,AD$3,Input_Konektivitas!$B$3:$B$563,$A31))</f>
        <v>3.9166</v>
      </c>
      <c r="AE31" s="27">
        <f>IF((COUNTIFS(Input_Konektivitas!$A$3:$A$563,$A31,Input_Konektivitas!$B$3:$B$563,AE$3,Input_Konektivitas!$D$3:$D$563,"&gt;0")+COUNTIFS(Input_Konektivitas!$A$3:$A$563,AE$3,Input_Konektivitas!$B$3:$B$563,$A31,Input_Konektivitas!$D$3:$D$563,"&gt;0"))=0,"",SUMIFS(Input_Konektivitas!$D$3:$D$563,Input_Konektivitas!$A$3:$A$563,$A31,Input_Konektivitas!$B$3:$B$563,AE$3)+SUMIFS(Input_Konektivitas!$D$3:$D$563,Input_Konektivitas!$A$3:$A$563,AE$3,Input_Konektivitas!$B$3:$B$563,$A31))</f>
        <v>4.083</v>
      </c>
      <c r="AF31" s="27">
        <f>IF((COUNTIFS(Input_Konektivitas!$A$3:$A$563,$A31,Input_Konektivitas!$B$3:$B$563,AF$3,Input_Konektivitas!$D$3:$D$563,"&gt;0")+COUNTIFS(Input_Konektivitas!$A$3:$A$563,AF$3,Input_Konektivitas!$B$3:$B$563,$A31,Input_Konektivitas!$D$3:$D$563,"&gt;0"))=0,"",SUMIFS(Input_Konektivitas!$D$3:$D$563,Input_Konektivitas!$A$3:$A$563,$A31,Input_Konektivitas!$B$3:$B$563,AF$3)+SUMIFS(Input_Konektivitas!$D$3:$D$563,Input_Konektivitas!$A$3:$A$563,AF$3,Input_Konektivitas!$B$3:$B$563,$A31))</f>
        <v>13</v>
      </c>
      <c r="AG31" s="27">
        <f>IF((COUNTIFS(Input_Konektivitas!$A$3:$A$563,$A31,Input_Konektivitas!$B$3:$B$563,AG$3,Input_Konektivitas!$D$3:$D$563,"&gt;0")+COUNTIFS(Input_Konektivitas!$A$3:$A$563,AG$3,Input_Konektivitas!$B$3:$B$563,$A31,Input_Konektivitas!$D$3:$D$563,"&gt;0"))=0,"",SUMIFS(Input_Konektivitas!$D$3:$D$563,Input_Konektivitas!$A$3:$A$563,$A31,Input_Konektivitas!$B$3:$B$563,AG$3)+SUMIFS(Input_Konektivitas!$D$3:$D$563,Input_Konektivitas!$A$3:$A$563,AG$3,Input_Konektivitas!$B$3:$B$563,$A31))</f>
        <v>3.583</v>
      </c>
      <c r="AH31" s="27">
        <f>IF((COUNTIFS(Input_Konektivitas!$A$3:$A$563,$A31,Input_Konektivitas!$B$3:$B$563,AH$3,Input_Konektivitas!$D$3:$D$563,"&gt;0")+COUNTIFS(Input_Konektivitas!$A$3:$A$563,AH$3,Input_Konektivitas!$B$3:$B$563,$A31,Input_Konektivitas!$D$3:$D$563,"&gt;0"))=0,"",SUMIFS(Input_Konektivitas!$D$3:$D$563,Input_Konektivitas!$A$3:$A$563,$A31,Input_Konektivitas!$B$3:$B$563,AH$3)+SUMIFS(Input_Konektivitas!$D$3:$D$563,Input_Konektivitas!$A$3:$A$563,AH$3,Input_Konektivitas!$B$3:$B$563,$A31))</f>
        <v>3.83</v>
      </c>
      <c r="AI31" s="27">
        <f>IF((COUNTIFS(Input_Konektivitas!$A$3:$A$563,$A31,Input_Konektivitas!$B$3:$B$563,AI$3,Input_Konektivitas!$D$3:$D$563,"&gt;0")+COUNTIFS(Input_Konektivitas!$A$3:$A$563,AI$3,Input_Konektivitas!$B$3:$B$563,$A31,Input_Konektivitas!$D$3:$D$563,"&gt;0"))=0,"",SUMIFS(Input_Konektivitas!$D$3:$D$563,Input_Konektivitas!$A$3:$A$563,$A31,Input_Konektivitas!$B$3:$B$563,AI$3)+SUMIFS(Input_Konektivitas!$D$3:$D$563,Input_Konektivitas!$A$3:$A$563,AI$3,Input_Konektivitas!$B$3:$B$563,$A31))</f>
        <v>11.75</v>
      </c>
    </row>
    <row r="32" ht="14.25" customHeight="1">
      <c r="A32" s="22" t="s">
        <v>89</v>
      </c>
      <c r="B32" s="27">
        <f>IF((COUNTIFS(Input_Konektivitas!$A$3:$A$563,$A32,Input_Konektivitas!$B$3:$B$563,B$3,Input_Konektivitas!$D$3:$D$563,"&gt;0")+COUNTIFS(Input_Konektivitas!$A$3:$A$563,B$3,Input_Konektivitas!$B$3:$B$563,$A32,Input_Konektivitas!$D$3:$D$563,"&gt;0"))=0,"",SUMIFS(Input_Konektivitas!$D$3:$D$563,Input_Konektivitas!$A$3:$A$563,$A32,Input_Konektivitas!$B$3:$B$563,B$3)+SUMIFS(Input_Konektivitas!$D$3:$D$563,Input_Konektivitas!$A$3:$A$563,B$3,Input_Konektivitas!$B$3:$B$563,$A32))</f>
        <v>16.33</v>
      </c>
      <c r="C32" s="27">
        <f>IF((COUNTIFS(Input_Konektivitas!$A$3:$A$563,$A32,Input_Konektivitas!$B$3:$B$563,C$3,Input_Konektivitas!$D$3:$D$563,"&gt;0")+COUNTIFS(Input_Konektivitas!$A$3:$A$563,C$3,Input_Konektivitas!$B$3:$B$563,$A32,Input_Konektivitas!$D$3:$D$563,"&gt;0"))=0,"",SUMIFS(Input_Konektivitas!$D$3:$D$563,Input_Konektivitas!$A$3:$A$563,$A32,Input_Konektivitas!$B$3:$B$563,C$3)+SUMIFS(Input_Konektivitas!$D$3:$D$563,Input_Konektivitas!$A$3:$A$563,C$3,Input_Konektivitas!$B$3:$B$563,$A32))</f>
        <v>10.33</v>
      </c>
      <c r="D32" s="27">
        <f>IF((COUNTIFS(Input_Konektivitas!$A$3:$A$563,$A32,Input_Konektivitas!$B$3:$B$563,D$3,Input_Konektivitas!$D$3:$D$563,"&gt;0")+COUNTIFS(Input_Konektivitas!$A$3:$A$563,D$3,Input_Konektivitas!$B$3:$B$563,$A32,Input_Konektivitas!$D$3:$D$563,"&gt;0"))=0,"",SUMIFS(Input_Konektivitas!$D$3:$D$563,Input_Konektivitas!$A$3:$A$563,$A32,Input_Konektivitas!$B$3:$B$563,D$3)+SUMIFS(Input_Konektivitas!$D$3:$D$563,Input_Konektivitas!$A$3:$A$563,D$3,Input_Konektivitas!$B$3:$B$563,$A32))</f>
        <v>11.33</v>
      </c>
      <c r="E32" s="27">
        <f>IF((COUNTIFS(Input_Konektivitas!$A$3:$A$563,$A32,Input_Konektivitas!$B$3:$B$563,E$3,Input_Konektivitas!$D$3:$D$563,"&gt;0")+COUNTIFS(Input_Konektivitas!$A$3:$A$563,E$3,Input_Konektivitas!$B$3:$B$563,$A32,Input_Konektivitas!$D$3:$D$563,"&gt;0"))=0,"",SUMIFS(Input_Konektivitas!$D$3:$D$563,Input_Konektivitas!$A$3:$A$563,$A32,Input_Konektivitas!$B$3:$B$563,E$3)+SUMIFS(Input_Konektivitas!$D$3:$D$563,Input_Konektivitas!$A$3:$A$563,E$3,Input_Konektivitas!$B$3:$B$563,$A32))</f>
        <v>11.83</v>
      </c>
      <c r="F32" s="27">
        <f>IF((COUNTIFS(Input_Konektivitas!$A$3:$A$563,$A32,Input_Konektivitas!$B$3:$B$563,F$3,Input_Konektivitas!$D$3:$D$563,"&gt;0")+COUNTIFS(Input_Konektivitas!$A$3:$A$563,F$3,Input_Konektivitas!$B$3:$B$563,$A32,Input_Konektivitas!$D$3:$D$563,"&gt;0"))=0,"",SUMIFS(Input_Konektivitas!$D$3:$D$563,Input_Konektivitas!$A$3:$A$563,$A32,Input_Konektivitas!$B$3:$B$563,F$3)+SUMIFS(Input_Konektivitas!$D$3:$D$563,Input_Konektivitas!$A$3:$A$563,F$3,Input_Konektivitas!$B$3:$B$563,$A32))</f>
        <v>7.17</v>
      </c>
      <c r="G32" s="27">
        <f>IF((COUNTIFS(Input_Konektivitas!$A$3:$A$563,$A32,Input_Konektivitas!$B$3:$B$563,G$3,Input_Konektivitas!$D$3:$D$563,"&gt;0")+COUNTIFS(Input_Konektivitas!$A$3:$A$563,G$3,Input_Konektivitas!$B$3:$B$563,$A32,Input_Konektivitas!$D$3:$D$563,"&gt;0"))=0,"",SUMIFS(Input_Konektivitas!$D$3:$D$563,Input_Konektivitas!$A$3:$A$563,$A32,Input_Konektivitas!$B$3:$B$563,G$3)+SUMIFS(Input_Konektivitas!$D$3:$D$563,Input_Konektivitas!$A$3:$A$563,G$3,Input_Konektivitas!$B$3:$B$563,$A32))</f>
        <v>13.58</v>
      </c>
      <c r="H32" s="27">
        <f>IF((COUNTIFS(Input_Konektivitas!$A$3:$A$563,$A32,Input_Konektivitas!$B$3:$B$563,H$3,Input_Konektivitas!$D$3:$D$563,"&gt;0")+COUNTIFS(Input_Konektivitas!$A$3:$A$563,H$3,Input_Konektivitas!$B$3:$B$563,$A32,Input_Konektivitas!$D$3:$D$563,"&gt;0"))=0,"",SUMIFS(Input_Konektivitas!$D$3:$D$563,Input_Konektivitas!$A$3:$A$563,$A32,Input_Konektivitas!$B$3:$B$563,H$3)+SUMIFS(Input_Konektivitas!$D$3:$D$563,Input_Konektivitas!$A$3:$A$563,H$3,Input_Konektivitas!$B$3:$B$563,$A32))</f>
        <v>7.17</v>
      </c>
      <c r="I32" s="27">
        <f>IF((COUNTIFS(Input_Konektivitas!$A$3:$A$563,$A32,Input_Konektivitas!$B$3:$B$563,I$3,Input_Konektivitas!$D$3:$D$563,"&gt;0")+COUNTIFS(Input_Konektivitas!$A$3:$A$563,I$3,Input_Konektivitas!$B$3:$B$563,$A32,Input_Konektivitas!$D$3:$D$563,"&gt;0"))=0,"",SUMIFS(Input_Konektivitas!$D$3:$D$563,Input_Konektivitas!$A$3:$A$563,$A32,Input_Konektivitas!$B$3:$B$563,I$3)+SUMIFS(Input_Konektivitas!$D$3:$D$563,Input_Konektivitas!$A$3:$A$563,I$3,Input_Konektivitas!$B$3:$B$563,$A32))</f>
        <v>17.83</v>
      </c>
      <c r="J32" s="27">
        <f>IF((COUNTIFS(Input_Konektivitas!$A$3:$A$563,$A32,Input_Konektivitas!$B$3:$B$563,J$3,Input_Konektivitas!$D$3:$D$563,"&gt;0")+COUNTIFS(Input_Konektivitas!$A$3:$A$563,J$3,Input_Konektivitas!$B$3:$B$563,$A32,Input_Konektivitas!$D$3:$D$563,"&gt;0"))=0,"",SUMIFS(Input_Konektivitas!$D$3:$D$563,Input_Konektivitas!$A$3:$A$563,$A32,Input_Konektivitas!$B$3:$B$563,J$3)+SUMIFS(Input_Konektivitas!$D$3:$D$563,Input_Konektivitas!$A$3:$A$563,J$3,Input_Konektivitas!$B$3:$B$563,$A32))</f>
        <v>14.92</v>
      </c>
      <c r="K32" s="27">
        <f>IF((COUNTIFS(Input_Konektivitas!$A$3:$A$563,$A32,Input_Konektivitas!$B$3:$B$563,K$3,Input_Konektivitas!$D$3:$D$563,"&gt;0")+COUNTIFS(Input_Konektivitas!$A$3:$A$563,K$3,Input_Konektivitas!$B$3:$B$563,$A32,Input_Konektivitas!$D$3:$D$563,"&gt;0"))=0,"",SUMIFS(Input_Konektivitas!$D$3:$D$563,Input_Konektivitas!$A$3:$A$563,$A32,Input_Konektivitas!$B$3:$B$563,K$3)+SUMIFS(Input_Konektivitas!$D$3:$D$563,Input_Konektivitas!$A$3:$A$563,K$3,Input_Konektivitas!$B$3:$B$563,$A32))</f>
        <v>11.6666</v>
      </c>
      <c r="L32" s="27">
        <f>IF((COUNTIFS(Input_Konektivitas!$A$3:$A$563,$A32,Input_Konektivitas!$B$3:$B$563,L$3,Input_Konektivitas!$D$3:$D$563,"&gt;0")+COUNTIFS(Input_Konektivitas!$A$3:$A$563,L$3,Input_Konektivitas!$B$3:$B$563,$A32,Input_Konektivitas!$D$3:$D$563,"&gt;0"))=0,"",SUMIFS(Input_Konektivitas!$D$3:$D$563,Input_Konektivitas!$A$3:$A$563,$A32,Input_Konektivitas!$B$3:$B$563,L$3)+SUMIFS(Input_Konektivitas!$D$3:$D$563,Input_Konektivitas!$A$3:$A$563,L$3,Input_Konektivitas!$B$3:$B$563,$A32))</f>
        <v>3.083</v>
      </c>
      <c r="M32" s="27">
        <f>IF((COUNTIFS(Input_Konektivitas!$A$3:$A$563,$A32,Input_Konektivitas!$B$3:$B$563,M$3,Input_Konektivitas!$D$3:$D$563,"&gt;0")+COUNTIFS(Input_Konektivitas!$A$3:$A$563,M$3,Input_Konektivitas!$B$3:$B$563,$A32,Input_Konektivitas!$D$3:$D$563,"&gt;0"))=0,"",SUMIFS(Input_Konektivitas!$D$3:$D$563,Input_Konektivitas!$A$3:$A$563,$A32,Input_Konektivitas!$B$3:$B$563,M$3)+SUMIFS(Input_Konektivitas!$D$3:$D$563,Input_Konektivitas!$A$3:$A$563,M$3,Input_Konektivitas!$B$3:$B$563,$A32))</f>
        <v>18.83</v>
      </c>
      <c r="N32" s="27">
        <f>IF((COUNTIFS(Input_Konektivitas!$A$3:$A$563,$A32,Input_Konektivitas!$B$3:$B$563,N$3,Input_Konektivitas!$D$3:$D$563,"&gt;0")+COUNTIFS(Input_Konektivitas!$A$3:$A$563,N$3,Input_Konektivitas!$B$3:$B$563,$A32,Input_Konektivitas!$D$3:$D$563,"&gt;0"))=0,"",SUMIFS(Input_Konektivitas!$D$3:$D$563,Input_Konektivitas!$A$3:$A$563,$A32,Input_Konektivitas!$B$3:$B$563,N$3)+SUMIFS(Input_Konektivitas!$D$3:$D$563,Input_Konektivitas!$A$3:$A$563,N$3,Input_Konektivitas!$B$3:$B$563,$A32))</f>
        <v>11.17</v>
      </c>
      <c r="O32" s="27">
        <f>IF((COUNTIFS(Input_Konektivitas!$A$3:$A$563,$A32,Input_Konektivitas!$B$3:$B$563,O$3,Input_Konektivitas!$D$3:$D$563,"&gt;0")+COUNTIFS(Input_Konektivitas!$A$3:$A$563,O$3,Input_Konektivitas!$B$3:$B$563,$A32,Input_Konektivitas!$D$3:$D$563,"&gt;0"))=0,"",SUMIFS(Input_Konektivitas!$D$3:$D$563,Input_Konektivitas!$A$3:$A$563,$A32,Input_Konektivitas!$B$3:$B$563,O$3)+SUMIFS(Input_Konektivitas!$D$3:$D$563,Input_Konektivitas!$A$3:$A$563,O$3,Input_Konektivitas!$B$3:$B$563,$A32))</f>
        <v>11</v>
      </c>
      <c r="P32" s="27">
        <f>IF((COUNTIFS(Input_Konektivitas!$A$3:$A$563,$A32,Input_Konektivitas!$B$3:$B$563,P$3,Input_Konektivitas!$D$3:$D$563,"&gt;0")+COUNTIFS(Input_Konektivitas!$A$3:$A$563,P$3,Input_Konektivitas!$B$3:$B$563,$A32,Input_Konektivitas!$D$3:$D$563,"&gt;0"))=0,"",SUMIFS(Input_Konektivitas!$D$3:$D$563,Input_Konektivitas!$A$3:$A$563,$A32,Input_Konektivitas!$B$3:$B$563,P$3)+SUMIFS(Input_Konektivitas!$D$3:$D$563,Input_Konektivitas!$A$3:$A$563,P$3,Input_Konektivitas!$B$3:$B$563,$A32))</f>
        <v>6.416</v>
      </c>
      <c r="Q32" s="27" t="str">
        <f>IF((COUNTIFS(Input_Konektivitas!$A$3:$A$563,$A32,Input_Konektivitas!$B$3:$B$563,Q$3,Input_Konektivitas!$D$3:$D$563,"&gt;0")+COUNTIFS(Input_Konektivitas!$A$3:$A$563,Q$3,Input_Konektivitas!$B$3:$B$563,$A32,Input_Konektivitas!$D$3:$D$563,"&gt;0"))=0,"",SUMIFS(Input_Konektivitas!$D$3:$D$563,Input_Konektivitas!$A$3:$A$563,$A32,Input_Konektivitas!$B$3:$B$563,Q$3)+SUMIFS(Input_Konektivitas!$D$3:$D$563,Input_Konektivitas!$A$3:$A$563,Q$3,Input_Konektivitas!$B$3:$B$563,$A32))</f>
        <v/>
      </c>
      <c r="R32" s="27">
        <f>IF((COUNTIFS(Input_Konektivitas!$A$3:$A$563,$A32,Input_Konektivitas!$B$3:$B$563,R$3,Input_Konektivitas!$D$3:$D$563,"&gt;0")+COUNTIFS(Input_Konektivitas!$A$3:$A$563,R$3,Input_Konektivitas!$B$3:$B$563,$A32,Input_Konektivitas!$D$3:$D$563,"&gt;0"))=0,"",SUMIFS(Input_Konektivitas!$D$3:$D$563,Input_Konektivitas!$A$3:$A$563,$A32,Input_Konektivitas!$B$3:$B$563,R$3)+SUMIFS(Input_Konektivitas!$D$3:$D$563,Input_Konektivitas!$A$3:$A$563,R$3,Input_Konektivitas!$B$3:$B$563,$A32))</f>
        <v>7.166</v>
      </c>
      <c r="S32" s="27">
        <f>IF((COUNTIFS(Input_Konektivitas!$A$3:$A$563,$A32,Input_Konektivitas!$B$3:$B$563,S$3,Input_Konektivitas!$D$3:$D$563,"&gt;0")+COUNTIFS(Input_Konektivitas!$A$3:$A$563,S$3,Input_Konektivitas!$B$3:$B$563,$A32,Input_Konektivitas!$D$3:$D$563,"&gt;0"))=0,"",SUMIFS(Input_Konektivitas!$D$3:$D$563,Input_Konektivitas!$A$3:$A$563,$A32,Input_Konektivitas!$B$3:$B$563,S$3)+SUMIFS(Input_Konektivitas!$D$3:$D$563,Input_Konektivitas!$A$3:$A$563,S$3,Input_Konektivitas!$B$3:$B$563,$A32))</f>
        <v>8.166</v>
      </c>
      <c r="T32" s="27">
        <f>IF((COUNTIFS(Input_Konektivitas!$A$3:$A$563,$A32,Input_Konektivitas!$B$3:$B$563,T$3,Input_Konektivitas!$D$3:$D$563,"&gt;0")+COUNTIFS(Input_Konektivitas!$A$3:$A$563,T$3,Input_Konektivitas!$B$3:$B$563,$A32,Input_Konektivitas!$D$3:$D$563,"&gt;0"))=0,"",SUMIFS(Input_Konektivitas!$D$3:$D$563,Input_Konektivitas!$A$3:$A$563,$A32,Input_Konektivitas!$B$3:$B$563,T$3)+SUMIFS(Input_Konektivitas!$D$3:$D$563,Input_Konektivitas!$A$3:$A$563,T$3,Input_Konektivitas!$B$3:$B$563,$A32))</f>
        <v>19.33</v>
      </c>
      <c r="U32" s="27">
        <f>IF((COUNTIFS(Input_Konektivitas!$A$3:$A$563,$A32,Input_Konektivitas!$B$3:$B$563,U$3,Input_Konektivitas!$D$3:$D$563,"&gt;0")+COUNTIFS(Input_Konektivitas!$A$3:$A$563,U$3,Input_Konektivitas!$B$3:$B$563,$A32,Input_Konektivitas!$D$3:$D$563,"&gt;0"))=0,"",SUMIFS(Input_Konektivitas!$D$3:$D$563,Input_Konektivitas!$A$3:$A$563,$A32,Input_Konektivitas!$B$3:$B$563,U$3)+SUMIFS(Input_Konektivitas!$D$3:$D$563,Input_Konektivitas!$A$3:$A$563,U$3,Input_Konektivitas!$B$3:$B$563,$A32))</f>
        <v>11.9166</v>
      </c>
      <c r="V32" s="27">
        <f>IF((COUNTIFS(Input_Konektivitas!$A$3:$A$563,$A32,Input_Konektivitas!$B$3:$B$563,V$3,Input_Konektivitas!$D$3:$D$563,"&gt;0")+COUNTIFS(Input_Konektivitas!$A$3:$A$563,V$3,Input_Konektivitas!$B$3:$B$563,$A32,Input_Konektivitas!$D$3:$D$563,"&gt;0"))=0,"",SUMIFS(Input_Konektivitas!$D$3:$D$563,Input_Konektivitas!$A$3:$A$563,$A32,Input_Konektivitas!$B$3:$B$563,V$3)+SUMIFS(Input_Konektivitas!$D$3:$D$563,Input_Konektivitas!$A$3:$A$563,V$3,Input_Konektivitas!$B$3:$B$563,$A32))</f>
        <v>15.583</v>
      </c>
      <c r="W32" s="27">
        <f>IF((COUNTIFS(Input_Konektivitas!$A$3:$A$563,$A32,Input_Konektivitas!$B$3:$B$563,W$3,Input_Konektivitas!$D$3:$D$563,"&gt;0")+COUNTIFS(Input_Konektivitas!$A$3:$A$563,W$3,Input_Konektivitas!$B$3:$B$563,$A32,Input_Konektivitas!$D$3:$D$563,"&gt;0"))=0,"",SUMIFS(Input_Konektivitas!$D$3:$D$563,Input_Konektivitas!$A$3:$A$563,$A32,Input_Konektivitas!$B$3:$B$563,W$3)+SUMIFS(Input_Konektivitas!$D$3:$D$563,Input_Konektivitas!$A$3:$A$563,W$3,Input_Konektivitas!$B$3:$B$563,$A32))</f>
        <v>8.166</v>
      </c>
      <c r="X32" s="27">
        <f>IF((COUNTIFS(Input_Konektivitas!$A$3:$A$563,$A32,Input_Konektivitas!$B$3:$B$563,X$3,Input_Konektivitas!$D$3:$D$563,"&gt;0")+COUNTIFS(Input_Konektivitas!$A$3:$A$563,X$3,Input_Konektivitas!$B$3:$B$563,$A32,Input_Konektivitas!$D$3:$D$563,"&gt;0"))=0,"",SUMIFS(Input_Konektivitas!$D$3:$D$563,Input_Konektivitas!$A$3:$A$563,$A32,Input_Konektivitas!$B$3:$B$563,X$3)+SUMIFS(Input_Konektivitas!$D$3:$D$563,Input_Konektivitas!$A$3:$A$563,X$3,Input_Konektivitas!$B$3:$B$563,$A32))</f>
        <v>7.66</v>
      </c>
      <c r="Y32" s="27" t="str">
        <f>IF((COUNTIFS(Input_Konektivitas!$A$3:$A$563,$A32,Input_Konektivitas!$B$3:$B$563,Y$3,Input_Konektivitas!$D$3:$D$563,"&gt;0")+COUNTIFS(Input_Konektivitas!$A$3:$A$563,Y$3,Input_Konektivitas!$B$3:$B$563,$A32,Input_Konektivitas!$D$3:$D$563,"&gt;0"))=0,"",SUMIFS(Input_Konektivitas!$D$3:$D$563,Input_Konektivitas!$A$3:$A$563,$A32,Input_Konektivitas!$B$3:$B$563,Y$3)+SUMIFS(Input_Konektivitas!$D$3:$D$563,Input_Konektivitas!$A$3:$A$563,Y$3,Input_Konektivitas!$B$3:$B$563,$A32))</f>
        <v/>
      </c>
      <c r="Z32" s="27">
        <f>IF((COUNTIFS(Input_Konektivitas!$A$3:$A$563,$A32,Input_Konektivitas!$B$3:$B$563,Z$3,Input_Konektivitas!$D$3:$D$563,"&gt;0")+COUNTIFS(Input_Konektivitas!$A$3:$A$563,Z$3,Input_Konektivitas!$B$3:$B$563,$A32,Input_Konektivitas!$D$3:$D$563,"&gt;0"))=0,"",SUMIFS(Input_Konektivitas!$D$3:$D$563,Input_Konektivitas!$A$3:$A$563,$A32,Input_Konektivitas!$B$3:$B$563,Z$3)+SUMIFS(Input_Konektivitas!$D$3:$D$563,Input_Konektivitas!$A$3:$A$563,Z$3,Input_Konektivitas!$B$3:$B$563,$A32))</f>
        <v>1.083</v>
      </c>
      <c r="AA32" s="27">
        <f>IF((COUNTIFS(Input_Konektivitas!$A$3:$A$563,$A32,Input_Konektivitas!$B$3:$B$563,AA$3,Input_Konektivitas!$D$3:$D$563,"&gt;0")+COUNTIFS(Input_Konektivitas!$A$3:$A$563,AA$3,Input_Konektivitas!$B$3:$B$563,$A32,Input_Konektivitas!$D$3:$D$563,"&gt;0"))=0,"",SUMIFS(Input_Konektivitas!$D$3:$D$563,Input_Konektivitas!$A$3:$A$563,$A32,Input_Konektivitas!$B$3:$B$563,AA$3)+SUMIFS(Input_Konektivitas!$D$3:$D$563,Input_Konektivitas!$A$3:$A$563,AA$3,Input_Konektivitas!$B$3:$B$563,$A32))</f>
        <v>4.083</v>
      </c>
      <c r="AB32" s="27">
        <f>IF((COUNTIFS(Input_Konektivitas!$A$3:$A$563,$A32,Input_Konektivitas!$B$3:$B$563,AB$3,Input_Konektivitas!$D$3:$D$563,"&gt;0")+COUNTIFS(Input_Konektivitas!$A$3:$A$563,AB$3,Input_Konektivitas!$B$3:$B$563,$A32,Input_Konektivitas!$D$3:$D$563,"&gt;0"))=0,"",SUMIFS(Input_Konektivitas!$D$3:$D$563,Input_Konektivitas!$A$3:$A$563,$A32,Input_Konektivitas!$B$3:$B$563,AB$3)+SUMIFS(Input_Konektivitas!$D$3:$D$563,Input_Konektivitas!$A$3:$A$563,AB$3,Input_Konektivitas!$B$3:$B$563,$A32))</f>
        <v>1.5</v>
      </c>
      <c r="AC32" s="27">
        <f>IF((COUNTIFS(Input_Konektivitas!$A$3:$A$563,$A32,Input_Konektivitas!$B$3:$B$563,AC$3,Input_Konektivitas!$D$3:$D$563,"&gt;0")+COUNTIFS(Input_Konektivitas!$A$3:$A$563,AC$3,Input_Konektivitas!$B$3:$B$563,$A32,Input_Konektivitas!$D$3:$D$563,"&gt;0"))=0,"",SUMIFS(Input_Konektivitas!$D$3:$D$563,Input_Konektivitas!$A$3:$A$563,$A32,Input_Konektivitas!$B$3:$B$563,AC$3)+SUMIFS(Input_Konektivitas!$D$3:$D$563,Input_Konektivitas!$A$3:$A$563,AC$3,Input_Konektivitas!$B$3:$B$563,$A32))</f>
        <v>3.9166</v>
      </c>
      <c r="AD32" s="23">
        <v>0.0</v>
      </c>
      <c r="AE32" s="27" t="str">
        <f>IF((COUNTIFS(Input_Konektivitas!$A$3:$A$563,$A32,Input_Konektivitas!$B$3:$B$563,AE$3,Input_Konektivitas!$D$3:$D$563,"&gt;0")+COUNTIFS(Input_Konektivitas!$A$3:$A$563,AE$3,Input_Konektivitas!$B$3:$B$563,$A32,Input_Konektivitas!$D$3:$D$563,"&gt;0"))=0,"",SUMIFS(Input_Konektivitas!$D$3:$D$563,Input_Konektivitas!$A$3:$A$563,$A32,Input_Konektivitas!$B$3:$B$563,AE$3)+SUMIFS(Input_Konektivitas!$D$3:$D$563,Input_Konektivitas!$A$3:$A$563,AE$3,Input_Konektivitas!$B$3:$B$563,$A32))</f>
        <v/>
      </c>
      <c r="AF32" s="27">
        <f>IF((COUNTIFS(Input_Konektivitas!$A$3:$A$563,$A32,Input_Konektivitas!$B$3:$B$563,AF$3,Input_Konektivitas!$D$3:$D$563,"&gt;0")+COUNTIFS(Input_Konektivitas!$A$3:$A$563,AF$3,Input_Konektivitas!$B$3:$B$563,$A32,Input_Konektivitas!$D$3:$D$563,"&gt;0"))=0,"",SUMIFS(Input_Konektivitas!$D$3:$D$563,Input_Konektivitas!$A$3:$A$563,$A32,Input_Konektivitas!$B$3:$B$563,AF$3)+SUMIFS(Input_Konektivitas!$D$3:$D$563,Input_Konektivitas!$A$3:$A$563,AF$3,Input_Konektivitas!$B$3:$B$563,$A32))</f>
        <v>17.5</v>
      </c>
      <c r="AG32" s="27">
        <f>IF((COUNTIFS(Input_Konektivitas!$A$3:$A$563,$A32,Input_Konektivitas!$B$3:$B$563,AG$3,Input_Konektivitas!$D$3:$D$563,"&gt;0")+COUNTIFS(Input_Konektivitas!$A$3:$A$563,AG$3,Input_Konektivitas!$B$3:$B$563,$A32,Input_Konektivitas!$D$3:$D$563,"&gt;0"))=0,"",SUMIFS(Input_Konektivitas!$D$3:$D$563,Input_Konektivitas!$A$3:$A$563,$A32,Input_Konektivitas!$B$3:$B$563,AG$3)+SUMIFS(Input_Konektivitas!$D$3:$D$563,Input_Konektivitas!$A$3:$A$563,AG$3,Input_Konektivitas!$B$3:$B$563,$A32))</f>
        <v>20.33</v>
      </c>
      <c r="AH32" s="27">
        <f>IF((COUNTIFS(Input_Konektivitas!$A$3:$A$563,$A32,Input_Konektivitas!$B$3:$B$563,AH$3,Input_Konektivitas!$D$3:$D$563,"&gt;0")+COUNTIFS(Input_Konektivitas!$A$3:$A$563,AH$3,Input_Konektivitas!$B$3:$B$563,$A32,Input_Konektivitas!$D$3:$D$563,"&gt;0"))=0,"",SUMIFS(Input_Konektivitas!$D$3:$D$563,Input_Konektivitas!$A$3:$A$563,$A32,Input_Konektivitas!$B$3:$B$563,AH$3)+SUMIFS(Input_Konektivitas!$D$3:$D$563,Input_Konektivitas!$A$3:$A$563,AH$3,Input_Konektivitas!$B$3:$B$563,$A32))</f>
        <v>14.33</v>
      </c>
      <c r="AI32" s="27">
        <f>IF((COUNTIFS(Input_Konektivitas!$A$3:$A$563,$A32,Input_Konektivitas!$B$3:$B$563,AI$3,Input_Konektivitas!$D$3:$D$563,"&gt;0")+COUNTIFS(Input_Konektivitas!$A$3:$A$563,AI$3,Input_Konektivitas!$B$3:$B$563,$A32,Input_Konektivitas!$D$3:$D$563,"&gt;0"))=0,"",SUMIFS(Input_Konektivitas!$D$3:$D$563,Input_Konektivitas!$A$3:$A$563,$A32,Input_Konektivitas!$B$3:$B$563,AI$3)+SUMIFS(Input_Konektivitas!$D$3:$D$563,Input_Konektivitas!$A$3:$A$563,AI$3,Input_Konektivitas!$B$3:$B$563,$A32))</f>
        <v>16.25</v>
      </c>
    </row>
    <row r="33" ht="14.25" customHeight="1">
      <c r="A33" s="22" t="s">
        <v>92</v>
      </c>
      <c r="B33" s="27">
        <f>IF((COUNTIFS(Input_Konektivitas!$A$3:$A$563,$A33,Input_Konektivitas!$B$3:$B$563,B$3,Input_Konektivitas!$D$3:$D$563,"&gt;0")+COUNTIFS(Input_Konektivitas!$A$3:$A$563,B$3,Input_Konektivitas!$B$3:$B$563,$A33,Input_Konektivitas!$D$3:$D$563,"&gt;0"))=0,"",SUMIFS(Input_Konektivitas!$D$3:$D$563,Input_Konektivitas!$A$3:$A$563,$A33,Input_Konektivitas!$B$3:$B$563,B$3)+SUMIFS(Input_Konektivitas!$D$3:$D$563,Input_Konektivitas!$A$3:$A$563,B$3,Input_Konektivitas!$B$3:$B$563,$A33))</f>
        <v>18.1667</v>
      </c>
      <c r="C33" s="27">
        <f>IF((COUNTIFS(Input_Konektivitas!$A$3:$A$563,$A33,Input_Konektivitas!$B$3:$B$563,C$3,Input_Konektivitas!$D$3:$D$563,"&gt;0")+COUNTIFS(Input_Konektivitas!$A$3:$A$563,C$3,Input_Konektivitas!$B$3:$B$563,$A33,Input_Konektivitas!$D$3:$D$563,"&gt;0"))=0,"",SUMIFS(Input_Konektivitas!$D$3:$D$563,Input_Konektivitas!$A$3:$A$563,$A33,Input_Konektivitas!$B$3:$B$563,C$3)+SUMIFS(Input_Konektivitas!$D$3:$D$563,Input_Konektivitas!$A$3:$A$563,C$3,Input_Konektivitas!$B$3:$B$563,$A33))</f>
        <v>9.58</v>
      </c>
      <c r="D33" s="27">
        <f>IF((COUNTIFS(Input_Konektivitas!$A$3:$A$563,$A33,Input_Konektivitas!$B$3:$B$563,D$3,Input_Konektivitas!$D$3:$D$563,"&gt;0")+COUNTIFS(Input_Konektivitas!$A$3:$A$563,D$3,Input_Konektivitas!$B$3:$B$563,$A33,Input_Konektivitas!$D$3:$D$563,"&gt;0"))=0,"",SUMIFS(Input_Konektivitas!$D$3:$D$563,Input_Konektivitas!$A$3:$A$563,$A33,Input_Konektivitas!$B$3:$B$563,D$3)+SUMIFS(Input_Konektivitas!$D$3:$D$563,Input_Konektivitas!$A$3:$A$563,D$3,Input_Konektivitas!$B$3:$B$563,$A33))</f>
        <v>13.35</v>
      </c>
      <c r="E33" s="27">
        <f>IF((COUNTIFS(Input_Konektivitas!$A$3:$A$563,$A33,Input_Konektivitas!$B$3:$B$563,E$3,Input_Konektivitas!$D$3:$D$563,"&gt;0")+COUNTIFS(Input_Konektivitas!$A$3:$A$563,E$3,Input_Konektivitas!$B$3:$B$563,$A33,Input_Konektivitas!$D$3:$D$563,"&gt;0"))=0,"",SUMIFS(Input_Konektivitas!$D$3:$D$563,Input_Konektivitas!$A$3:$A$563,$A33,Input_Konektivitas!$B$3:$B$563,E$3)+SUMIFS(Input_Konektivitas!$D$3:$D$563,Input_Konektivitas!$A$3:$A$563,E$3,Input_Konektivitas!$B$3:$B$563,$A33))</f>
        <v>8.667</v>
      </c>
      <c r="F33" s="27">
        <f>IF((COUNTIFS(Input_Konektivitas!$A$3:$A$563,$A33,Input_Konektivitas!$B$3:$B$563,F$3,Input_Konektivitas!$D$3:$D$563,"&gt;0")+COUNTIFS(Input_Konektivitas!$A$3:$A$563,F$3,Input_Konektivitas!$B$3:$B$563,$A33,Input_Konektivitas!$D$3:$D$563,"&gt;0"))=0,"",SUMIFS(Input_Konektivitas!$D$3:$D$563,Input_Konektivitas!$A$3:$A$563,$A33,Input_Konektivitas!$B$3:$B$563,F$3)+SUMIFS(Input_Konektivitas!$D$3:$D$563,Input_Konektivitas!$A$3:$A$563,F$3,Input_Konektivitas!$B$3:$B$563,$A33))</f>
        <v>9.08</v>
      </c>
      <c r="G33" s="27">
        <f>IF((COUNTIFS(Input_Konektivitas!$A$3:$A$563,$A33,Input_Konektivitas!$B$3:$B$563,G$3,Input_Konektivitas!$D$3:$D$563,"&gt;0")+COUNTIFS(Input_Konektivitas!$A$3:$A$563,G$3,Input_Konektivitas!$B$3:$B$563,$A33,Input_Konektivitas!$D$3:$D$563,"&gt;0"))=0,"",SUMIFS(Input_Konektivitas!$D$3:$D$563,Input_Konektivitas!$A$3:$A$563,$A33,Input_Konektivitas!$B$3:$B$563,G$3)+SUMIFS(Input_Konektivitas!$D$3:$D$563,Input_Konektivitas!$A$3:$A$563,G$3,Input_Konektivitas!$B$3:$B$563,$A33))</f>
        <v>9.08</v>
      </c>
      <c r="H33" s="27">
        <f>IF((COUNTIFS(Input_Konektivitas!$A$3:$A$563,$A33,Input_Konektivitas!$B$3:$B$563,H$3,Input_Konektivitas!$D$3:$D$563,"&gt;0")+COUNTIFS(Input_Konektivitas!$A$3:$A$563,H$3,Input_Konektivitas!$B$3:$B$563,$A33,Input_Konektivitas!$D$3:$D$563,"&gt;0"))=0,"",SUMIFS(Input_Konektivitas!$D$3:$D$563,Input_Konektivitas!$A$3:$A$563,$A33,Input_Konektivitas!$B$3:$B$563,H$3)+SUMIFS(Input_Konektivitas!$D$3:$D$563,Input_Konektivitas!$A$3:$A$563,H$3,Input_Konektivitas!$B$3:$B$563,$A33))</f>
        <v>9.08</v>
      </c>
      <c r="I33" s="27">
        <f>IF((COUNTIFS(Input_Konektivitas!$A$3:$A$563,$A33,Input_Konektivitas!$B$3:$B$563,I$3,Input_Konektivitas!$D$3:$D$563,"&gt;0")+COUNTIFS(Input_Konektivitas!$A$3:$A$563,I$3,Input_Konektivitas!$B$3:$B$563,$A33,Input_Konektivitas!$D$3:$D$563,"&gt;0"))=0,"",SUMIFS(Input_Konektivitas!$D$3:$D$563,Input_Konektivitas!$A$3:$A$563,$A33,Input_Konektivitas!$B$3:$B$563,I$3)+SUMIFS(Input_Konektivitas!$D$3:$D$563,Input_Konektivitas!$A$3:$A$563,I$3,Input_Konektivitas!$B$3:$B$563,$A33))</f>
        <v>16.83</v>
      </c>
      <c r="J33" s="27">
        <f>IF((COUNTIFS(Input_Konektivitas!$A$3:$A$563,$A33,Input_Konektivitas!$B$3:$B$563,J$3,Input_Konektivitas!$D$3:$D$563,"&gt;0")+COUNTIFS(Input_Konektivitas!$A$3:$A$563,J$3,Input_Konektivitas!$B$3:$B$563,$A33,Input_Konektivitas!$D$3:$D$563,"&gt;0"))=0,"",SUMIFS(Input_Konektivitas!$D$3:$D$563,Input_Konektivitas!$A$3:$A$563,$A33,Input_Konektivitas!$B$3:$B$563,J$3)+SUMIFS(Input_Konektivitas!$D$3:$D$563,Input_Konektivitas!$A$3:$A$563,J$3,Input_Konektivitas!$B$3:$B$563,$A33))</f>
        <v>15.08333</v>
      </c>
      <c r="K33" s="27">
        <f>IF((COUNTIFS(Input_Konektivitas!$A$3:$A$563,$A33,Input_Konektivitas!$B$3:$B$563,K$3,Input_Konektivitas!$D$3:$D$563,"&gt;0")+COUNTIFS(Input_Konektivitas!$A$3:$A$563,K$3,Input_Konektivitas!$B$3:$B$563,$A33,Input_Konektivitas!$D$3:$D$563,"&gt;0"))=0,"",SUMIFS(Input_Konektivitas!$D$3:$D$563,Input_Konektivitas!$A$3:$A$563,$A33,Input_Konektivitas!$B$3:$B$563,K$3)+SUMIFS(Input_Konektivitas!$D$3:$D$563,Input_Konektivitas!$A$3:$A$563,K$3,Input_Konektivitas!$B$3:$B$563,$A33))</f>
        <v>12.916666</v>
      </c>
      <c r="L33" s="27">
        <f>IF((COUNTIFS(Input_Konektivitas!$A$3:$A$563,$A33,Input_Konektivitas!$B$3:$B$563,L$3,Input_Konektivitas!$D$3:$D$563,"&gt;0")+COUNTIFS(Input_Konektivitas!$A$3:$A$563,L$3,Input_Konektivitas!$B$3:$B$563,$A33,Input_Konektivitas!$D$3:$D$563,"&gt;0"))=0,"",SUMIFS(Input_Konektivitas!$D$3:$D$563,Input_Konektivitas!$A$3:$A$563,$A33,Input_Konektivitas!$B$3:$B$563,L$3)+SUMIFS(Input_Konektivitas!$D$3:$D$563,Input_Konektivitas!$A$3:$A$563,L$3,Input_Konektivitas!$B$3:$B$563,$A33))</f>
        <v>4.67</v>
      </c>
      <c r="M33" s="27">
        <f>IF((COUNTIFS(Input_Konektivitas!$A$3:$A$563,$A33,Input_Konektivitas!$B$3:$B$563,M$3,Input_Konektivitas!$D$3:$D$563,"&gt;0")+COUNTIFS(Input_Konektivitas!$A$3:$A$563,M$3,Input_Konektivitas!$B$3:$B$563,$A33,Input_Konektivitas!$D$3:$D$563,"&gt;0"))=0,"",SUMIFS(Input_Konektivitas!$D$3:$D$563,Input_Konektivitas!$A$3:$A$563,$A33,Input_Konektivitas!$B$3:$B$563,M$3)+SUMIFS(Input_Konektivitas!$D$3:$D$563,Input_Konektivitas!$A$3:$A$563,M$3,Input_Konektivitas!$B$3:$B$563,$A33))</f>
        <v>23.083</v>
      </c>
      <c r="N33" s="27">
        <f>IF((COUNTIFS(Input_Konektivitas!$A$3:$A$563,$A33,Input_Konektivitas!$B$3:$B$563,N$3,Input_Konektivitas!$D$3:$D$563,"&gt;0")+COUNTIFS(Input_Konektivitas!$A$3:$A$563,N$3,Input_Konektivitas!$B$3:$B$563,$A33,Input_Konektivitas!$D$3:$D$563,"&gt;0"))=0,"",SUMIFS(Input_Konektivitas!$D$3:$D$563,Input_Konektivitas!$A$3:$A$563,$A33,Input_Konektivitas!$B$3:$B$563,N$3)+SUMIFS(Input_Konektivitas!$D$3:$D$563,Input_Konektivitas!$A$3:$A$563,N$3,Input_Konektivitas!$B$3:$B$563,$A33))</f>
        <v>7.92</v>
      </c>
      <c r="O33" s="27">
        <f>IF((COUNTIFS(Input_Konektivitas!$A$3:$A$563,$A33,Input_Konektivitas!$B$3:$B$563,O$3,Input_Konektivitas!$D$3:$D$563,"&gt;0")+COUNTIFS(Input_Konektivitas!$A$3:$A$563,O$3,Input_Konektivitas!$B$3:$B$563,$A33,Input_Konektivitas!$D$3:$D$563,"&gt;0"))=0,"",SUMIFS(Input_Konektivitas!$D$3:$D$563,Input_Konektivitas!$A$3:$A$563,$A33,Input_Konektivitas!$B$3:$B$563,O$3)+SUMIFS(Input_Konektivitas!$D$3:$D$563,Input_Konektivitas!$A$3:$A$563,O$3,Input_Konektivitas!$B$3:$B$563,$A33))</f>
        <v>4.83</v>
      </c>
      <c r="P33" s="27">
        <f>IF((COUNTIFS(Input_Konektivitas!$A$3:$A$563,$A33,Input_Konektivitas!$B$3:$B$563,P$3,Input_Konektivitas!$D$3:$D$563,"&gt;0")+COUNTIFS(Input_Konektivitas!$A$3:$A$563,P$3,Input_Konektivitas!$B$3:$B$563,$A33,Input_Konektivitas!$D$3:$D$563,"&gt;0"))=0,"",SUMIFS(Input_Konektivitas!$D$3:$D$563,Input_Konektivitas!$A$3:$A$563,$A33,Input_Konektivitas!$B$3:$B$563,P$3)+SUMIFS(Input_Konektivitas!$D$3:$D$563,Input_Konektivitas!$A$3:$A$563,P$3,Input_Konektivitas!$B$3:$B$563,$A33))</f>
        <v>3.167</v>
      </c>
      <c r="Q33" s="27" t="str">
        <f>IF((COUNTIFS(Input_Konektivitas!$A$3:$A$563,$A33,Input_Konektivitas!$B$3:$B$563,Q$3,Input_Konektivitas!$D$3:$D$563,"&gt;0")+COUNTIFS(Input_Konektivitas!$A$3:$A$563,Q$3,Input_Konektivitas!$B$3:$B$563,$A33,Input_Konektivitas!$D$3:$D$563,"&gt;0"))=0,"",SUMIFS(Input_Konektivitas!$D$3:$D$563,Input_Konektivitas!$A$3:$A$563,$A33,Input_Konektivitas!$B$3:$B$563,Q$3)+SUMIFS(Input_Konektivitas!$D$3:$D$563,Input_Konektivitas!$A$3:$A$563,Q$3,Input_Konektivitas!$B$3:$B$563,$A33))</f>
        <v/>
      </c>
      <c r="R33" s="27">
        <f>IF((COUNTIFS(Input_Konektivitas!$A$3:$A$563,$A33,Input_Konektivitas!$B$3:$B$563,R$3,Input_Konektivitas!$D$3:$D$563,"&gt;0")+COUNTIFS(Input_Konektivitas!$A$3:$A$563,R$3,Input_Konektivitas!$B$3:$B$563,$A33,Input_Konektivitas!$D$3:$D$563,"&gt;0"))=0,"",SUMIFS(Input_Konektivitas!$D$3:$D$563,Input_Konektivitas!$A$3:$A$563,$A33,Input_Konektivitas!$B$3:$B$563,R$3)+SUMIFS(Input_Konektivitas!$D$3:$D$563,Input_Konektivitas!$A$3:$A$563,R$3,Input_Konektivitas!$B$3:$B$563,$A33))</f>
        <v>5.166</v>
      </c>
      <c r="S33" s="27">
        <f>IF((COUNTIFS(Input_Konektivitas!$A$3:$A$563,$A33,Input_Konektivitas!$B$3:$B$563,S$3,Input_Konektivitas!$D$3:$D$563,"&gt;0")+COUNTIFS(Input_Konektivitas!$A$3:$A$563,S$3,Input_Konektivitas!$B$3:$B$563,$A33,Input_Konektivitas!$D$3:$D$563,"&gt;0"))=0,"",SUMIFS(Input_Konektivitas!$D$3:$D$563,Input_Konektivitas!$A$3:$A$563,$A33,Input_Konektivitas!$B$3:$B$563,S$3)+SUMIFS(Input_Konektivitas!$D$3:$D$563,Input_Konektivitas!$A$3:$A$563,S$3,Input_Konektivitas!$B$3:$B$563,$A33))</f>
        <v>8.5833</v>
      </c>
      <c r="T33" s="27">
        <f>IF((COUNTIFS(Input_Konektivitas!$A$3:$A$563,$A33,Input_Konektivitas!$B$3:$B$563,T$3,Input_Konektivitas!$D$3:$D$563,"&gt;0")+COUNTIFS(Input_Konektivitas!$A$3:$A$563,T$3,Input_Konektivitas!$B$3:$B$563,$A33,Input_Konektivitas!$D$3:$D$563,"&gt;0"))=0,"",SUMIFS(Input_Konektivitas!$D$3:$D$563,Input_Konektivitas!$A$3:$A$563,$A33,Input_Konektivitas!$B$3:$B$563,T$3)+SUMIFS(Input_Konektivitas!$D$3:$D$563,Input_Konektivitas!$A$3:$A$563,T$3,Input_Konektivitas!$B$3:$B$563,$A33))</f>
        <v>19.33</v>
      </c>
      <c r="U33" s="27">
        <f>IF((COUNTIFS(Input_Konektivitas!$A$3:$A$563,$A33,Input_Konektivitas!$B$3:$B$563,U$3,Input_Konektivitas!$D$3:$D$563,"&gt;0")+COUNTIFS(Input_Konektivitas!$A$3:$A$563,U$3,Input_Konektivitas!$B$3:$B$563,$A33,Input_Konektivitas!$D$3:$D$563,"&gt;0"))=0,"",SUMIFS(Input_Konektivitas!$D$3:$D$563,Input_Konektivitas!$A$3:$A$563,$A33,Input_Konektivitas!$B$3:$B$563,U$3)+SUMIFS(Input_Konektivitas!$D$3:$D$563,Input_Konektivitas!$A$3:$A$563,U$3,Input_Konektivitas!$B$3:$B$563,$A33))</f>
        <v>8.75</v>
      </c>
      <c r="V33" s="27">
        <f>IF((COUNTIFS(Input_Konektivitas!$A$3:$A$563,$A33,Input_Konektivitas!$B$3:$B$563,V$3,Input_Konektivitas!$D$3:$D$563,"&gt;0")+COUNTIFS(Input_Konektivitas!$A$3:$A$563,V$3,Input_Konektivitas!$B$3:$B$563,$A33,Input_Konektivitas!$D$3:$D$563,"&gt;0"))=0,"",SUMIFS(Input_Konektivitas!$D$3:$D$563,Input_Konektivitas!$A$3:$A$563,$A33,Input_Konektivitas!$B$3:$B$563,V$3)+SUMIFS(Input_Konektivitas!$D$3:$D$563,Input_Konektivitas!$A$3:$A$563,V$3,Input_Konektivitas!$B$3:$B$563,$A33))</f>
        <v>16.916</v>
      </c>
      <c r="W33" s="27">
        <f>IF((COUNTIFS(Input_Konektivitas!$A$3:$A$563,$A33,Input_Konektivitas!$B$3:$B$563,W$3,Input_Konektivitas!$D$3:$D$563,"&gt;0")+COUNTIFS(Input_Konektivitas!$A$3:$A$563,W$3,Input_Konektivitas!$B$3:$B$563,$A33,Input_Konektivitas!$D$3:$D$563,"&gt;0"))=0,"",SUMIFS(Input_Konektivitas!$D$3:$D$563,Input_Konektivitas!$A$3:$A$563,$A33,Input_Konektivitas!$B$3:$B$563,W$3)+SUMIFS(Input_Konektivitas!$D$3:$D$563,Input_Konektivitas!$A$3:$A$563,W$3,Input_Konektivitas!$B$3:$B$563,$A33))</f>
        <v>4.5</v>
      </c>
      <c r="X33" s="27">
        <f>IF((COUNTIFS(Input_Konektivitas!$A$3:$A$563,$A33,Input_Konektivitas!$B$3:$B$563,X$3,Input_Konektivitas!$D$3:$D$563,"&gt;0")+COUNTIFS(Input_Konektivitas!$A$3:$A$563,X$3,Input_Konektivitas!$B$3:$B$563,$A33,Input_Konektivitas!$D$3:$D$563,"&gt;0"))=0,"",SUMIFS(Input_Konektivitas!$D$3:$D$563,Input_Konektivitas!$A$3:$A$563,$A33,Input_Konektivitas!$B$3:$B$563,X$3)+SUMIFS(Input_Konektivitas!$D$3:$D$563,Input_Konektivitas!$A$3:$A$563,X$3,Input_Konektivitas!$B$3:$B$563,$A33))</f>
        <v>1</v>
      </c>
      <c r="Y33" s="27">
        <f>IF((COUNTIFS(Input_Konektivitas!$A$3:$A$563,$A33,Input_Konektivitas!$B$3:$B$563,Y$3,Input_Konektivitas!$D$3:$D$563,"&gt;0")+COUNTIFS(Input_Konektivitas!$A$3:$A$563,Y$3,Input_Konektivitas!$B$3:$B$563,$A33,Input_Konektivitas!$D$3:$D$563,"&gt;0"))=0,"",SUMIFS(Input_Konektivitas!$D$3:$D$563,Input_Konektivitas!$A$3:$A$563,$A33,Input_Konektivitas!$B$3:$B$563,Y$3)+SUMIFS(Input_Konektivitas!$D$3:$D$563,Input_Konektivitas!$A$3:$A$563,Y$3,Input_Konektivitas!$B$3:$B$563,$A33))</f>
        <v>9.833</v>
      </c>
      <c r="Z33" s="27">
        <f>IF((COUNTIFS(Input_Konektivitas!$A$3:$A$563,$A33,Input_Konektivitas!$B$3:$B$563,Z$3,Input_Konektivitas!$D$3:$D$563,"&gt;0")+COUNTIFS(Input_Konektivitas!$A$3:$A$563,Z$3,Input_Konektivitas!$B$3:$B$563,$A33,Input_Konektivitas!$D$3:$D$563,"&gt;0"))=0,"",SUMIFS(Input_Konektivitas!$D$3:$D$563,Input_Konektivitas!$A$3:$A$563,$A33,Input_Konektivitas!$B$3:$B$563,Z$3)+SUMIFS(Input_Konektivitas!$D$3:$D$563,Input_Konektivitas!$A$3:$A$563,Z$3,Input_Konektivitas!$B$3:$B$563,$A33))</f>
        <v>4.4166</v>
      </c>
      <c r="AA33" s="27">
        <f>IF((COUNTIFS(Input_Konektivitas!$A$3:$A$563,$A33,Input_Konektivitas!$B$3:$B$563,AA$3,Input_Konektivitas!$D$3:$D$563,"&gt;0")+COUNTIFS(Input_Konektivitas!$A$3:$A$563,AA$3,Input_Konektivitas!$B$3:$B$563,$A33,Input_Konektivitas!$D$3:$D$563,"&gt;0"))=0,"",SUMIFS(Input_Konektivitas!$D$3:$D$563,Input_Konektivitas!$A$3:$A$563,$A33,Input_Konektivitas!$B$3:$B$563,AA$3)+SUMIFS(Input_Konektivitas!$D$3:$D$563,Input_Konektivitas!$A$3:$A$563,AA$3,Input_Konektivitas!$B$3:$B$563,$A33))</f>
        <v>4.25</v>
      </c>
      <c r="AB33" s="27">
        <f>IF((COUNTIFS(Input_Konektivitas!$A$3:$A$563,$A33,Input_Konektivitas!$B$3:$B$563,AB$3,Input_Konektivitas!$D$3:$D$563,"&gt;0")+COUNTIFS(Input_Konektivitas!$A$3:$A$563,AB$3,Input_Konektivitas!$B$3:$B$563,$A33,Input_Konektivitas!$D$3:$D$563,"&gt;0"))=0,"",SUMIFS(Input_Konektivitas!$D$3:$D$563,Input_Konektivitas!$A$3:$A$563,$A33,Input_Konektivitas!$B$3:$B$563,AB$3)+SUMIFS(Input_Konektivitas!$D$3:$D$563,Input_Konektivitas!$A$3:$A$563,AB$3,Input_Konektivitas!$B$3:$B$563,$A33))</f>
        <v>1.166</v>
      </c>
      <c r="AC33" s="27">
        <f>IF((COUNTIFS(Input_Konektivitas!$A$3:$A$563,$A33,Input_Konektivitas!$B$3:$B$563,AC$3,Input_Konektivitas!$D$3:$D$563,"&gt;0")+COUNTIFS(Input_Konektivitas!$A$3:$A$563,AC$3,Input_Konektivitas!$B$3:$B$563,$A33,Input_Konektivitas!$D$3:$D$563,"&gt;0"))=0,"",SUMIFS(Input_Konektivitas!$D$3:$D$563,Input_Konektivitas!$A$3:$A$563,$A33,Input_Konektivitas!$B$3:$B$563,AC$3)+SUMIFS(Input_Konektivitas!$D$3:$D$563,Input_Konektivitas!$A$3:$A$563,AC$3,Input_Konektivitas!$B$3:$B$563,$A33))</f>
        <v>4.083</v>
      </c>
      <c r="AD33" s="27" t="str">
        <f>IF((COUNTIFS(Input_Konektivitas!$A$3:$A$563,$A33,Input_Konektivitas!$B$3:$B$563,AD$3,Input_Konektivitas!$D$3:$D$563,"&gt;0")+COUNTIFS(Input_Konektivitas!$A$3:$A$563,AD$3,Input_Konektivitas!$B$3:$B$563,$A33,Input_Konektivitas!$D$3:$D$563,"&gt;0"))=0,"",SUMIFS(Input_Konektivitas!$D$3:$D$563,Input_Konektivitas!$A$3:$A$563,$A33,Input_Konektivitas!$B$3:$B$563,AD$3)+SUMIFS(Input_Konektivitas!$D$3:$D$563,Input_Konektivitas!$A$3:$A$563,AD$3,Input_Konektivitas!$B$3:$B$563,$A33))</f>
        <v/>
      </c>
      <c r="AE33" s="23">
        <v>0.0</v>
      </c>
      <c r="AF33" s="27">
        <f>IF((COUNTIFS(Input_Konektivitas!$A$3:$A$563,$A33,Input_Konektivitas!$B$3:$B$563,AF$3,Input_Konektivitas!$D$3:$D$563,"&gt;0")+COUNTIFS(Input_Konektivitas!$A$3:$A$563,AF$3,Input_Konektivitas!$B$3:$B$563,$A33,Input_Konektivitas!$D$3:$D$563,"&gt;0"))=0,"",SUMIFS(Input_Konektivitas!$D$3:$D$563,Input_Konektivitas!$A$3:$A$563,$A33,Input_Konektivitas!$B$3:$B$563,AF$3)+SUMIFS(Input_Konektivitas!$D$3:$D$563,Input_Konektivitas!$A$3:$A$563,AF$3,Input_Konektivitas!$B$3:$B$563,$A33))</f>
        <v>12.5</v>
      </c>
      <c r="AG33" s="27">
        <f>IF((COUNTIFS(Input_Konektivitas!$A$3:$A$563,$A33,Input_Konektivitas!$B$3:$B$563,AG$3,Input_Konektivitas!$D$3:$D$563,"&gt;0")+COUNTIFS(Input_Konektivitas!$A$3:$A$563,AG$3,Input_Konektivitas!$B$3:$B$563,$A33,Input_Konektivitas!$D$3:$D$563,"&gt;0"))=0,"",SUMIFS(Input_Konektivitas!$D$3:$D$563,Input_Konektivitas!$A$3:$A$563,$A33,Input_Konektivitas!$B$3:$B$563,AG$3)+SUMIFS(Input_Konektivitas!$D$3:$D$563,Input_Konektivitas!$A$3:$A$563,AG$3,Input_Konektivitas!$B$3:$B$563,$A33))</f>
        <v>8.4166</v>
      </c>
      <c r="AH33" s="27">
        <f>IF((COUNTIFS(Input_Konektivitas!$A$3:$A$563,$A33,Input_Konektivitas!$B$3:$B$563,AH$3,Input_Konektivitas!$D$3:$D$563,"&gt;0")+COUNTIFS(Input_Konektivitas!$A$3:$A$563,AH$3,Input_Konektivitas!$B$3:$B$563,$A33,Input_Konektivitas!$D$3:$D$563,"&gt;0"))=0,"",SUMIFS(Input_Konektivitas!$D$3:$D$563,Input_Konektivitas!$A$3:$A$563,$A33,Input_Konektivitas!$B$3:$B$563,AH$3)+SUMIFS(Input_Konektivitas!$D$3:$D$563,Input_Konektivitas!$A$3:$A$563,AH$3,Input_Konektivitas!$B$3:$B$563,$A33))</f>
        <v>4.083</v>
      </c>
      <c r="AI33" s="27">
        <f>IF((COUNTIFS(Input_Konektivitas!$A$3:$A$563,$A33,Input_Konektivitas!$B$3:$B$563,AI$3,Input_Konektivitas!$D$3:$D$563,"&gt;0")+COUNTIFS(Input_Konektivitas!$A$3:$A$563,AI$3,Input_Konektivitas!$B$3:$B$563,$A33,Input_Konektivitas!$D$3:$D$563,"&gt;0"))=0,"",SUMIFS(Input_Konektivitas!$D$3:$D$563,Input_Konektivitas!$A$3:$A$563,$A33,Input_Konektivitas!$B$3:$B$563,AI$3)+SUMIFS(Input_Konektivitas!$D$3:$D$563,Input_Konektivitas!$A$3:$A$563,AI$3,Input_Konektivitas!$B$3:$B$563,$A33))</f>
        <v>12.583</v>
      </c>
    </row>
    <row r="34" ht="14.25" customHeight="1">
      <c r="A34" s="22" t="s">
        <v>94</v>
      </c>
      <c r="B34" s="27">
        <f>IF((COUNTIFS(Input_Konektivitas!$A$3:$A$563,$A34,Input_Konektivitas!$B$3:$B$563,B$3,Input_Konektivitas!$D$3:$D$563,"&gt;0")+COUNTIFS(Input_Konektivitas!$A$3:$A$563,B$3,Input_Konektivitas!$B$3:$B$563,$A34,Input_Konektivitas!$D$3:$D$563,"&gt;0"))=0,"",SUMIFS(Input_Konektivitas!$D$3:$D$563,Input_Konektivitas!$A$3:$A$563,$A34,Input_Konektivitas!$B$3:$B$563,B$3)+SUMIFS(Input_Konektivitas!$D$3:$D$563,Input_Konektivitas!$A$3:$A$563,B$3,Input_Konektivitas!$B$3:$B$563,$A34))</f>
        <v>13.92</v>
      </c>
      <c r="C34" s="27">
        <f>IF((COUNTIFS(Input_Konektivitas!$A$3:$A$563,$A34,Input_Konektivitas!$B$3:$B$563,C$3,Input_Konektivitas!$D$3:$D$563,"&gt;0")+COUNTIFS(Input_Konektivitas!$A$3:$A$563,C$3,Input_Konektivitas!$B$3:$B$563,$A34,Input_Konektivitas!$D$3:$D$563,"&gt;0"))=0,"",SUMIFS(Input_Konektivitas!$D$3:$D$563,Input_Konektivitas!$A$3:$A$563,$A34,Input_Konektivitas!$B$3:$B$563,C$3)+SUMIFS(Input_Konektivitas!$D$3:$D$563,Input_Konektivitas!$A$3:$A$563,C$3,Input_Konektivitas!$B$3:$B$563,$A34))</f>
        <v>7.33</v>
      </c>
      <c r="D34" s="27">
        <f>IF((COUNTIFS(Input_Konektivitas!$A$3:$A$563,$A34,Input_Konektivitas!$B$3:$B$563,D$3,Input_Konektivitas!$D$3:$D$563,"&gt;0")+COUNTIFS(Input_Konektivitas!$A$3:$A$563,D$3,Input_Konektivitas!$B$3:$B$563,$A34,Input_Konektivitas!$D$3:$D$563,"&gt;0"))=0,"",SUMIFS(Input_Konektivitas!$D$3:$D$563,Input_Konektivitas!$A$3:$A$563,$A34,Input_Konektivitas!$B$3:$B$563,D$3)+SUMIFS(Input_Konektivitas!$D$3:$D$563,Input_Konektivitas!$A$3:$A$563,D$3,Input_Konektivitas!$B$3:$B$563,$A34))</f>
        <v>9.5</v>
      </c>
      <c r="E34" s="27">
        <f>IF((COUNTIFS(Input_Konektivitas!$A$3:$A$563,$A34,Input_Konektivitas!$B$3:$B$563,E$3,Input_Konektivitas!$D$3:$D$563,"&gt;0")+COUNTIFS(Input_Konektivitas!$A$3:$A$563,E$3,Input_Konektivitas!$B$3:$B$563,$A34,Input_Konektivitas!$D$3:$D$563,"&gt;0"))=0,"",SUMIFS(Input_Konektivitas!$D$3:$D$563,Input_Konektivitas!$A$3:$A$563,$A34,Input_Konektivitas!$B$3:$B$563,E$3)+SUMIFS(Input_Konektivitas!$D$3:$D$563,Input_Konektivitas!$A$3:$A$563,E$3,Input_Konektivitas!$B$3:$B$563,$A34))</f>
        <v>12.75</v>
      </c>
      <c r="F34" s="27">
        <f>IF((COUNTIFS(Input_Konektivitas!$A$3:$A$563,$A34,Input_Konektivitas!$B$3:$B$563,F$3,Input_Konektivitas!$D$3:$D$563,"&gt;0")+COUNTIFS(Input_Konektivitas!$A$3:$A$563,F$3,Input_Konektivitas!$B$3:$B$563,$A34,Input_Konektivitas!$D$3:$D$563,"&gt;0"))=0,"",SUMIFS(Input_Konektivitas!$D$3:$D$563,Input_Konektivitas!$A$3:$A$563,$A34,Input_Konektivitas!$B$3:$B$563,F$3)+SUMIFS(Input_Konektivitas!$D$3:$D$563,Input_Konektivitas!$A$3:$A$563,F$3,Input_Konektivitas!$B$3:$B$563,$A34))</f>
        <v>9.75</v>
      </c>
      <c r="G34" s="27">
        <f>IF((COUNTIFS(Input_Konektivitas!$A$3:$A$563,$A34,Input_Konektivitas!$B$3:$B$563,G$3,Input_Konektivitas!$D$3:$D$563,"&gt;0")+COUNTIFS(Input_Konektivitas!$A$3:$A$563,G$3,Input_Konektivitas!$B$3:$B$563,$A34,Input_Konektivitas!$D$3:$D$563,"&gt;0"))=0,"",SUMIFS(Input_Konektivitas!$D$3:$D$563,Input_Konektivitas!$A$3:$A$563,$A34,Input_Konektivitas!$B$3:$B$563,G$3)+SUMIFS(Input_Konektivitas!$D$3:$D$563,Input_Konektivitas!$A$3:$A$563,G$3,Input_Konektivitas!$B$3:$B$563,$A34))</f>
        <v>7.33</v>
      </c>
      <c r="H34" s="27">
        <f>IF((COUNTIFS(Input_Konektivitas!$A$3:$A$563,$A34,Input_Konektivitas!$B$3:$B$563,H$3,Input_Konektivitas!$D$3:$D$563,"&gt;0")+COUNTIFS(Input_Konektivitas!$A$3:$A$563,H$3,Input_Konektivitas!$B$3:$B$563,$A34,Input_Konektivitas!$D$3:$D$563,"&gt;0"))=0,"",SUMIFS(Input_Konektivitas!$D$3:$D$563,Input_Konektivitas!$A$3:$A$563,$A34,Input_Konektivitas!$B$3:$B$563,H$3)+SUMIFS(Input_Konektivitas!$D$3:$D$563,Input_Konektivitas!$A$3:$A$563,H$3,Input_Konektivitas!$B$3:$B$563,$A34))</f>
        <v>12.17</v>
      </c>
      <c r="I34" s="27">
        <f>IF((COUNTIFS(Input_Konektivitas!$A$3:$A$563,$A34,Input_Konektivitas!$B$3:$B$563,I$3,Input_Konektivitas!$D$3:$D$563,"&gt;0")+COUNTIFS(Input_Konektivitas!$A$3:$A$563,I$3,Input_Konektivitas!$B$3:$B$563,$A34,Input_Konektivitas!$D$3:$D$563,"&gt;0"))=0,"",SUMIFS(Input_Konektivitas!$D$3:$D$563,Input_Konektivitas!$A$3:$A$563,$A34,Input_Konektivitas!$B$3:$B$563,I$3)+SUMIFS(Input_Konektivitas!$D$3:$D$563,Input_Konektivitas!$A$3:$A$563,I$3,Input_Konektivitas!$B$3:$B$563,$A34))</f>
        <v>6.17</v>
      </c>
      <c r="J34" s="27">
        <f>IF((COUNTIFS(Input_Konektivitas!$A$3:$A$563,$A34,Input_Konektivitas!$B$3:$B$563,J$3,Input_Konektivitas!$D$3:$D$563,"&gt;0")+COUNTIFS(Input_Konektivitas!$A$3:$A$563,J$3,Input_Konektivitas!$B$3:$B$563,$A34,Input_Konektivitas!$D$3:$D$563,"&gt;0"))=0,"",SUMIFS(Input_Konektivitas!$D$3:$D$563,Input_Konektivitas!$A$3:$A$563,$A34,Input_Konektivitas!$B$3:$B$563,J$3)+SUMIFS(Input_Konektivitas!$D$3:$D$563,Input_Konektivitas!$A$3:$A$563,J$3,Input_Konektivitas!$B$3:$B$563,$A34))</f>
        <v>10.833</v>
      </c>
      <c r="K34" s="27">
        <f>IF((COUNTIFS(Input_Konektivitas!$A$3:$A$563,$A34,Input_Konektivitas!$B$3:$B$563,K$3,Input_Konektivitas!$D$3:$D$563,"&gt;0")+COUNTIFS(Input_Konektivitas!$A$3:$A$563,K$3,Input_Konektivitas!$B$3:$B$563,$A34,Input_Konektivitas!$D$3:$D$563,"&gt;0"))=0,"",SUMIFS(Input_Konektivitas!$D$3:$D$563,Input_Konektivitas!$A$3:$A$563,$A34,Input_Konektivitas!$B$3:$B$563,K$3)+SUMIFS(Input_Konektivitas!$D$3:$D$563,Input_Konektivitas!$A$3:$A$563,K$3,Input_Konektivitas!$B$3:$B$563,$A34))</f>
        <v>8</v>
      </c>
      <c r="L34" s="27">
        <f>IF((COUNTIFS(Input_Konektivitas!$A$3:$A$563,$A34,Input_Konektivitas!$B$3:$B$563,L$3,Input_Konektivitas!$D$3:$D$563,"&gt;0")+COUNTIFS(Input_Konektivitas!$A$3:$A$563,L$3,Input_Konektivitas!$B$3:$B$563,$A34,Input_Konektivitas!$D$3:$D$563,"&gt;0"))=0,"",SUMIFS(Input_Konektivitas!$D$3:$D$563,Input_Konektivitas!$A$3:$A$563,$A34,Input_Konektivitas!$B$3:$B$563,L$3)+SUMIFS(Input_Konektivitas!$D$3:$D$563,Input_Konektivitas!$A$3:$A$563,L$3,Input_Konektivitas!$B$3:$B$563,$A34))</f>
        <v>3.583</v>
      </c>
      <c r="M34" s="27">
        <f>IF((COUNTIFS(Input_Konektivitas!$A$3:$A$563,$A34,Input_Konektivitas!$B$3:$B$563,M$3,Input_Konektivitas!$D$3:$D$563,"&gt;0")+COUNTIFS(Input_Konektivitas!$A$3:$A$563,M$3,Input_Konektivitas!$B$3:$B$563,$A34,Input_Konektivitas!$D$3:$D$563,"&gt;0"))=0,"",SUMIFS(Input_Konektivitas!$D$3:$D$563,Input_Konektivitas!$A$3:$A$563,$A34,Input_Konektivitas!$B$3:$B$563,M$3)+SUMIFS(Input_Konektivitas!$D$3:$D$563,Input_Konektivitas!$A$3:$A$563,M$3,Input_Konektivitas!$B$3:$B$563,$A34))</f>
        <v>13.17</v>
      </c>
      <c r="N34" s="27">
        <f>IF((COUNTIFS(Input_Konektivitas!$A$3:$A$563,$A34,Input_Konektivitas!$B$3:$B$563,N$3,Input_Konektivitas!$D$3:$D$563,"&gt;0")+COUNTIFS(Input_Konektivitas!$A$3:$A$563,N$3,Input_Konektivitas!$B$3:$B$563,$A34,Input_Konektivitas!$D$3:$D$563,"&gt;0"))=0,"",SUMIFS(Input_Konektivitas!$D$3:$D$563,Input_Konektivitas!$A$3:$A$563,$A34,Input_Konektivitas!$B$3:$B$563,N$3)+SUMIFS(Input_Konektivitas!$D$3:$D$563,Input_Konektivitas!$A$3:$A$563,N$3,Input_Konektivitas!$B$3:$B$563,$A34))</f>
        <v>6.25</v>
      </c>
      <c r="O34" s="27">
        <f>IF((COUNTIFS(Input_Konektivitas!$A$3:$A$563,$A34,Input_Konektivitas!$B$3:$B$563,O$3,Input_Konektivitas!$D$3:$D$563,"&gt;0")+COUNTIFS(Input_Konektivitas!$A$3:$A$563,O$3,Input_Konektivitas!$B$3:$B$563,$A34,Input_Konektivitas!$D$3:$D$563,"&gt;0"))=0,"",SUMIFS(Input_Konektivitas!$D$3:$D$563,Input_Konektivitas!$A$3:$A$563,$A34,Input_Konektivitas!$B$3:$B$563,O$3)+SUMIFS(Input_Konektivitas!$D$3:$D$563,Input_Konektivitas!$A$3:$A$563,O$3,Input_Konektivitas!$B$3:$B$563,$A34))</f>
        <v>6.5</v>
      </c>
      <c r="P34" s="27">
        <f>IF((COUNTIFS(Input_Konektivitas!$A$3:$A$563,$A34,Input_Konektivitas!$B$3:$B$563,P$3,Input_Konektivitas!$D$3:$D$563,"&gt;0")+COUNTIFS(Input_Konektivitas!$A$3:$A$563,P$3,Input_Konektivitas!$B$3:$B$563,$A34,Input_Konektivitas!$D$3:$D$563,"&gt;0"))=0,"",SUMIFS(Input_Konektivitas!$D$3:$D$563,Input_Konektivitas!$A$3:$A$563,$A34,Input_Konektivitas!$B$3:$B$563,P$3)+SUMIFS(Input_Konektivitas!$D$3:$D$563,Input_Konektivitas!$A$3:$A$563,P$3,Input_Konektivitas!$B$3:$B$563,$A34))</f>
        <v>2.666</v>
      </c>
      <c r="Q34" s="27" t="str">
        <f>IF((COUNTIFS(Input_Konektivitas!$A$3:$A$563,$A34,Input_Konektivitas!$B$3:$B$563,Q$3,Input_Konektivitas!$D$3:$D$563,"&gt;0")+COUNTIFS(Input_Konektivitas!$A$3:$A$563,Q$3,Input_Konektivitas!$B$3:$B$563,$A34,Input_Konektivitas!$D$3:$D$563,"&gt;0"))=0,"",SUMIFS(Input_Konektivitas!$D$3:$D$563,Input_Konektivitas!$A$3:$A$563,$A34,Input_Konektivitas!$B$3:$B$563,Q$3)+SUMIFS(Input_Konektivitas!$D$3:$D$563,Input_Konektivitas!$A$3:$A$563,Q$3,Input_Konektivitas!$B$3:$B$563,$A34))</f>
        <v/>
      </c>
      <c r="R34" s="27">
        <f>IF((COUNTIFS(Input_Konektivitas!$A$3:$A$563,$A34,Input_Konektivitas!$B$3:$B$563,R$3,Input_Konektivitas!$D$3:$D$563,"&gt;0")+COUNTIFS(Input_Konektivitas!$A$3:$A$563,R$3,Input_Konektivitas!$B$3:$B$563,$A34,Input_Konektivitas!$D$3:$D$563,"&gt;0"))=0,"",SUMIFS(Input_Konektivitas!$D$3:$D$563,Input_Konektivitas!$A$3:$A$563,$A34,Input_Konektivitas!$B$3:$B$563,R$3)+SUMIFS(Input_Konektivitas!$D$3:$D$563,Input_Konektivitas!$A$3:$A$563,R$3,Input_Konektivitas!$B$3:$B$563,$A34))</f>
        <v>6.833</v>
      </c>
      <c r="S34" s="27">
        <f>IF((COUNTIFS(Input_Konektivitas!$A$3:$A$563,$A34,Input_Konektivitas!$B$3:$B$563,S$3,Input_Konektivitas!$D$3:$D$563,"&gt;0")+COUNTIFS(Input_Konektivitas!$A$3:$A$563,S$3,Input_Konektivitas!$B$3:$B$563,$A34,Input_Konektivitas!$D$3:$D$563,"&gt;0"))=0,"",SUMIFS(Input_Konektivitas!$D$3:$D$563,Input_Konektivitas!$A$3:$A$563,$A34,Input_Konektivitas!$B$3:$B$563,S$3)+SUMIFS(Input_Konektivitas!$D$3:$D$563,Input_Konektivitas!$A$3:$A$563,S$3,Input_Konektivitas!$B$3:$B$563,$A34))</f>
        <v>9.25</v>
      </c>
      <c r="T34" s="27">
        <f>IF((COUNTIFS(Input_Konektivitas!$A$3:$A$563,$A34,Input_Konektivitas!$B$3:$B$563,T$3,Input_Konektivitas!$D$3:$D$563,"&gt;0")+COUNTIFS(Input_Konektivitas!$A$3:$A$563,T$3,Input_Konektivitas!$B$3:$B$563,$A34,Input_Konektivitas!$D$3:$D$563,"&gt;0"))=0,"",SUMIFS(Input_Konektivitas!$D$3:$D$563,Input_Konektivitas!$A$3:$A$563,$A34,Input_Konektivitas!$B$3:$B$563,T$3)+SUMIFS(Input_Konektivitas!$D$3:$D$563,Input_Konektivitas!$A$3:$A$563,T$3,Input_Konektivitas!$B$3:$B$563,$A34))</f>
        <v>10.416</v>
      </c>
      <c r="U34" s="27">
        <f>IF((COUNTIFS(Input_Konektivitas!$A$3:$A$563,$A34,Input_Konektivitas!$B$3:$B$563,U$3,Input_Konektivitas!$D$3:$D$563,"&gt;0")+COUNTIFS(Input_Konektivitas!$A$3:$A$563,U$3,Input_Konektivitas!$B$3:$B$563,$A34,Input_Konektivitas!$D$3:$D$563,"&gt;0"))=0,"",SUMIFS(Input_Konektivitas!$D$3:$D$563,Input_Konektivitas!$A$3:$A$563,$A34,Input_Konektivitas!$B$3:$B$563,U$3)+SUMIFS(Input_Konektivitas!$D$3:$D$563,Input_Konektivitas!$A$3:$A$563,U$3,Input_Konektivitas!$B$3:$B$563,$A34))</f>
        <v>7.25</v>
      </c>
      <c r="V34" s="27">
        <f>IF((COUNTIFS(Input_Konektivitas!$A$3:$A$563,$A34,Input_Konektivitas!$B$3:$B$563,V$3,Input_Konektivitas!$D$3:$D$563,"&gt;0")+COUNTIFS(Input_Konektivitas!$A$3:$A$563,V$3,Input_Konektivitas!$B$3:$B$563,$A34,Input_Konektivitas!$D$3:$D$563,"&gt;0"))=0,"",SUMIFS(Input_Konektivitas!$D$3:$D$563,Input_Konektivitas!$A$3:$A$563,$A34,Input_Konektivitas!$B$3:$B$563,V$3)+SUMIFS(Input_Konektivitas!$D$3:$D$563,Input_Konektivitas!$A$3:$A$563,V$3,Input_Konektivitas!$B$3:$B$563,$A34))</f>
        <v>6.4166</v>
      </c>
      <c r="W34" s="27">
        <f>IF((COUNTIFS(Input_Konektivitas!$A$3:$A$563,$A34,Input_Konektivitas!$B$3:$B$563,W$3,Input_Konektivitas!$D$3:$D$563,"&gt;0")+COUNTIFS(Input_Konektivitas!$A$3:$A$563,W$3,Input_Konektivitas!$B$3:$B$563,$A34,Input_Konektivitas!$D$3:$D$563,"&gt;0"))=0,"",SUMIFS(Input_Konektivitas!$D$3:$D$563,Input_Konektivitas!$A$3:$A$563,$A34,Input_Konektivitas!$B$3:$B$563,W$3)+SUMIFS(Input_Konektivitas!$D$3:$D$563,Input_Konektivitas!$A$3:$A$563,W$3,Input_Konektivitas!$B$3:$B$563,$A34))</f>
        <v>7.583</v>
      </c>
      <c r="X34" s="27">
        <f>IF((COUNTIFS(Input_Konektivitas!$A$3:$A$563,$A34,Input_Konektivitas!$B$3:$B$563,X$3,Input_Konektivitas!$D$3:$D$563,"&gt;0")+COUNTIFS(Input_Konektivitas!$A$3:$A$563,X$3,Input_Konektivitas!$B$3:$B$563,$A34,Input_Konektivitas!$D$3:$D$563,"&gt;0"))=0,"",SUMIFS(Input_Konektivitas!$D$3:$D$563,Input_Konektivitas!$A$3:$A$563,$A34,Input_Konektivitas!$B$3:$B$563,X$3)+SUMIFS(Input_Konektivitas!$D$3:$D$563,Input_Konektivitas!$A$3:$A$563,X$3,Input_Konektivitas!$B$3:$B$563,$A34))</f>
        <v>8.25</v>
      </c>
      <c r="Y34" s="27">
        <f>IF((COUNTIFS(Input_Konektivitas!$A$3:$A$563,$A34,Input_Konektivitas!$B$3:$B$563,Y$3,Input_Konektivitas!$D$3:$D$563,"&gt;0")+COUNTIFS(Input_Konektivitas!$A$3:$A$563,Y$3,Input_Konektivitas!$B$3:$B$563,$A34,Input_Konektivitas!$D$3:$D$563,"&gt;0"))=0,"",SUMIFS(Input_Konektivitas!$D$3:$D$563,Input_Konektivitas!$A$3:$A$563,$A34,Input_Konektivitas!$B$3:$B$563,Y$3)+SUMIFS(Input_Konektivitas!$D$3:$D$563,Input_Konektivitas!$A$3:$A$563,Y$3,Input_Konektivitas!$B$3:$B$563,$A34))</f>
        <v>15.5833</v>
      </c>
      <c r="Z34" s="27">
        <f>IF((COUNTIFS(Input_Konektivitas!$A$3:$A$563,$A34,Input_Konektivitas!$B$3:$B$563,Z$3,Input_Konektivitas!$D$3:$D$563,"&gt;0")+COUNTIFS(Input_Konektivitas!$A$3:$A$563,Z$3,Input_Konektivitas!$B$3:$B$563,$A34,Input_Konektivitas!$D$3:$D$563,"&gt;0"))=0,"",SUMIFS(Input_Konektivitas!$D$3:$D$563,Input_Konektivitas!$A$3:$A$563,$A34,Input_Konektivitas!$B$3:$B$563,Z$3)+SUMIFS(Input_Konektivitas!$D$3:$D$563,Input_Konektivitas!$A$3:$A$563,Z$3,Input_Konektivitas!$B$3:$B$563,$A34))</f>
        <v>3.083</v>
      </c>
      <c r="AA34" s="27">
        <f>IF((COUNTIFS(Input_Konektivitas!$A$3:$A$563,$A34,Input_Konektivitas!$B$3:$B$563,AA$3,Input_Konektivitas!$D$3:$D$563,"&gt;0")+COUNTIFS(Input_Konektivitas!$A$3:$A$563,AA$3,Input_Konektivitas!$B$3:$B$563,$A34,Input_Konektivitas!$D$3:$D$563,"&gt;0"))=0,"",SUMIFS(Input_Konektivitas!$D$3:$D$563,Input_Konektivitas!$A$3:$A$563,$A34,Input_Konektivitas!$B$3:$B$563,AA$3)+SUMIFS(Input_Konektivitas!$D$3:$D$563,Input_Konektivitas!$A$3:$A$563,AA$3,Input_Konektivitas!$B$3:$B$563,$A34))</f>
        <v>28.33</v>
      </c>
      <c r="AB34" s="27">
        <f>IF((COUNTIFS(Input_Konektivitas!$A$3:$A$563,$A34,Input_Konektivitas!$B$3:$B$563,AB$3,Input_Konektivitas!$D$3:$D$563,"&gt;0")+COUNTIFS(Input_Konektivitas!$A$3:$A$563,AB$3,Input_Konektivitas!$B$3:$B$563,$A34,Input_Konektivitas!$D$3:$D$563,"&gt;0"))=0,"",SUMIFS(Input_Konektivitas!$D$3:$D$563,Input_Konektivitas!$A$3:$A$563,$A34,Input_Konektivitas!$B$3:$B$563,AB$3)+SUMIFS(Input_Konektivitas!$D$3:$D$563,Input_Konektivitas!$A$3:$A$563,AB$3,Input_Konektivitas!$B$3:$B$563,$A34))</f>
        <v>1.75</v>
      </c>
      <c r="AC34" s="27">
        <f>IF((COUNTIFS(Input_Konektivitas!$A$3:$A$563,$A34,Input_Konektivitas!$B$3:$B$563,AC$3,Input_Konektivitas!$D$3:$D$563,"&gt;0")+COUNTIFS(Input_Konektivitas!$A$3:$A$563,AC$3,Input_Konektivitas!$B$3:$B$563,$A34,Input_Konektivitas!$D$3:$D$563,"&gt;0"))=0,"",SUMIFS(Input_Konektivitas!$D$3:$D$563,Input_Konektivitas!$A$3:$A$563,$A34,Input_Konektivitas!$B$3:$B$563,AC$3)+SUMIFS(Input_Konektivitas!$D$3:$D$563,Input_Konektivitas!$A$3:$A$563,AC$3,Input_Konektivitas!$B$3:$B$563,$A34))</f>
        <v>13</v>
      </c>
      <c r="AD34" s="27">
        <f>IF((COUNTIFS(Input_Konektivitas!$A$3:$A$563,$A34,Input_Konektivitas!$B$3:$B$563,AD$3,Input_Konektivitas!$D$3:$D$563,"&gt;0")+COUNTIFS(Input_Konektivitas!$A$3:$A$563,AD$3,Input_Konektivitas!$B$3:$B$563,$A34,Input_Konektivitas!$D$3:$D$563,"&gt;0"))=0,"",SUMIFS(Input_Konektivitas!$D$3:$D$563,Input_Konektivitas!$A$3:$A$563,$A34,Input_Konektivitas!$B$3:$B$563,AD$3)+SUMIFS(Input_Konektivitas!$D$3:$D$563,Input_Konektivitas!$A$3:$A$563,AD$3,Input_Konektivitas!$B$3:$B$563,$A34))</f>
        <v>17.5</v>
      </c>
      <c r="AE34" s="27">
        <f>IF((COUNTIFS(Input_Konektivitas!$A$3:$A$563,$A34,Input_Konektivitas!$B$3:$B$563,AE$3,Input_Konektivitas!$D$3:$D$563,"&gt;0")+COUNTIFS(Input_Konektivitas!$A$3:$A$563,AE$3,Input_Konektivitas!$B$3:$B$563,$A34,Input_Konektivitas!$D$3:$D$563,"&gt;0"))=0,"",SUMIFS(Input_Konektivitas!$D$3:$D$563,Input_Konektivitas!$A$3:$A$563,$A34,Input_Konektivitas!$B$3:$B$563,AE$3)+SUMIFS(Input_Konektivitas!$D$3:$D$563,Input_Konektivitas!$A$3:$A$563,AE$3,Input_Konektivitas!$B$3:$B$563,$A34))</f>
        <v>12.5</v>
      </c>
      <c r="AF34" s="23">
        <v>0.0</v>
      </c>
      <c r="AG34" s="27">
        <f>IF((COUNTIFS(Input_Konektivitas!$A$3:$A$563,$A34,Input_Konektivitas!$B$3:$B$563,AG$3,Input_Konektivitas!$D$3:$D$563,"&gt;0")+COUNTIFS(Input_Konektivitas!$A$3:$A$563,AG$3,Input_Konektivitas!$B$3:$B$563,$A34,Input_Konektivitas!$D$3:$D$563,"&gt;0"))=0,"",SUMIFS(Input_Konektivitas!$D$3:$D$563,Input_Konektivitas!$A$3:$A$563,$A34,Input_Konektivitas!$B$3:$B$563,AG$3)+SUMIFS(Input_Konektivitas!$D$3:$D$563,Input_Konektivitas!$A$3:$A$563,AG$3,Input_Konektivitas!$B$3:$B$563,$A34))</f>
        <v>1.5</v>
      </c>
      <c r="AH34" s="27">
        <f>IF((COUNTIFS(Input_Konektivitas!$A$3:$A$563,$A34,Input_Konektivitas!$B$3:$B$563,AH$3,Input_Konektivitas!$D$3:$D$563,"&gt;0")+COUNTIFS(Input_Konektivitas!$A$3:$A$563,AH$3,Input_Konektivitas!$B$3:$B$563,$A34,Input_Konektivitas!$D$3:$D$563,"&gt;0"))=0,"",SUMIFS(Input_Konektivitas!$D$3:$D$563,Input_Konektivitas!$A$3:$A$563,$A34,Input_Konektivitas!$B$3:$B$563,AH$3)+SUMIFS(Input_Konektivitas!$D$3:$D$563,Input_Konektivitas!$A$3:$A$563,AH$3,Input_Konektivitas!$B$3:$B$563,$A34))</f>
        <v>1.083</v>
      </c>
      <c r="AI34" s="27">
        <f>IF((COUNTIFS(Input_Konektivitas!$A$3:$A$563,$A34,Input_Konektivitas!$B$3:$B$563,AI$3,Input_Konektivitas!$D$3:$D$563,"&gt;0")+COUNTIFS(Input_Konektivitas!$A$3:$A$563,AI$3,Input_Konektivitas!$B$3:$B$563,$A34,Input_Konektivitas!$D$3:$D$563,"&gt;0"))=0,"",SUMIFS(Input_Konektivitas!$D$3:$D$563,Input_Konektivitas!$A$3:$A$563,$A34,Input_Konektivitas!$B$3:$B$563,AI$3)+SUMIFS(Input_Konektivitas!$D$3:$D$563,Input_Konektivitas!$A$3:$A$563,AI$3,Input_Konektivitas!$B$3:$B$563,$A34))</f>
        <v>16.083</v>
      </c>
    </row>
    <row r="35" ht="14.25" customHeight="1">
      <c r="A35" s="22" t="s">
        <v>96</v>
      </c>
      <c r="B35" s="27">
        <f>IF((COUNTIFS(Input_Konektivitas!$A$3:$A$563,$A35,Input_Konektivitas!$B$3:$B$563,B$3,Input_Konektivitas!$D$3:$D$563,"&gt;0")+COUNTIFS(Input_Konektivitas!$A$3:$A$563,B$3,Input_Konektivitas!$B$3:$B$563,$A35,Input_Konektivitas!$D$3:$D$563,"&gt;0"))=0,"",SUMIFS(Input_Konektivitas!$D$3:$D$563,Input_Konektivitas!$A$3:$A$563,$A35,Input_Konektivitas!$B$3:$B$563,B$3)+SUMIFS(Input_Konektivitas!$D$3:$D$563,Input_Konektivitas!$A$3:$A$563,B$3,Input_Konektivitas!$B$3:$B$563,$A35))</f>
        <v>13.41667</v>
      </c>
      <c r="C35" s="27">
        <f>IF((COUNTIFS(Input_Konektivitas!$A$3:$A$563,$A35,Input_Konektivitas!$B$3:$B$563,C$3,Input_Konektivitas!$D$3:$D$563,"&gt;0")+COUNTIFS(Input_Konektivitas!$A$3:$A$563,C$3,Input_Konektivitas!$B$3:$B$563,$A35,Input_Konektivitas!$D$3:$D$563,"&gt;0"))=0,"",SUMIFS(Input_Konektivitas!$D$3:$D$563,Input_Konektivitas!$A$3:$A$563,$A35,Input_Konektivitas!$B$3:$B$563,C$3)+SUMIFS(Input_Konektivitas!$D$3:$D$563,Input_Konektivitas!$A$3:$A$563,C$3,Input_Konektivitas!$B$3:$B$563,$A35))</f>
        <v>9.25</v>
      </c>
      <c r="D35" s="27">
        <f>IF((COUNTIFS(Input_Konektivitas!$A$3:$A$563,$A35,Input_Konektivitas!$B$3:$B$563,D$3,Input_Konektivitas!$D$3:$D$563,"&gt;0")+COUNTIFS(Input_Konektivitas!$A$3:$A$563,D$3,Input_Konektivitas!$B$3:$B$563,$A35,Input_Konektivitas!$D$3:$D$563,"&gt;0"))=0,"",SUMIFS(Input_Konektivitas!$D$3:$D$563,Input_Konektivitas!$A$3:$A$563,$A35,Input_Konektivitas!$B$3:$B$563,D$3)+SUMIFS(Input_Konektivitas!$D$3:$D$563,Input_Konektivitas!$A$3:$A$563,D$3,Input_Konektivitas!$B$3:$B$563,$A35))</f>
        <v>10.5</v>
      </c>
      <c r="E35" s="27">
        <f>IF((COUNTIFS(Input_Konektivitas!$A$3:$A$563,$A35,Input_Konektivitas!$B$3:$B$563,E$3,Input_Konektivitas!$D$3:$D$563,"&gt;0")+COUNTIFS(Input_Konektivitas!$A$3:$A$563,E$3,Input_Konektivitas!$B$3:$B$563,$A35,Input_Konektivitas!$D$3:$D$563,"&gt;0"))=0,"",SUMIFS(Input_Konektivitas!$D$3:$D$563,Input_Konektivitas!$A$3:$A$563,$A35,Input_Konektivitas!$B$3:$B$563,E$3)+SUMIFS(Input_Konektivitas!$D$3:$D$563,Input_Konektivitas!$A$3:$A$563,E$3,Input_Konektivitas!$B$3:$B$563,$A35))</f>
        <v>11</v>
      </c>
      <c r="F35" s="27">
        <f>IF((COUNTIFS(Input_Konektivitas!$A$3:$A$563,$A35,Input_Konektivitas!$B$3:$B$563,F$3,Input_Konektivitas!$D$3:$D$563,"&gt;0")+COUNTIFS(Input_Konektivitas!$A$3:$A$563,F$3,Input_Konektivitas!$B$3:$B$563,$A35,Input_Konektivitas!$D$3:$D$563,"&gt;0"))=0,"",SUMIFS(Input_Konektivitas!$D$3:$D$563,Input_Konektivitas!$A$3:$A$563,$A35,Input_Konektivitas!$B$3:$B$563,F$3)+SUMIFS(Input_Konektivitas!$D$3:$D$563,Input_Konektivitas!$A$3:$A$563,F$3,Input_Konektivitas!$B$3:$B$563,$A35))</f>
        <v>10.83</v>
      </c>
      <c r="G35" s="27">
        <f>IF((COUNTIFS(Input_Konektivitas!$A$3:$A$563,$A35,Input_Konektivitas!$B$3:$B$563,G$3,Input_Konektivitas!$D$3:$D$563,"&gt;0")+COUNTIFS(Input_Konektivitas!$A$3:$A$563,G$3,Input_Konektivitas!$B$3:$B$563,$A35,Input_Konektivitas!$D$3:$D$563,"&gt;0"))=0,"",SUMIFS(Input_Konektivitas!$D$3:$D$563,Input_Konektivitas!$A$3:$A$563,$A35,Input_Konektivitas!$B$3:$B$563,G$3)+SUMIFS(Input_Konektivitas!$D$3:$D$563,Input_Konektivitas!$A$3:$A$563,G$3,Input_Konektivitas!$B$3:$B$563,$A35))</f>
        <v>10.67</v>
      </c>
      <c r="H35" s="27">
        <f>IF((COUNTIFS(Input_Konektivitas!$A$3:$A$563,$A35,Input_Konektivitas!$B$3:$B$563,H$3,Input_Konektivitas!$D$3:$D$563,"&gt;0")+COUNTIFS(Input_Konektivitas!$A$3:$A$563,H$3,Input_Konektivitas!$B$3:$B$563,$A35,Input_Konektivitas!$D$3:$D$563,"&gt;0"))=0,"",SUMIFS(Input_Konektivitas!$D$3:$D$563,Input_Konektivitas!$A$3:$A$563,$A35,Input_Konektivitas!$B$3:$B$563,H$3)+SUMIFS(Input_Konektivitas!$D$3:$D$563,Input_Konektivitas!$A$3:$A$563,H$3,Input_Konektivitas!$B$3:$B$563,$A35))</f>
        <v>11.08</v>
      </c>
      <c r="I35" s="27">
        <f>IF((COUNTIFS(Input_Konektivitas!$A$3:$A$563,$A35,Input_Konektivitas!$B$3:$B$563,I$3,Input_Konektivitas!$D$3:$D$563,"&gt;0")+COUNTIFS(Input_Konektivitas!$A$3:$A$563,I$3,Input_Konektivitas!$B$3:$B$563,$A35,Input_Konektivitas!$D$3:$D$563,"&gt;0"))=0,"",SUMIFS(Input_Konektivitas!$D$3:$D$563,Input_Konektivitas!$A$3:$A$563,$A35,Input_Konektivitas!$B$3:$B$563,I$3)+SUMIFS(Input_Konektivitas!$D$3:$D$563,Input_Konektivitas!$A$3:$A$563,I$3,Input_Konektivitas!$B$3:$B$563,$A35))</f>
        <v>14.92</v>
      </c>
      <c r="J35" s="27">
        <f>IF((COUNTIFS(Input_Konektivitas!$A$3:$A$563,$A35,Input_Konektivitas!$B$3:$B$563,J$3,Input_Konektivitas!$D$3:$D$563,"&gt;0")+COUNTIFS(Input_Konektivitas!$A$3:$A$563,J$3,Input_Konektivitas!$B$3:$B$563,$A35,Input_Konektivitas!$D$3:$D$563,"&gt;0"))=0,"",SUMIFS(Input_Konektivitas!$D$3:$D$563,Input_Konektivitas!$A$3:$A$563,$A35,Input_Konektivitas!$B$3:$B$563,J$3)+SUMIFS(Input_Konektivitas!$D$3:$D$563,Input_Konektivitas!$A$3:$A$563,J$3,Input_Konektivitas!$B$3:$B$563,$A35))</f>
        <v>13</v>
      </c>
      <c r="K35" s="27">
        <f>IF((COUNTIFS(Input_Konektivitas!$A$3:$A$563,$A35,Input_Konektivitas!$B$3:$B$563,K$3,Input_Konektivitas!$D$3:$D$563,"&gt;0")+COUNTIFS(Input_Konektivitas!$A$3:$A$563,K$3,Input_Konektivitas!$B$3:$B$563,$A35,Input_Konektivitas!$D$3:$D$563,"&gt;0"))=0,"",SUMIFS(Input_Konektivitas!$D$3:$D$563,Input_Konektivitas!$A$3:$A$563,$A35,Input_Konektivitas!$B$3:$B$563,K$3)+SUMIFS(Input_Konektivitas!$D$3:$D$563,Input_Konektivitas!$A$3:$A$563,K$3,Input_Konektivitas!$B$3:$B$563,$A35))</f>
        <v>10.8333</v>
      </c>
      <c r="L35" s="27">
        <f>IF((COUNTIFS(Input_Konektivitas!$A$3:$A$563,$A35,Input_Konektivitas!$B$3:$B$563,L$3,Input_Konektivitas!$D$3:$D$563,"&gt;0")+COUNTIFS(Input_Konektivitas!$A$3:$A$563,L$3,Input_Konektivitas!$B$3:$B$563,$A35,Input_Konektivitas!$D$3:$D$563,"&gt;0"))=0,"",SUMIFS(Input_Konektivitas!$D$3:$D$563,Input_Konektivitas!$A$3:$A$563,$A35,Input_Konektivitas!$B$3:$B$563,L$3)+SUMIFS(Input_Konektivitas!$D$3:$D$563,Input_Konektivitas!$A$3:$A$563,L$3,Input_Konektivitas!$B$3:$B$563,$A35))</f>
        <v>3.67</v>
      </c>
      <c r="M35" s="27">
        <f>IF((COUNTIFS(Input_Konektivitas!$A$3:$A$563,$A35,Input_Konektivitas!$B$3:$B$563,M$3,Input_Konektivitas!$D$3:$D$563,"&gt;0")+COUNTIFS(Input_Konektivitas!$A$3:$A$563,M$3,Input_Konektivitas!$B$3:$B$563,$A35,Input_Konektivitas!$D$3:$D$563,"&gt;0"))=0,"",SUMIFS(Input_Konektivitas!$D$3:$D$563,Input_Konektivitas!$A$3:$A$563,$A35,Input_Konektivitas!$B$3:$B$563,M$3)+SUMIFS(Input_Konektivitas!$D$3:$D$563,Input_Konektivitas!$A$3:$A$563,M$3,Input_Konektivitas!$B$3:$B$563,$A35))</f>
        <v>15.92</v>
      </c>
      <c r="N35" s="27">
        <f>IF((COUNTIFS(Input_Konektivitas!$A$3:$A$563,$A35,Input_Konektivitas!$B$3:$B$563,N$3,Input_Konektivitas!$D$3:$D$563,"&gt;0")+COUNTIFS(Input_Konektivitas!$A$3:$A$563,N$3,Input_Konektivitas!$B$3:$B$563,$A35,Input_Konektivitas!$D$3:$D$563,"&gt;0"))=0,"",SUMIFS(Input_Konektivitas!$D$3:$D$563,Input_Konektivitas!$A$3:$A$563,$A35,Input_Konektivitas!$B$3:$B$563,N$3)+SUMIFS(Input_Konektivitas!$D$3:$D$563,Input_Konektivitas!$A$3:$A$563,N$3,Input_Konektivitas!$B$3:$B$563,$A35))</f>
        <v>9.92</v>
      </c>
      <c r="O35" s="27">
        <f>IF((COUNTIFS(Input_Konektivitas!$A$3:$A$563,$A35,Input_Konektivitas!$B$3:$B$563,O$3,Input_Konektivitas!$D$3:$D$563,"&gt;0")+COUNTIFS(Input_Konektivitas!$A$3:$A$563,O$3,Input_Konektivitas!$B$3:$B$563,$A35,Input_Konektivitas!$D$3:$D$563,"&gt;0"))=0,"",SUMIFS(Input_Konektivitas!$D$3:$D$563,Input_Konektivitas!$A$3:$A$563,$A35,Input_Konektivitas!$B$3:$B$563,O$3)+SUMIFS(Input_Konektivitas!$D$3:$D$563,Input_Konektivitas!$A$3:$A$563,O$3,Input_Konektivitas!$B$3:$B$563,$A35))</f>
        <v>6.83</v>
      </c>
      <c r="P35" s="27">
        <f>IF((COUNTIFS(Input_Konektivitas!$A$3:$A$563,$A35,Input_Konektivitas!$B$3:$B$563,P$3,Input_Konektivitas!$D$3:$D$563,"&gt;0")+COUNTIFS(Input_Konektivitas!$A$3:$A$563,P$3,Input_Konektivitas!$B$3:$B$563,$A35,Input_Konektivitas!$D$3:$D$563,"&gt;0"))=0,"",SUMIFS(Input_Konektivitas!$D$3:$D$563,Input_Konektivitas!$A$3:$A$563,$A35,Input_Konektivitas!$B$3:$B$563,P$3)+SUMIFS(Input_Konektivitas!$D$3:$D$563,Input_Konektivitas!$A$3:$A$563,P$3,Input_Konektivitas!$B$3:$B$563,$A35))</f>
        <v>2.9166</v>
      </c>
      <c r="Q35" s="27" t="str">
        <f>IF((COUNTIFS(Input_Konektivitas!$A$3:$A$563,$A35,Input_Konektivitas!$B$3:$B$563,Q$3,Input_Konektivitas!$D$3:$D$563,"&gt;0")+COUNTIFS(Input_Konektivitas!$A$3:$A$563,Q$3,Input_Konektivitas!$B$3:$B$563,$A35,Input_Konektivitas!$D$3:$D$563,"&gt;0"))=0,"",SUMIFS(Input_Konektivitas!$D$3:$D$563,Input_Konektivitas!$A$3:$A$563,$A35,Input_Konektivitas!$B$3:$B$563,Q$3)+SUMIFS(Input_Konektivitas!$D$3:$D$563,Input_Konektivitas!$A$3:$A$563,Q$3,Input_Konektivitas!$B$3:$B$563,$A35))</f>
        <v/>
      </c>
      <c r="R35" s="27">
        <f>IF((COUNTIFS(Input_Konektivitas!$A$3:$A$563,$A35,Input_Konektivitas!$B$3:$B$563,R$3,Input_Konektivitas!$D$3:$D$563,"&gt;0")+COUNTIFS(Input_Konektivitas!$A$3:$A$563,R$3,Input_Konektivitas!$B$3:$B$563,$A35,Input_Konektivitas!$D$3:$D$563,"&gt;0"))=0,"",SUMIFS(Input_Konektivitas!$D$3:$D$563,Input_Konektivitas!$A$3:$A$563,$A35,Input_Konektivitas!$B$3:$B$563,R$3)+SUMIFS(Input_Konektivitas!$D$3:$D$563,Input_Konektivitas!$A$3:$A$563,R$3,Input_Konektivitas!$B$3:$B$563,$A35))</f>
        <v>5.833</v>
      </c>
      <c r="S35" s="27">
        <f>IF((COUNTIFS(Input_Konektivitas!$A$3:$A$563,$A35,Input_Konektivitas!$B$3:$B$563,S$3,Input_Konektivitas!$D$3:$D$563,"&gt;0")+COUNTIFS(Input_Konektivitas!$A$3:$A$563,S$3,Input_Konektivitas!$B$3:$B$563,$A35,Input_Konektivitas!$D$3:$D$563,"&gt;0"))=0,"",SUMIFS(Input_Konektivitas!$D$3:$D$563,Input_Konektivitas!$A$3:$A$563,$A35,Input_Konektivitas!$B$3:$B$563,S$3)+SUMIFS(Input_Konektivitas!$D$3:$D$563,Input_Konektivitas!$A$3:$A$563,S$3,Input_Konektivitas!$B$3:$B$563,$A35))</f>
        <v>9.33</v>
      </c>
      <c r="T35" s="27">
        <f>IF((COUNTIFS(Input_Konektivitas!$A$3:$A$563,$A35,Input_Konektivitas!$B$3:$B$563,T$3,Input_Konektivitas!$D$3:$D$563,"&gt;0")+COUNTIFS(Input_Konektivitas!$A$3:$A$563,T$3,Input_Konektivitas!$B$3:$B$563,$A35,Input_Konektivitas!$D$3:$D$563,"&gt;0"))=0,"",SUMIFS(Input_Konektivitas!$D$3:$D$563,Input_Konektivitas!$A$3:$A$563,$A35,Input_Konektivitas!$B$3:$B$563,T$3)+SUMIFS(Input_Konektivitas!$D$3:$D$563,Input_Konektivitas!$A$3:$A$563,T$3,Input_Konektivitas!$B$3:$B$563,$A35))</f>
        <v>5.25</v>
      </c>
      <c r="U35" s="27">
        <f>IF((COUNTIFS(Input_Konektivitas!$A$3:$A$563,$A35,Input_Konektivitas!$B$3:$B$563,U$3,Input_Konektivitas!$D$3:$D$563,"&gt;0")+COUNTIFS(Input_Konektivitas!$A$3:$A$563,U$3,Input_Konektivitas!$B$3:$B$563,$A35,Input_Konektivitas!$D$3:$D$563,"&gt;0"))=0,"",SUMIFS(Input_Konektivitas!$D$3:$D$563,Input_Konektivitas!$A$3:$A$563,$A35,Input_Konektivitas!$B$3:$B$563,U$3)+SUMIFS(Input_Konektivitas!$D$3:$D$563,Input_Konektivitas!$A$3:$A$563,U$3,Input_Konektivitas!$B$3:$B$563,$A35))</f>
        <v>10.75</v>
      </c>
      <c r="V35" s="27">
        <f>IF((COUNTIFS(Input_Konektivitas!$A$3:$A$563,$A35,Input_Konektivitas!$B$3:$B$563,V$3,Input_Konektivitas!$D$3:$D$563,"&gt;0")+COUNTIFS(Input_Konektivitas!$A$3:$A$563,V$3,Input_Konektivitas!$B$3:$B$563,$A35,Input_Konektivitas!$D$3:$D$563,"&gt;0"))=0,"",SUMIFS(Input_Konektivitas!$D$3:$D$563,Input_Konektivitas!$A$3:$A$563,$A35,Input_Konektivitas!$B$3:$B$563,V$3)+SUMIFS(Input_Konektivitas!$D$3:$D$563,Input_Konektivitas!$A$3:$A$563,V$3,Input_Konektivitas!$B$3:$B$563,$A35))</f>
        <v>14.75</v>
      </c>
      <c r="W35" s="27">
        <f>IF((COUNTIFS(Input_Konektivitas!$A$3:$A$563,$A35,Input_Konektivitas!$B$3:$B$563,W$3,Input_Konektivitas!$D$3:$D$563,"&gt;0")+COUNTIFS(Input_Konektivitas!$A$3:$A$563,W$3,Input_Konektivitas!$B$3:$B$563,$A35,Input_Konektivitas!$D$3:$D$563,"&gt;0"))=0,"",SUMIFS(Input_Konektivitas!$D$3:$D$563,Input_Konektivitas!$A$3:$A$563,$A35,Input_Konektivitas!$B$3:$B$563,W$3)+SUMIFS(Input_Konektivitas!$D$3:$D$563,Input_Konektivitas!$A$3:$A$563,W$3,Input_Konektivitas!$B$3:$B$563,$A35))</f>
        <v>9.416</v>
      </c>
      <c r="X35" s="27">
        <f>IF((COUNTIFS(Input_Konektivitas!$A$3:$A$563,$A35,Input_Konektivitas!$B$3:$B$563,X$3,Input_Konektivitas!$D$3:$D$563,"&gt;0")+COUNTIFS(Input_Konektivitas!$A$3:$A$563,X$3,Input_Konektivitas!$B$3:$B$563,$A35,Input_Konektivitas!$D$3:$D$563,"&gt;0"))=0,"",SUMIFS(Input_Konektivitas!$D$3:$D$563,Input_Konektivitas!$A$3:$A$563,$A35,Input_Konektivitas!$B$3:$B$563,X$3)+SUMIFS(Input_Konektivitas!$D$3:$D$563,Input_Konektivitas!$A$3:$A$563,X$3,Input_Konektivitas!$B$3:$B$563,$A35))</f>
        <v>11.25</v>
      </c>
      <c r="Y35" s="27">
        <f>IF((COUNTIFS(Input_Konektivitas!$A$3:$A$563,$A35,Input_Konektivitas!$B$3:$B$563,Y$3,Input_Konektivitas!$D$3:$D$563,"&gt;0")+COUNTIFS(Input_Konektivitas!$A$3:$A$563,Y$3,Input_Konektivitas!$B$3:$B$563,$A35,Input_Konektivitas!$D$3:$D$563,"&gt;0"))=0,"",SUMIFS(Input_Konektivitas!$D$3:$D$563,Input_Konektivitas!$A$3:$A$563,$A35,Input_Konektivitas!$B$3:$B$563,Y$3)+SUMIFS(Input_Konektivitas!$D$3:$D$563,Input_Konektivitas!$A$3:$A$563,Y$3,Input_Konektivitas!$B$3:$B$563,$A35))</f>
        <v>11.833</v>
      </c>
      <c r="Z35" s="27">
        <f>IF((COUNTIFS(Input_Konektivitas!$A$3:$A$563,$A35,Input_Konektivitas!$B$3:$B$563,Z$3,Input_Konektivitas!$D$3:$D$563,"&gt;0")+COUNTIFS(Input_Konektivitas!$A$3:$A$563,Z$3,Input_Konektivitas!$B$3:$B$563,$A35,Input_Konektivitas!$D$3:$D$563,"&gt;0"))=0,"",SUMIFS(Input_Konektivitas!$D$3:$D$563,Input_Konektivitas!$A$3:$A$563,$A35,Input_Konektivitas!$B$3:$B$563,Z$3)+SUMIFS(Input_Konektivitas!$D$3:$D$563,Input_Konektivitas!$A$3:$A$563,Z$3,Input_Konektivitas!$B$3:$B$563,$A35))</f>
        <v>0.833</v>
      </c>
      <c r="AA35" s="27">
        <f>IF((COUNTIFS(Input_Konektivitas!$A$3:$A$563,$A35,Input_Konektivitas!$B$3:$B$563,AA$3,Input_Konektivitas!$D$3:$D$563,"&gt;0")+COUNTIFS(Input_Konektivitas!$A$3:$A$563,AA$3,Input_Konektivitas!$B$3:$B$563,$A35,Input_Konektivitas!$D$3:$D$563,"&gt;0"))=0,"",SUMIFS(Input_Konektivitas!$D$3:$D$563,Input_Konektivitas!$A$3:$A$563,$A35,Input_Konektivitas!$B$3:$B$563,AA$3)+SUMIFS(Input_Konektivitas!$D$3:$D$563,Input_Konektivitas!$A$3:$A$563,AA$3,Input_Konektivitas!$B$3:$B$563,$A35))</f>
        <v>4.33</v>
      </c>
      <c r="AB35" s="27">
        <f>IF((COUNTIFS(Input_Konektivitas!$A$3:$A$563,$A35,Input_Konektivitas!$B$3:$B$563,AB$3,Input_Konektivitas!$D$3:$D$563,"&gt;0")+COUNTIFS(Input_Konektivitas!$A$3:$A$563,AB$3,Input_Konektivitas!$B$3:$B$563,$A35,Input_Konektivitas!$D$3:$D$563,"&gt;0"))=0,"",SUMIFS(Input_Konektivitas!$D$3:$D$563,Input_Konektivitas!$A$3:$A$563,$A35,Input_Konektivitas!$B$3:$B$563,AB$3)+SUMIFS(Input_Konektivitas!$D$3:$D$563,Input_Konektivitas!$A$3:$A$563,AB$3,Input_Konektivitas!$B$3:$B$563,$A35))</f>
        <v>1.9166</v>
      </c>
      <c r="AC35" s="27">
        <f>IF((COUNTIFS(Input_Konektivitas!$A$3:$A$563,$A35,Input_Konektivitas!$B$3:$B$563,AC$3,Input_Konektivitas!$D$3:$D$563,"&gt;0")+COUNTIFS(Input_Konektivitas!$A$3:$A$563,AC$3,Input_Konektivitas!$B$3:$B$563,$A35,Input_Konektivitas!$D$3:$D$563,"&gt;0"))=0,"",SUMIFS(Input_Konektivitas!$D$3:$D$563,Input_Konektivitas!$A$3:$A$563,$A35,Input_Konektivitas!$B$3:$B$563,AC$3)+SUMIFS(Input_Konektivitas!$D$3:$D$563,Input_Konektivitas!$A$3:$A$563,AC$3,Input_Konektivitas!$B$3:$B$563,$A35))</f>
        <v>3.583</v>
      </c>
      <c r="AD35" s="27">
        <f>IF((COUNTIFS(Input_Konektivitas!$A$3:$A$563,$A35,Input_Konektivitas!$B$3:$B$563,AD$3,Input_Konektivitas!$D$3:$D$563,"&gt;0")+COUNTIFS(Input_Konektivitas!$A$3:$A$563,AD$3,Input_Konektivitas!$B$3:$B$563,$A35,Input_Konektivitas!$D$3:$D$563,"&gt;0"))=0,"",SUMIFS(Input_Konektivitas!$D$3:$D$563,Input_Konektivitas!$A$3:$A$563,$A35,Input_Konektivitas!$B$3:$B$563,AD$3)+SUMIFS(Input_Konektivitas!$D$3:$D$563,Input_Konektivitas!$A$3:$A$563,AD$3,Input_Konektivitas!$B$3:$B$563,$A35))</f>
        <v>20.33</v>
      </c>
      <c r="AE35" s="27">
        <f>IF((COUNTIFS(Input_Konektivitas!$A$3:$A$563,$A35,Input_Konektivitas!$B$3:$B$563,AE$3,Input_Konektivitas!$D$3:$D$563,"&gt;0")+COUNTIFS(Input_Konektivitas!$A$3:$A$563,AE$3,Input_Konektivitas!$B$3:$B$563,$A35,Input_Konektivitas!$D$3:$D$563,"&gt;0"))=0,"",SUMIFS(Input_Konektivitas!$D$3:$D$563,Input_Konektivitas!$A$3:$A$563,$A35,Input_Konektivitas!$B$3:$B$563,AE$3)+SUMIFS(Input_Konektivitas!$D$3:$D$563,Input_Konektivitas!$A$3:$A$563,AE$3,Input_Konektivitas!$B$3:$B$563,$A35))</f>
        <v>8.4166</v>
      </c>
      <c r="AF35" s="27">
        <f>IF((COUNTIFS(Input_Konektivitas!$A$3:$A$563,$A35,Input_Konektivitas!$B$3:$B$563,AF$3,Input_Konektivitas!$D$3:$D$563,"&gt;0")+COUNTIFS(Input_Konektivitas!$A$3:$A$563,AF$3,Input_Konektivitas!$B$3:$B$563,$A35,Input_Konektivitas!$D$3:$D$563,"&gt;0"))=0,"",SUMIFS(Input_Konektivitas!$D$3:$D$563,Input_Konektivitas!$A$3:$A$563,$A35,Input_Konektivitas!$B$3:$B$563,AF$3)+SUMIFS(Input_Konektivitas!$D$3:$D$563,Input_Konektivitas!$A$3:$A$563,AF$3,Input_Konektivitas!$B$3:$B$563,$A35))</f>
        <v>1.5</v>
      </c>
      <c r="AG35" s="23">
        <v>0.0</v>
      </c>
      <c r="AH35" s="27">
        <f>IF((COUNTIFS(Input_Konektivitas!$A$3:$A$563,$A35,Input_Konektivitas!$B$3:$B$563,AH$3,Input_Konektivitas!$D$3:$D$563,"&gt;0")+COUNTIFS(Input_Konektivitas!$A$3:$A$563,AH$3,Input_Konektivitas!$B$3:$B$563,$A35,Input_Konektivitas!$D$3:$D$563,"&gt;0"))=0,"",SUMIFS(Input_Konektivitas!$D$3:$D$563,Input_Konektivitas!$A$3:$A$563,$A35,Input_Konektivitas!$B$3:$B$563,AH$3)+SUMIFS(Input_Konektivitas!$D$3:$D$563,Input_Konektivitas!$A$3:$A$563,AH$3,Input_Konektivitas!$B$3:$B$563,$A35))</f>
        <v>20.4166</v>
      </c>
      <c r="AI35" s="27">
        <f>IF((COUNTIFS(Input_Konektivitas!$A$3:$A$563,$A35,Input_Konektivitas!$B$3:$B$563,AI$3,Input_Konektivitas!$D$3:$D$563,"&gt;0")+COUNTIFS(Input_Konektivitas!$A$3:$A$563,AI$3,Input_Konektivitas!$B$3:$B$563,$A35,Input_Konektivitas!$D$3:$D$563,"&gt;0"))=0,"",SUMIFS(Input_Konektivitas!$D$3:$D$563,Input_Konektivitas!$A$3:$A$563,$A35,Input_Konektivitas!$B$3:$B$563,AI$3)+SUMIFS(Input_Konektivitas!$D$3:$D$563,Input_Konektivitas!$A$3:$A$563,AI$3,Input_Konektivitas!$B$3:$B$563,$A35))</f>
        <v>17.5833</v>
      </c>
    </row>
    <row r="36" ht="14.25" customHeight="1">
      <c r="A36" s="22" t="s">
        <v>98</v>
      </c>
      <c r="B36" s="27">
        <f>IF((COUNTIFS(Input_Konektivitas!$A$3:$A$563,$A36,Input_Konektivitas!$B$3:$B$563,B$3,Input_Konektivitas!$D$3:$D$563,"&gt;0")+COUNTIFS(Input_Konektivitas!$A$3:$A$563,B$3,Input_Konektivitas!$B$3:$B$563,$A36,Input_Konektivitas!$D$3:$D$563,"&gt;0"))=0,"",SUMIFS(Input_Konektivitas!$D$3:$D$563,Input_Konektivitas!$A$3:$A$563,$A36,Input_Konektivitas!$B$3:$B$563,B$3)+SUMIFS(Input_Konektivitas!$D$3:$D$563,Input_Konektivitas!$A$3:$A$563,B$3,Input_Konektivitas!$B$3:$B$563,$A36))</f>
        <v>12.42</v>
      </c>
      <c r="C36" s="27">
        <f>IF((COUNTIFS(Input_Konektivitas!$A$3:$A$563,$A36,Input_Konektivitas!$B$3:$B$563,C$3,Input_Konektivitas!$D$3:$D$563,"&gt;0")+COUNTIFS(Input_Konektivitas!$A$3:$A$563,C$3,Input_Konektivitas!$B$3:$B$563,$A36,Input_Konektivitas!$D$3:$D$563,"&gt;0"))=0,"",SUMIFS(Input_Konektivitas!$D$3:$D$563,Input_Konektivitas!$A$3:$A$563,$A36,Input_Konektivitas!$B$3:$B$563,C$3)+SUMIFS(Input_Konektivitas!$D$3:$D$563,Input_Konektivitas!$A$3:$A$563,C$3,Input_Konektivitas!$B$3:$B$563,$A36))</f>
        <v>8.5</v>
      </c>
      <c r="D36" s="27">
        <f>IF((COUNTIFS(Input_Konektivitas!$A$3:$A$563,$A36,Input_Konektivitas!$B$3:$B$563,D$3,Input_Konektivitas!$D$3:$D$563,"&gt;0")+COUNTIFS(Input_Konektivitas!$A$3:$A$563,D$3,Input_Konektivitas!$B$3:$B$563,$A36,Input_Konektivitas!$D$3:$D$563,"&gt;0"))=0,"",SUMIFS(Input_Konektivitas!$D$3:$D$563,Input_Konektivitas!$A$3:$A$563,$A36,Input_Konektivitas!$B$3:$B$563,D$3)+SUMIFS(Input_Konektivitas!$D$3:$D$563,Input_Konektivitas!$A$3:$A$563,D$3,Input_Konektivitas!$B$3:$B$563,$A36))</f>
        <v>8.92</v>
      </c>
      <c r="E36" s="27">
        <f>IF((COUNTIFS(Input_Konektivitas!$A$3:$A$563,$A36,Input_Konektivitas!$B$3:$B$563,E$3,Input_Konektivitas!$D$3:$D$563,"&gt;0")+COUNTIFS(Input_Konektivitas!$A$3:$A$563,E$3,Input_Konektivitas!$B$3:$B$563,$A36,Input_Konektivitas!$D$3:$D$563,"&gt;0"))=0,"",SUMIFS(Input_Konektivitas!$D$3:$D$563,Input_Konektivitas!$A$3:$A$563,$A36,Input_Konektivitas!$B$3:$B$563,E$3)+SUMIFS(Input_Konektivitas!$D$3:$D$563,Input_Konektivitas!$A$3:$A$563,E$3,Input_Konektivitas!$B$3:$B$563,$A36))</f>
        <v>10.58</v>
      </c>
      <c r="F36" s="27">
        <f>IF((COUNTIFS(Input_Konektivitas!$A$3:$A$563,$A36,Input_Konektivitas!$B$3:$B$563,F$3,Input_Konektivitas!$D$3:$D$563,"&gt;0")+COUNTIFS(Input_Konektivitas!$A$3:$A$563,F$3,Input_Konektivitas!$B$3:$B$563,$A36,Input_Konektivitas!$D$3:$D$563,"&gt;0"))=0,"",SUMIFS(Input_Konektivitas!$D$3:$D$563,Input_Konektivitas!$A$3:$A$563,$A36,Input_Konektivitas!$B$3:$B$563,F$3)+SUMIFS(Input_Konektivitas!$D$3:$D$563,Input_Konektivitas!$A$3:$A$563,F$3,Input_Konektivitas!$B$3:$B$563,$A36))</f>
        <v>9.75</v>
      </c>
      <c r="G36" s="27">
        <f>IF((COUNTIFS(Input_Konektivitas!$A$3:$A$563,$A36,Input_Konektivitas!$B$3:$B$563,G$3,Input_Konektivitas!$D$3:$D$563,"&gt;0")+COUNTIFS(Input_Konektivitas!$A$3:$A$563,G$3,Input_Konektivitas!$B$3:$B$563,$A36,Input_Konektivitas!$D$3:$D$563,"&gt;0"))=0,"",SUMIFS(Input_Konektivitas!$D$3:$D$563,Input_Konektivitas!$A$3:$A$563,$A36,Input_Konektivitas!$B$3:$B$563,G$3)+SUMIFS(Input_Konektivitas!$D$3:$D$563,Input_Konektivitas!$A$3:$A$563,G$3,Input_Konektivitas!$B$3:$B$563,$A36))</f>
        <v>9.92</v>
      </c>
      <c r="H36" s="27">
        <f>IF((COUNTIFS(Input_Konektivitas!$A$3:$A$563,$A36,Input_Konektivitas!$B$3:$B$563,H$3,Input_Konektivitas!$D$3:$D$563,"&gt;0")+COUNTIFS(Input_Konektivitas!$A$3:$A$563,H$3,Input_Konektivitas!$B$3:$B$563,$A36,Input_Konektivitas!$D$3:$D$563,"&gt;0"))=0,"",SUMIFS(Input_Konektivitas!$D$3:$D$563,Input_Konektivitas!$A$3:$A$563,$A36,Input_Konektivitas!$B$3:$B$563,H$3)+SUMIFS(Input_Konektivitas!$D$3:$D$563,Input_Konektivitas!$A$3:$A$563,H$3,Input_Konektivitas!$B$3:$B$563,$A36))</f>
        <v>12.75</v>
      </c>
      <c r="I36" s="27">
        <f>IF((COUNTIFS(Input_Konektivitas!$A$3:$A$563,$A36,Input_Konektivitas!$B$3:$B$563,I$3,Input_Konektivitas!$D$3:$D$563,"&gt;0")+COUNTIFS(Input_Konektivitas!$A$3:$A$563,I$3,Input_Konektivitas!$B$3:$B$563,$A36,Input_Konektivitas!$D$3:$D$563,"&gt;0"))=0,"",SUMIFS(Input_Konektivitas!$D$3:$D$563,Input_Konektivitas!$A$3:$A$563,$A36,Input_Konektivitas!$B$3:$B$563,I$3)+SUMIFS(Input_Konektivitas!$D$3:$D$563,Input_Konektivitas!$A$3:$A$563,I$3,Input_Konektivitas!$B$3:$B$563,$A36))</f>
        <v>6</v>
      </c>
      <c r="J36" s="27">
        <f>IF((COUNTIFS(Input_Konektivitas!$A$3:$A$563,$A36,Input_Konektivitas!$B$3:$B$563,J$3,Input_Konektivitas!$D$3:$D$563,"&gt;0")+COUNTIFS(Input_Konektivitas!$A$3:$A$563,J$3,Input_Konektivitas!$B$3:$B$563,$A36,Input_Konektivitas!$D$3:$D$563,"&gt;0"))=0,"",SUMIFS(Input_Konektivitas!$D$3:$D$563,Input_Konektivitas!$A$3:$A$563,$A36,Input_Konektivitas!$B$3:$B$563,J$3)+SUMIFS(Input_Konektivitas!$D$3:$D$563,Input_Konektivitas!$A$3:$A$563,J$3,Input_Konektivitas!$B$3:$B$563,$A36))</f>
        <v>11.42</v>
      </c>
      <c r="K36" s="27">
        <f>IF((COUNTIFS(Input_Konektivitas!$A$3:$A$563,$A36,Input_Konektivitas!$B$3:$B$563,K$3,Input_Konektivitas!$D$3:$D$563,"&gt;0")+COUNTIFS(Input_Konektivitas!$A$3:$A$563,K$3,Input_Konektivitas!$B$3:$B$563,$A36,Input_Konektivitas!$D$3:$D$563,"&gt;0"))=0,"",SUMIFS(Input_Konektivitas!$D$3:$D$563,Input_Konektivitas!$A$3:$A$563,$A36,Input_Konektivitas!$B$3:$B$563,K$3)+SUMIFS(Input_Konektivitas!$D$3:$D$563,Input_Konektivitas!$A$3:$A$563,K$3,Input_Konektivitas!$B$3:$B$563,$A36))</f>
        <v>10.6677</v>
      </c>
      <c r="L36" s="27">
        <f>IF((COUNTIFS(Input_Konektivitas!$A$3:$A$563,$A36,Input_Konektivitas!$B$3:$B$563,L$3,Input_Konektivitas!$D$3:$D$563,"&gt;0")+COUNTIFS(Input_Konektivitas!$A$3:$A$563,L$3,Input_Konektivitas!$B$3:$B$563,$A36,Input_Konektivitas!$D$3:$D$563,"&gt;0"))=0,"",SUMIFS(Input_Konektivitas!$D$3:$D$563,Input_Konektivitas!$A$3:$A$563,$A36,Input_Konektivitas!$B$3:$B$563,L$3)+SUMIFS(Input_Konektivitas!$D$3:$D$563,Input_Konektivitas!$A$3:$A$563,L$3,Input_Konektivitas!$B$3:$B$563,$A36))</f>
        <v>4.083</v>
      </c>
      <c r="M36" s="27">
        <f>IF((COUNTIFS(Input_Konektivitas!$A$3:$A$563,$A36,Input_Konektivitas!$B$3:$B$563,M$3,Input_Konektivitas!$D$3:$D$563,"&gt;0")+COUNTIFS(Input_Konektivitas!$A$3:$A$563,M$3,Input_Konektivitas!$B$3:$B$563,$A36,Input_Konektivitas!$D$3:$D$563,"&gt;0"))=0,"",SUMIFS(Input_Konektivitas!$D$3:$D$563,Input_Konektivitas!$A$3:$A$563,$A36,Input_Konektivitas!$B$3:$B$563,M$3)+SUMIFS(Input_Konektivitas!$D$3:$D$563,Input_Konektivitas!$A$3:$A$563,M$3,Input_Konektivitas!$B$3:$B$563,$A36))</f>
        <v>13.17</v>
      </c>
      <c r="N36" s="27">
        <f>IF((COUNTIFS(Input_Konektivitas!$A$3:$A$563,$A36,Input_Konektivitas!$B$3:$B$563,N$3,Input_Konektivitas!$D$3:$D$563,"&gt;0")+COUNTIFS(Input_Konektivitas!$A$3:$A$563,N$3,Input_Konektivitas!$B$3:$B$563,$A36,Input_Konektivitas!$D$3:$D$563,"&gt;0"))=0,"",SUMIFS(Input_Konektivitas!$D$3:$D$563,Input_Konektivitas!$A$3:$A$563,$A36,Input_Konektivitas!$B$3:$B$563,N$3)+SUMIFS(Input_Konektivitas!$D$3:$D$563,Input_Konektivitas!$A$3:$A$563,N$3,Input_Konektivitas!$B$3:$B$563,$A36))</f>
        <v>8.75</v>
      </c>
      <c r="O36" s="27">
        <f>IF((COUNTIFS(Input_Konektivitas!$A$3:$A$563,$A36,Input_Konektivitas!$B$3:$B$563,O$3,Input_Konektivitas!$D$3:$D$563,"&gt;0")+COUNTIFS(Input_Konektivitas!$A$3:$A$563,O$3,Input_Konektivitas!$B$3:$B$563,$A36,Input_Konektivitas!$D$3:$D$563,"&gt;0"))=0,"",SUMIFS(Input_Konektivitas!$D$3:$D$563,Input_Konektivitas!$A$3:$A$563,$A36,Input_Konektivitas!$B$3:$B$563,O$3)+SUMIFS(Input_Konektivitas!$D$3:$D$563,Input_Konektivitas!$A$3:$A$563,O$3,Input_Konektivitas!$B$3:$B$563,$A36))</f>
        <v>8</v>
      </c>
      <c r="P36" s="27">
        <f>IF((COUNTIFS(Input_Konektivitas!$A$3:$A$563,$A36,Input_Konektivitas!$B$3:$B$563,P$3,Input_Konektivitas!$D$3:$D$563,"&gt;0")+COUNTIFS(Input_Konektivitas!$A$3:$A$563,P$3,Input_Konektivitas!$B$3:$B$563,$A36,Input_Konektivitas!$D$3:$D$563,"&gt;0"))=0,"",SUMIFS(Input_Konektivitas!$D$3:$D$563,Input_Konektivitas!$A$3:$A$563,$A36,Input_Konektivitas!$B$3:$B$563,P$3)+SUMIFS(Input_Konektivitas!$D$3:$D$563,Input_Konektivitas!$A$3:$A$563,P$3,Input_Konektivitas!$B$3:$B$563,$A36))</f>
        <v>4.416</v>
      </c>
      <c r="Q36" s="27" t="str">
        <f>IF((COUNTIFS(Input_Konektivitas!$A$3:$A$563,$A36,Input_Konektivitas!$B$3:$B$563,Q$3,Input_Konektivitas!$D$3:$D$563,"&gt;0")+COUNTIFS(Input_Konektivitas!$A$3:$A$563,Q$3,Input_Konektivitas!$B$3:$B$563,$A36,Input_Konektivitas!$D$3:$D$563,"&gt;0"))=0,"",SUMIFS(Input_Konektivitas!$D$3:$D$563,Input_Konektivitas!$A$3:$A$563,$A36,Input_Konektivitas!$B$3:$B$563,Q$3)+SUMIFS(Input_Konektivitas!$D$3:$D$563,Input_Konektivitas!$A$3:$A$563,Q$3,Input_Konektivitas!$B$3:$B$563,$A36))</f>
        <v/>
      </c>
      <c r="R36" s="27">
        <f>IF((COUNTIFS(Input_Konektivitas!$A$3:$A$563,$A36,Input_Konektivitas!$B$3:$B$563,R$3,Input_Konektivitas!$D$3:$D$563,"&gt;0")+COUNTIFS(Input_Konektivitas!$A$3:$A$563,R$3,Input_Konektivitas!$B$3:$B$563,$A36,Input_Konektivitas!$D$3:$D$563,"&gt;0"))=0,"",SUMIFS(Input_Konektivitas!$D$3:$D$563,Input_Konektivitas!$A$3:$A$563,$A36,Input_Konektivitas!$B$3:$B$563,R$3)+SUMIFS(Input_Konektivitas!$D$3:$D$563,Input_Konektivitas!$A$3:$A$563,R$3,Input_Konektivitas!$B$3:$B$563,$A36))</f>
        <v>6.75</v>
      </c>
      <c r="S36" s="27">
        <f>IF((COUNTIFS(Input_Konektivitas!$A$3:$A$563,$A36,Input_Konektivitas!$B$3:$B$563,S$3,Input_Konektivitas!$D$3:$D$563,"&gt;0")+COUNTIFS(Input_Konektivitas!$A$3:$A$563,S$3,Input_Konektivitas!$B$3:$B$563,$A36,Input_Konektivitas!$D$3:$D$563,"&gt;0"))=0,"",SUMIFS(Input_Konektivitas!$D$3:$D$563,Input_Konektivitas!$A$3:$A$563,$A36,Input_Konektivitas!$B$3:$B$563,S$3)+SUMIFS(Input_Konektivitas!$D$3:$D$563,Input_Konektivitas!$A$3:$A$563,S$3,Input_Konektivitas!$B$3:$B$563,$A36))</f>
        <v>12</v>
      </c>
      <c r="T36" s="27">
        <f>IF((COUNTIFS(Input_Konektivitas!$A$3:$A$563,$A36,Input_Konektivitas!$B$3:$B$563,T$3,Input_Konektivitas!$D$3:$D$563,"&gt;0")+COUNTIFS(Input_Konektivitas!$A$3:$A$563,T$3,Input_Konektivitas!$B$3:$B$563,$A36,Input_Konektivitas!$D$3:$D$563,"&gt;0"))=0,"",SUMIFS(Input_Konektivitas!$D$3:$D$563,Input_Konektivitas!$A$3:$A$563,$A36,Input_Konektivitas!$B$3:$B$563,T$3)+SUMIFS(Input_Konektivitas!$D$3:$D$563,Input_Konektivitas!$A$3:$A$563,T$3,Input_Konektivitas!$B$3:$B$563,$A36))</f>
        <v>11.33</v>
      </c>
      <c r="U36" s="27">
        <f>IF((COUNTIFS(Input_Konektivitas!$A$3:$A$563,$A36,Input_Konektivitas!$B$3:$B$563,U$3,Input_Konektivitas!$D$3:$D$563,"&gt;0")+COUNTIFS(Input_Konektivitas!$A$3:$A$563,U$3,Input_Konektivitas!$B$3:$B$563,$A36,Input_Konektivitas!$D$3:$D$563,"&gt;0"))=0,"",SUMIFS(Input_Konektivitas!$D$3:$D$563,Input_Konektivitas!$A$3:$A$563,$A36,Input_Konektivitas!$B$3:$B$563,U$3)+SUMIFS(Input_Konektivitas!$D$3:$D$563,Input_Konektivitas!$A$3:$A$563,U$3,Input_Konektivitas!$B$3:$B$563,$A36))</f>
        <v>9.666</v>
      </c>
      <c r="V36" s="27">
        <f>IF((COUNTIFS(Input_Konektivitas!$A$3:$A$563,$A36,Input_Konektivitas!$B$3:$B$563,V$3,Input_Konektivitas!$D$3:$D$563,"&gt;0")+COUNTIFS(Input_Konektivitas!$A$3:$A$563,V$3,Input_Konektivitas!$B$3:$B$563,$A36,Input_Konektivitas!$D$3:$D$563,"&gt;0"))=0,"",SUMIFS(Input_Konektivitas!$D$3:$D$563,Input_Konektivitas!$A$3:$A$563,$A36,Input_Konektivitas!$B$3:$B$563,V$3)+SUMIFS(Input_Konektivitas!$D$3:$D$563,Input_Konektivitas!$A$3:$A$563,V$3,Input_Konektivitas!$B$3:$B$563,$A36))</f>
        <v>15.166</v>
      </c>
      <c r="W36" s="27">
        <f>IF((COUNTIFS(Input_Konektivitas!$A$3:$A$563,$A36,Input_Konektivitas!$B$3:$B$563,W$3,Input_Konektivitas!$D$3:$D$563,"&gt;0")+COUNTIFS(Input_Konektivitas!$A$3:$A$563,W$3,Input_Konektivitas!$B$3:$B$563,$A36,Input_Konektivitas!$D$3:$D$563,"&gt;0"))=0,"",SUMIFS(Input_Konektivitas!$D$3:$D$563,Input_Konektivitas!$A$3:$A$563,$A36,Input_Konektivitas!$B$3:$B$563,W$3)+SUMIFS(Input_Konektivitas!$D$3:$D$563,Input_Konektivitas!$A$3:$A$563,W$3,Input_Konektivitas!$B$3:$B$563,$A36))</f>
        <v>7.166</v>
      </c>
      <c r="X36" s="27">
        <f>IF((COUNTIFS(Input_Konektivitas!$A$3:$A$563,$A36,Input_Konektivitas!$B$3:$B$563,X$3,Input_Konektivitas!$D$3:$D$563,"&gt;0")+COUNTIFS(Input_Konektivitas!$A$3:$A$563,X$3,Input_Konektivitas!$B$3:$B$563,$A36,Input_Konektivitas!$D$3:$D$563,"&gt;0"))=0,"",SUMIFS(Input_Konektivitas!$D$3:$D$563,Input_Konektivitas!$A$3:$A$563,$A36,Input_Konektivitas!$B$3:$B$563,X$3)+SUMIFS(Input_Konektivitas!$D$3:$D$563,Input_Konektivitas!$A$3:$A$563,X$3,Input_Konektivitas!$B$3:$B$563,$A36))</f>
        <v>7.25</v>
      </c>
      <c r="Y36" s="27">
        <f>IF((COUNTIFS(Input_Konektivitas!$A$3:$A$563,$A36,Input_Konektivitas!$B$3:$B$563,Y$3,Input_Konektivitas!$D$3:$D$563,"&gt;0")+COUNTIFS(Input_Konektivitas!$A$3:$A$563,Y$3,Input_Konektivitas!$B$3:$B$563,$A36,Input_Konektivitas!$D$3:$D$563,"&gt;0"))=0,"",SUMIFS(Input_Konektivitas!$D$3:$D$563,Input_Konektivitas!$A$3:$A$563,$A36,Input_Konektivitas!$B$3:$B$563,Y$3)+SUMIFS(Input_Konektivitas!$D$3:$D$563,Input_Konektivitas!$A$3:$A$563,Y$3,Input_Konektivitas!$B$3:$B$563,$A36))</f>
        <v>13.5</v>
      </c>
      <c r="Z36" s="27">
        <f>IF((COUNTIFS(Input_Konektivitas!$A$3:$A$563,$A36,Input_Konektivitas!$B$3:$B$563,Z$3,Input_Konektivitas!$D$3:$D$563,"&gt;0")+COUNTIFS(Input_Konektivitas!$A$3:$A$563,Z$3,Input_Konektivitas!$B$3:$B$563,$A36,Input_Konektivitas!$D$3:$D$563,"&gt;0"))=0,"",SUMIFS(Input_Konektivitas!$D$3:$D$563,Input_Konektivitas!$A$3:$A$563,$A36,Input_Konektivitas!$B$3:$B$563,Z$3)+SUMIFS(Input_Konektivitas!$D$3:$D$563,Input_Konektivitas!$A$3:$A$563,Z$3,Input_Konektivitas!$B$3:$B$563,$A36))</f>
        <v>1.333</v>
      </c>
      <c r="AA36" s="27">
        <f>IF((COUNTIFS(Input_Konektivitas!$A$3:$A$563,$A36,Input_Konektivitas!$B$3:$B$563,AA$3,Input_Konektivitas!$D$3:$D$563,"&gt;0")+COUNTIFS(Input_Konektivitas!$A$3:$A$563,AA$3,Input_Konektivitas!$B$3:$B$563,$A36,Input_Konektivitas!$D$3:$D$563,"&gt;0"))=0,"",SUMIFS(Input_Konektivitas!$D$3:$D$563,Input_Konektivitas!$A$3:$A$563,$A36,Input_Konektivitas!$B$3:$B$563,AA$3)+SUMIFS(Input_Konektivitas!$D$3:$D$563,Input_Konektivitas!$A$3:$A$563,AA$3,Input_Konektivitas!$B$3:$B$563,$A36))</f>
        <v>5.83</v>
      </c>
      <c r="AB36" s="27">
        <f>IF((COUNTIFS(Input_Konektivitas!$A$3:$A$563,$A36,Input_Konektivitas!$B$3:$B$563,AB$3,Input_Konektivitas!$D$3:$D$563,"&gt;0")+COUNTIFS(Input_Konektivitas!$A$3:$A$563,AB$3,Input_Konektivitas!$B$3:$B$563,$A36,Input_Konektivitas!$D$3:$D$563,"&gt;0"))=0,"",SUMIFS(Input_Konektivitas!$D$3:$D$563,Input_Konektivitas!$A$3:$A$563,$A36,Input_Konektivitas!$B$3:$B$563,AB$3)+SUMIFS(Input_Konektivitas!$D$3:$D$563,Input_Konektivitas!$A$3:$A$563,AB$3,Input_Konektivitas!$B$3:$B$563,$A36))</f>
        <v>2.25</v>
      </c>
      <c r="AC36" s="27">
        <f>IF((COUNTIFS(Input_Konektivitas!$A$3:$A$563,$A36,Input_Konektivitas!$B$3:$B$563,AC$3,Input_Konektivitas!$D$3:$D$563,"&gt;0")+COUNTIFS(Input_Konektivitas!$A$3:$A$563,AC$3,Input_Konektivitas!$B$3:$B$563,$A36,Input_Konektivitas!$D$3:$D$563,"&gt;0"))=0,"",SUMIFS(Input_Konektivitas!$D$3:$D$563,Input_Konektivitas!$A$3:$A$563,$A36,Input_Konektivitas!$B$3:$B$563,AC$3)+SUMIFS(Input_Konektivitas!$D$3:$D$563,Input_Konektivitas!$A$3:$A$563,AC$3,Input_Konektivitas!$B$3:$B$563,$A36))</f>
        <v>3.83</v>
      </c>
      <c r="AD36" s="27">
        <f>IF((COUNTIFS(Input_Konektivitas!$A$3:$A$563,$A36,Input_Konektivitas!$B$3:$B$563,AD$3,Input_Konektivitas!$D$3:$D$563,"&gt;0")+COUNTIFS(Input_Konektivitas!$A$3:$A$563,AD$3,Input_Konektivitas!$B$3:$B$563,$A36,Input_Konektivitas!$D$3:$D$563,"&gt;0"))=0,"",SUMIFS(Input_Konektivitas!$D$3:$D$563,Input_Konektivitas!$A$3:$A$563,$A36,Input_Konektivitas!$B$3:$B$563,AD$3)+SUMIFS(Input_Konektivitas!$D$3:$D$563,Input_Konektivitas!$A$3:$A$563,AD$3,Input_Konektivitas!$B$3:$B$563,$A36))</f>
        <v>14.33</v>
      </c>
      <c r="AE36" s="27">
        <f>IF((COUNTIFS(Input_Konektivitas!$A$3:$A$563,$A36,Input_Konektivitas!$B$3:$B$563,AE$3,Input_Konektivitas!$D$3:$D$563,"&gt;0")+COUNTIFS(Input_Konektivitas!$A$3:$A$563,AE$3,Input_Konektivitas!$B$3:$B$563,$A36,Input_Konektivitas!$D$3:$D$563,"&gt;0"))=0,"",SUMIFS(Input_Konektivitas!$D$3:$D$563,Input_Konektivitas!$A$3:$A$563,$A36,Input_Konektivitas!$B$3:$B$563,AE$3)+SUMIFS(Input_Konektivitas!$D$3:$D$563,Input_Konektivitas!$A$3:$A$563,AE$3,Input_Konektivitas!$B$3:$B$563,$A36))</f>
        <v>4.083</v>
      </c>
      <c r="AF36" s="27">
        <f>IF((COUNTIFS(Input_Konektivitas!$A$3:$A$563,$A36,Input_Konektivitas!$B$3:$B$563,AF$3,Input_Konektivitas!$D$3:$D$563,"&gt;0")+COUNTIFS(Input_Konektivitas!$A$3:$A$563,AF$3,Input_Konektivitas!$B$3:$B$563,$A36,Input_Konektivitas!$D$3:$D$563,"&gt;0"))=0,"",SUMIFS(Input_Konektivitas!$D$3:$D$563,Input_Konektivitas!$A$3:$A$563,$A36,Input_Konektivitas!$B$3:$B$563,AF$3)+SUMIFS(Input_Konektivitas!$D$3:$D$563,Input_Konektivitas!$A$3:$A$563,AF$3,Input_Konektivitas!$B$3:$B$563,$A36))</f>
        <v>1.083</v>
      </c>
      <c r="AG36" s="27">
        <f>IF((COUNTIFS(Input_Konektivitas!$A$3:$A$563,$A36,Input_Konektivitas!$B$3:$B$563,AG$3,Input_Konektivitas!$D$3:$D$563,"&gt;0")+COUNTIFS(Input_Konektivitas!$A$3:$A$563,AG$3,Input_Konektivitas!$B$3:$B$563,$A36,Input_Konektivitas!$D$3:$D$563,"&gt;0"))=0,"",SUMIFS(Input_Konektivitas!$D$3:$D$563,Input_Konektivitas!$A$3:$A$563,$A36,Input_Konektivitas!$B$3:$B$563,AG$3)+SUMIFS(Input_Konektivitas!$D$3:$D$563,Input_Konektivitas!$A$3:$A$563,AG$3,Input_Konektivitas!$B$3:$B$563,$A36))</f>
        <v>20.4166</v>
      </c>
      <c r="AH36" s="23">
        <v>0.0</v>
      </c>
      <c r="AI36" s="27">
        <f>IF((COUNTIFS(Input_Konektivitas!$A$3:$A$563,$A36,Input_Konektivitas!$B$3:$B$563,AI$3,Input_Konektivitas!$D$3:$D$563,"&gt;0")+COUNTIFS(Input_Konektivitas!$A$3:$A$563,AI$3,Input_Konektivitas!$B$3:$B$563,$A36,Input_Konektivitas!$D$3:$D$563,"&gt;0"))=0,"",SUMIFS(Input_Konektivitas!$D$3:$D$563,Input_Konektivitas!$A$3:$A$563,$A36,Input_Konektivitas!$B$3:$B$563,AI$3)+SUMIFS(Input_Konektivitas!$D$3:$D$563,Input_Konektivitas!$A$3:$A$563,AI$3,Input_Konektivitas!$B$3:$B$563,$A36))</f>
        <v>1.83</v>
      </c>
    </row>
    <row r="37" ht="14.25" customHeight="1">
      <c r="A37" s="22" t="s">
        <v>101</v>
      </c>
      <c r="B37" s="27">
        <f>IF((COUNTIFS(Input_Konektivitas!$A$3:$A$563,$A37,Input_Konektivitas!$B$3:$B$563,B$3,Input_Konektivitas!$D$3:$D$563,"&gt;0")+COUNTIFS(Input_Konektivitas!$A$3:$A$563,B$3,Input_Konektivitas!$B$3:$B$563,$A37,Input_Konektivitas!$D$3:$D$563,"&gt;0"))=0,"",SUMIFS(Input_Konektivitas!$D$3:$D$563,Input_Konektivitas!$A$3:$A$563,$A37,Input_Konektivitas!$B$3:$B$563,B$3)+SUMIFS(Input_Konektivitas!$D$3:$D$563,Input_Konektivitas!$A$3:$A$563,B$3,Input_Konektivitas!$B$3:$B$563,$A37))</f>
        <v>12.92</v>
      </c>
      <c r="C37" s="27">
        <f>IF((COUNTIFS(Input_Konektivitas!$A$3:$A$563,$A37,Input_Konektivitas!$B$3:$B$563,C$3,Input_Konektivitas!$D$3:$D$563,"&gt;0")+COUNTIFS(Input_Konektivitas!$A$3:$A$563,C$3,Input_Konektivitas!$B$3:$B$563,$A37,Input_Konektivitas!$D$3:$D$563,"&gt;0"))=0,"",SUMIFS(Input_Konektivitas!$D$3:$D$563,Input_Konektivitas!$A$3:$A$563,$A37,Input_Konektivitas!$B$3:$B$563,C$3)+SUMIFS(Input_Konektivitas!$D$3:$D$563,Input_Konektivitas!$A$3:$A$563,C$3,Input_Konektivitas!$B$3:$B$563,$A37))</f>
        <v>8.75</v>
      </c>
      <c r="D37" s="27">
        <f>IF((COUNTIFS(Input_Konektivitas!$A$3:$A$563,$A37,Input_Konektivitas!$B$3:$B$563,D$3,Input_Konektivitas!$D$3:$D$563,"&gt;0")+COUNTIFS(Input_Konektivitas!$A$3:$A$563,D$3,Input_Konektivitas!$B$3:$B$563,$A37,Input_Konektivitas!$D$3:$D$563,"&gt;0"))=0,"",SUMIFS(Input_Konektivitas!$D$3:$D$563,Input_Konektivitas!$A$3:$A$563,$A37,Input_Konektivitas!$B$3:$B$563,D$3)+SUMIFS(Input_Konektivitas!$D$3:$D$563,Input_Konektivitas!$A$3:$A$563,D$3,Input_Konektivitas!$B$3:$B$563,$A37))</f>
        <v>10.42</v>
      </c>
      <c r="E37" s="27">
        <f>IF((COUNTIFS(Input_Konektivitas!$A$3:$A$563,$A37,Input_Konektivitas!$B$3:$B$563,E$3,Input_Konektivitas!$D$3:$D$563,"&gt;0")+COUNTIFS(Input_Konektivitas!$A$3:$A$563,E$3,Input_Konektivitas!$B$3:$B$563,$A37,Input_Konektivitas!$D$3:$D$563,"&gt;0"))=0,"",SUMIFS(Input_Konektivitas!$D$3:$D$563,Input_Konektivitas!$A$3:$A$563,$A37,Input_Konektivitas!$B$3:$B$563,E$3)+SUMIFS(Input_Konektivitas!$D$3:$D$563,Input_Konektivitas!$A$3:$A$563,E$3,Input_Konektivitas!$B$3:$B$563,$A37))</f>
        <v>10.83</v>
      </c>
      <c r="F37" s="27">
        <f>IF((COUNTIFS(Input_Konektivitas!$A$3:$A$563,$A37,Input_Konektivitas!$B$3:$B$563,F$3,Input_Konektivitas!$D$3:$D$563,"&gt;0")+COUNTIFS(Input_Konektivitas!$A$3:$A$563,F$3,Input_Konektivitas!$B$3:$B$563,$A37,Input_Konektivitas!$D$3:$D$563,"&gt;0"))=0,"",SUMIFS(Input_Konektivitas!$D$3:$D$563,Input_Konektivitas!$A$3:$A$563,$A37,Input_Konektivitas!$B$3:$B$563,F$3)+SUMIFS(Input_Konektivitas!$D$3:$D$563,Input_Konektivitas!$A$3:$A$563,F$3,Input_Konektivitas!$B$3:$B$563,$A37))</f>
        <v>9.83</v>
      </c>
      <c r="G37" s="27">
        <f>IF((COUNTIFS(Input_Konektivitas!$A$3:$A$563,$A37,Input_Konektivitas!$B$3:$B$563,G$3,Input_Konektivitas!$D$3:$D$563,"&gt;0")+COUNTIFS(Input_Konektivitas!$A$3:$A$563,G$3,Input_Konektivitas!$B$3:$B$563,$A37,Input_Konektivitas!$D$3:$D$563,"&gt;0"))=0,"",SUMIFS(Input_Konektivitas!$D$3:$D$563,Input_Konektivitas!$A$3:$A$563,$A37,Input_Konektivitas!$B$3:$B$563,G$3)+SUMIFS(Input_Konektivitas!$D$3:$D$563,Input_Konektivitas!$A$3:$A$563,G$3,Input_Konektivitas!$B$3:$B$563,$A37))</f>
        <v>10.17</v>
      </c>
      <c r="H37" s="27">
        <f>IF((COUNTIFS(Input_Konektivitas!$A$3:$A$563,$A37,Input_Konektivitas!$B$3:$B$563,H$3,Input_Konektivitas!$D$3:$D$563,"&gt;0")+COUNTIFS(Input_Konektivitas!$A$3:$A$563,H$3,Input_Konektivitas!$B$3:$B$563,$A37,Input_Konektivitas!$D$3:$D$563,"&gt;0"))=0,"",SUMIFS(Input_Konektivitas!$D$3:$D$563,Input_Konektivitas!$A$3:$A$563,$A37,Input_Konektivitas!$B$3:$B$563,H$3)+SUMIFS(Input_Konektivitas!$D$3:$D$563,Input_Konektivitas!$A$3:$A$563,H$3,Input_Konektivitas!$B$3:$B$563,$A37))</f>
        <v>12.25</v>
      </c>
      <c r="I37" s="27">
        <f>IF((COUNTIFS(Input_Konektivitas!$A$3:$A$563,$A37,Input_Konektivitas!$B$3:$B$563,I$3,Input_Konektivitas!$D$3:$D$563,"&gt;0")+COUNTIFS(Input_Konektivitas!$A$3:$A$563,I$3,Input_Konektivitas!$B$3:$B$563,$A37,Input_Konektivitas!$D$3:$D$563,"&gt;0"))=0,"",SUMIFS(Input_Konektivitas!$D$3:$D$563,Input_Konektivitas!$A$3:$A$563,$A37,Input_Konektivitas!$B$3:$B$563,I$3)+SUMIFS(Input_Konektivitas!$D$3:$D$563,Input_Konektivitas!$A$3:$A$563,I$3,Input_Konektivitas!$B$3:$B$563,$A37))</f>
        <v>11.25</v>
      </c>
      <c r="J37" s="27">
        <f>IF((COUNTIFS(Input_Konektivitas!$A$3:$A$563,$A37,Input_Konektivitas!$B$3:$B$563,J$3,Input_Konektivitas!$D$3:$D$563,"&gt;0")+COUNTIFS(Input_Konektivitas!$A$3:$A$563,J$3,Input_Konektivitas!$B$3:$B$563,$A37,Input_Konektivitas!$D$3:$D$563,"&gt;0"))=0,"",SUMIFS(Input_Konektivitas!$D$3:$D$563,Input_Konektivitas!$A$3:$A$563,$A37,Input_Konektivitas!$B$3:$B$563,J$3)+SUMIFS(Input_Konektivitas!$D$3:$D$563,Input_Konektivitas!$A$3:$A$563,J$3,Input_Konektivitas!$B$3:$B$563,$A37))</f>
        <v>10.92</v>
      </c>
      <c r="K37" s="27">
        <f>IF((COUNTIFS(Input_Konektivitas!$A$3:$A$563,$A37,Input_Konektivitas!$B$3:$B$563,K$3,Input_Konektivitas!$D$3:$D$563,"&gt;0")+COUNTIFS(Input_Konektivitas!$A$3:$A$563,K$3,Input_Konektivitas!$B$3:$B$563,$A37,Input_Konektivitas!$D$3:$D$563,"&gt;0"))=0,"",SUMIFS(Input_Konektivitas!$D$3:$D$563,Input_Konektivitas!$A$3:$A$563,$A37,Input_Konektivitas!$B$3:$B$563,K$3)+SUMIFS(Input_Konektivitas!$D$3:$D$563,Input_Konektivitas!$A$3:$A$563,K$3,Input_Konektivitas!$B$3:$B$563,$A37))</f>
        <v>10.83</v>
      </c>
      <c r="L37" s="27">
        <f>IF((COUNTIFS(Input_Konektivitas!$A$3:$A$563,$A37,Input_Konektivitas!$B$3:$B$563,L$3,Input_Konektivitas!$D$3:$D$563,"&gt;0")+COUNTIFS(Input_Konektivitas!$A$3:$A$563,L$3,Input_Konektivitas!$B$3:$B$563,$A37,Input_Konektivitas!$D$3:$D$563,"&gt;0"))=0,"",SUMIFS(Input_Konektivitas!$D$3:$D$563,Input_Konektivitas!$A$3:$A$563,$A37,Input_Konektivitas!$B$3:$B$563,L$3)+SUMIFS(Input_Konektivitas!$D$3:$D$563,Input_Konektivitas!$A$3:$A$563,L$3,Input_Konektivitas!$B$3:$B$563,$A37))</f>
        <v>5.33</v>
      </c>
      <c r="M37" s="27">
        <f>IF((COUNTIFS(Input_Konektivitas!$A$3:$A$563,$A37,Input_Konektivitas!$B$3:$B$563,M$3,Input_Konektivitas!$D$3:$D$563,"&gt;0")+COUNTIFS(Input_Konektivitas!$A$3:$A$563,M$3,Input_Konektivitas!$B$3:$B$563,$A37,Input_Konektivitas!$D$3:$D$563,"&gt;0"))=0,"",SUMIFS(Input_Konektivitas!$D$3:$D$563,Input_Konektivitas!$A$3:$A$563,$A37,Input_Konektivitas!$B$3:$B$563,M$3)+SUMIFS(Input_Konektivitas!$D$3:$D$563,Input_Konektivitas!$A$3:$A$563,M$3,Input_Konektivitas!$B$3:$B$563,$A37))</f>
        <v>13.25</v>
      </c>
      <c r="N37" s="27">
        <f>IF((COUNTIFS(Input_Konektivitas!$A$3:$A$563,$A37,Input_Konektivitas!$B$3:$B$563,N$3,Input_Konektivitas!$D$3:$D$563,"&gt;0")+COUNTIFS(Input_Konektivitas!$A$3:$A$563,N$3,Input_Konektivitas!$B$3:$B$563,$A37,Input_Konektivitas!$D$3:$D$563,"&gt;0"))=0,"",SUMIFS(Input_Konektivitas!$D$3:$D$563,Input_Konektivitas!$A$3:$A$563,$A37,Input_Konektivitas!$B$3:$B$563,N$3)+SUMIFS(Input_Konektivitas!$D$3:$D$563,Input_Konektivitas!$A$3:$A$563,N$3,Input_Konektivitas!$B$3:$B$563,$A37))</f>
        <v>9.83</v>
      </c>
      <c r="O37" s="27">
        <f>IF((COUNTIFS(Input_Konektivitas!$A$3:$A$563,$A37,Input_Konektivitas!$B$3:$B$563,O$3,Input_Konektivitas!$D$3:$D$563,"&gt;0")+COUNTIFS(Input_Konektivitas!$A$3:$A$563,O$3,Input_Konektivitas!$B$3:$B$563,$A37,Input_Konektivitas!$D$3:$D$563,"&gt;0"))=0,"",SUMIFS(Input_Konektivitas!$D$3:$D$563,Input_Konektivitas!$A$3:$A$563,$A37,Input_Konektivitas!$B$3:$B$563,O$3)+SUMIFS(Input_Konektivitas!$D$3:$D$563,Input_Konektivitas!$A$3:$A$563,O$3,Input_Konektivitas!$B$3:$B$563,$A37))</f>
        <v>8.083</v>
      </c>
      <c r="P37" s="27">
        <f>IF((COUNTIFS(Input_Konektivitas!$A$3:$A$563,$A37,Input_Konektivitas!$B$3:$B$563,P$3,Input_Konektivitas!$D$3:$D$563,"&gt;0")+COUNTIFS(Input_Konektivitas!$A$3:$A$563,P$3,Input_Konektivitas!$B$3:$B$563,$A37,Input_Konektivitas!$D$3:$D$563,"&gt;0"))=0,"",SUMIFS(Input_Konektivitas!$D$3:$D$563,Input_Konektivitas!$A$3:$A$563,$A37,Input_Konektivitas!$B$3:$B$563,P$3)+SUMIFS(Input_Konektivitas!$D$3:$D$563,Input_Konektivitas!$A$3:$A$563,P$3,Input_Konektivitas!$B$3:$B$563,$A37))</f>
        <v>7.916</v>
      </c>
      <c r="Q37" s="27" t="str">
        <f>IF((COUNTIFS(Input_Konektivitas!$A$3:$A$563,$A37,Input_Konektivitas!$B$3:$B$563,Q$3,Input_Konektivitas!$D$3:$D$563,"&gt;0")+COUNTIFS(Input_Konektivitas!$A$3:$A$563,Q$3,Input_Konektivitas!$B$3:$B$563,$A37,Input_Konektivitas!$D$3:$D$563,"&gt;0"))=0,"",SUMIFS(Input_Konektivitas!$D$3:$D$563,Input_Konektivitas!$A$3:$A$563,$A37,Input_Konektivitas!$B$3:$B$563,Q$3)+SUMIFS(Input_Konektivitas!$D$3:$D$563,Input_Konektivitas!$A$3:$A$563,Q$3,Input_Konektivitas!$B$3:$B$563,$A37))</f>
        <v/>
      </c>
      <c r="R37" s="27">
        <f>IF((COUNTIFS(Input_Konektivitas!$A$3:$A$563,$A37,Input_Konektivitas!$B$3:$B$563,R$3,Input_Konektivitas!$D$3:$D$563,"&gt;0")+COUNTIFS(Input_Konektivitas!$A$3:$A$563,R$3,Input_Konektivitas!$B$3:$B$563,$A37,Input_Konektivitas!$D$3:$D$563,"&gt;0"))=0,"",SUMIFS(Input_Konektivitas!$D$3:$D$563,Input_Konektivitas!$A$3:$A$563,$A37,Input_Konektivitas!$B$3:$B$563,R$3)+SUMIFS(Input_Konektivitas!$D$3:$D$563,Input_Konektivitas!$A$3:$A$563,R$3,Input_Konektivitas!$B$3:$B$563,$A37))</f>
        <v>5.83</v>
      </c>
      <c r="S37" s="27">
        <f>IF((COUNTIFS(Input_Konektivitas!$A$3:$A$563,$A37,Input_Konektivitas!$B$3:$B$563,S$3,Input_Konektivitas!$D$3:$D$563,"&gt;0")+COUNTIFS(Input_Konektivitas!$A$3:$A$563,S$3,Input_Konektivitas!$B$3:$B$563,$A37,Input_Konektivitas!$D$3:$D$563,"&gt;0"))=0,"",SUMIFS(Input_Konektivitas!$D$3:$D$563,Input_Konektivitas!$A$3:$A$563,$A37,Input_Konektivitas!$B$3:$B$563,S$3)+SUMIFS(Input_Konektivitas!$D$3:$D$563,Input_Konektivitas!$A$3:$A$563,S$3,Input_Konektivitas!$B$3:$B$563,$A37))</f>
        <v>10.916</v>
      </c>
      <c r="T37" s="27">
        <f>IF((COUNTIFS(Input_Konektivitas!$A$3:$A$563,$A37,Input_Konektivitas!$B$3:$B$563,T$3,Input_Konektivitas!$D$3:$D$563,"&gt;0")+COUNTIFS(Input_Konektivitas!$A$3:$A$563,T$3,Input_Konektivitas!$B$3:$B$563,$A37,Input_Konektivitas!$D$3:$D$563,"&gt;0"))=0,"",SUMIFS(Input_Konektivitas!$D$3:$D$563,Input_Konektivitas!$A$3:$A$563,$A37,Input_Konektivitas!$B$3:$B$563,T$3)+SUMIFS(Input_Konektivitas!$D$3:$D$563,Input_Konektivitas!$A$3:$A$563,T$3,Input_Konektivitas!$B$3:$B$563,$A37))</f>
        <v>11.5833</v>
      </c>
      <c r="U37" s="27">
        <f>IF((COUNTIFS(Input_Konektivitas!$A$3:$A$563,$A37,Input_Konektivitas!$B$3:$B$563,U$3,Input_Konektivitas!$D$3:$D$563,"&gt;0")+COUNTIFS(Input_Konektivitas!$A$3:$A$563,U$3,Input_Konektivitas!$B$3:$B$563,$A37,Input_Konektivitas!$D$3:$D$563,"&gt;0"))=0,"",SUMIFS(Input_Konektivitas!$D$3:$D$563,Input_Konektivitas!$A$3:$A$563,$A37,Input_Konektivitas!$B$3:$B$563,U$3)+SUMIFS(Input_Konektivitas!$D$3:$D$563,Input_Konektivitas!$A$3:$A$563,U$3,Input_Konektivitas!$B$3:$B$563,$A37))</f>
        <v>11.083</v>
      </c>
      <c r="V37" s="27">
        <f>IF((COUNTIFS(Input_Konektivitas!$A$3:$A$563,$A37,Input_Konektivitas!$B$3:$B$563,V$3,Input_Konektivitas!$D$3:$D$563,"&gt;0")+COUNTIFS(Input_Konektivitas!$A$3:$A$563,V$3,Input_Konektivitas!$B$3:$B$563,$A37,Input_Konektivitas!$D$3:$D$563,"&gt;0"))=0,"",SUMIFS(Input_Konektivitas!$D$3:$D$563,Input_Konektivitas!$A$3:$A$563,$A37,Input_Konektivitas!$B$3:$B$563,V$3)+SUMIFS(Input_Konektivitas!$D$3:$D$563,Input_Konektivitas!$A$3:$A$563,V$3,Input_Konektivitas!$B$3:$B$563,$A37))</f>
        <v>12.666</v>
      </c>
      <c r="W37" s="27">
        <f>IF((COUNTIFS(Input_Konektivitas!$A$3:$A$563,$A37,Input_Konektivitas!$B$3:$B$563,W$3,Input_Konektivitas!$D$3:$D$563,"&gt;0")+COUNTIFS(Input_Konektivitas!$A$3:$A$563,W$3,Input_Konektivitas!$B$3:$B$563,$A37,Input_Konektivitas!$D$3:$D$563,"&gt;0"))=0,"",SUMIFS(Input_Konektivitas!$D$3:$D$563,Input_Konektivitas!$A$3:$A$563,$A37,Input_Konektivitas!$B$3:$B$563,W$3)+SUMIFS(Input_Konektivitas!$D$3:$D$563,Input_Konektivitas!$A$3:$A$563,W$3,Input_Konektivitas!$B$3:$B$563,$A37))</f>
        <v>12.5833</v>
      </c>
      <c r="X37" s="27">
        <f>IF((COUNTIFS(Input_Konektivitas!$A$3:$A$563,$A37,Input_Konektivitas!$B$3:$B$563,X$3,Input_Konektivitas!$D$3:$D$563,"&gt;0")+COUNTIFS(Input_Konektivitas!$A$3:$A$563,X$3,Input_Konektivitas!$B$3:$B$563,$A37,Input_Konektivitas!$D$3:$D$563,"&gt;0"))=0,"",SUMIFS(Input_Konektivitas!$D$3:$D$563,Input_Konektivitas!$A$3:$A$563,$A37,Input_Konektivitas!$B$3:$B$563,X$3)+SUMIFS(Input_Konektivitas!$D$3:$D$563,Input_Konektivitas!$A$3:$A$563,X$3,Input_Konektivitas!$B$3:$B$563,$A37))</f>
        <v>9.25</v>
      </c>
      <c r="Y37" s="27">
        <f>IF((COUNTIFS(Input_Konektivitas!$A$3:$A$563,$A37,Input_Konektivitas!$B$3:$B$563,Y$3,Input_Konektivitas!$D$3:$D$563,"&gt;0")+COUNTIFS(Input_Konektivitas!$A$3:$A$563,Y$3,Input_Konektivitas!$B$3:$B$563,$A37,Input_Konektivitas!$D$3:$D$563,"&gt;0"))=0,"",SUMIFS(Input_Konektivitas!$D$3:$D$563,Input_Konektivitas!$A$3:$A$563,$A37,Input_Konektivitas!$B$3:$B$563,Y$3)+SUMIFS(Input_Konektivitas!$D$3:$D$563,Input_Konektivitas!$A$3:$A$563,Y$3,Input_Konektivitas!$B$3:$B$563,$A37))</f>
        <v>17.5</v>
      </c>
      <c r="Z37" s="27">
        <f>IF((COUNTIFS(Input_Konektivitas!$A$3:$A$563,$A37,Input_Konektivitas!$B$3:$B$563,Z$3,Input_Konektivitas!$D$3:$D$563,"&gt;0")+COUNTIFS(Input_Konektivitas!$A$3:$A$563,Z$3,Input_Konektivitas!$B$3:$B$563,$A37,Input_Konektivitas!$D$3:$D$563,"&gt;0"))=0,"",SUMIFS(Input_Konektivitas!$D$3:$D$563,Input_Konektivitas!$A$3:$A$563,$A37,Input_Konektivitas!$B$3:$B$563,Z$3)+SUMIFS(Input_Konektivitas!$D$3:$D$563,Input_Konektivitas!$A$3:$A$563,Z$3,Input_Konektivitas!$B$3:$B$563,$A37))</f>
        <v>3.9166</v>
      </c>
      <c r="AA37" s="27">
        <f>IF((COUNTIFS(Input_Konektivitas!$A$3:$A$563,$A37,Input_Konektivitas!$B$3:$B$563,AA$3,Input_Konektivitas!$D$3:$D$563,"&gt;0")+COUNTIFS(Input_Konektivitas!$A$3:$A$563,AA$3,Input_Konektivitas!$B$3:$B$563,$A37,Input_Konektivitas!$D$3:$D$563,"&gt;0"))=0,"",SUMIFS(Input_Konektivitas!$D$3:$D$563,Input_Konektivitas!$A$3:$A$563,$A37,Input_Konektivitas!$B$3:$B$563,AA$3)+SUMIFS(Input_Konektivitas!$D$3:$D$563,Input_Konektivitas!$A$3:$A$563,AA$3,Input_Konektivitas!$B$3:$B$563,$A37))</f>
        <v>13.583</v>
      </c>
      <c r="AB37" s="27">
        <f>IF((COUNTIFS(Input_Konektivitas!$A$3:$A$563,$A37,Input_Konektivitas!$B$3:$B$563,AB$3,Input_Konektivitas!$D$3:$D$563,"&gt;0")+COUNTIFS(Input_Konektivitas!$A$3:$A$563,AB$3,Input_Konektivitas!$B$3:$B$563,$A37,Input_Konektivitas!$D$3:$D$563,"&gt;0"))=0,"",SUMIFS(Input_Konektivitas!$D$3:$D$563,Input_Konektivitas!$A$3:$A$563,$A37,Input_Konektivitas!$B$3:$B$563,AB$3)+SUMIFS(Input_Konektivitas!$D$3:$D$563,Input_Konektivitas!$A$3:$A$563,AB$3,Input_Konektivitas!$B$3:$B$563,$A37))</f>
        <v>3.5</v>
      </c>
      <c r="AC37" s="27">
        <f>IF((COUNTIFS(Input_Konektivitas!$A$3:$A$563,$A37,Input_Konektivitas!$B$3:$B$563,AC$3,Input_Konektivitas!$D$3:$D$563,"&gt;0")+COUNTIFS(Input_Konektivitas!$A$3:$A$563,AC$3,Input_Konektivitas!$B$3:$B$563,$A37,Input_Konektivitas!$D$3:$D$563,"&gt;0"))=0,"",SUMIFS(Input_Konektivitas!$D$3:$D$563,Input_Konektivitas!$A$3:$A$563,$A37,Input_Konektivitas!$B$3:$B$563,AC$3)+SUMIFS(Input_Konektivitas!$D$3:$D$563,Input_Konektivitas!$A$3:$A$563,AC$3,Input_Konektivitas!$B$3:$B$563,$A37))</f>
        <v>11.75</v>
      </c>
      <c r="AD37" s="27">
        <f>IF((COUNTIFS(Input_Konektivitas!$A$3:$A$563,$A37,Input_Konektivitas!$B$3:$B$563,AD$3,Input_Konektivitas!$D$3:$D$563,"&gt;0")+COUNTIFS(Input_Konektivitas!$A$3:$A$563,AD$3,Input_Konektivitas!$B$3:$B$563,$A37,Input_Konektivitas!$D$3:$D$563,"&gt;0"))=0,"",SUMIFS(Input_Konektivitas!$D$3:$D$563,Input_Konektivitas!$A$3:$A$563,$A37,Input_Konektivitas!$B$3:$B$563,AD$3)+SUMIFS(Input_Konektivitas!$D$3:$D$563,Input_Konektivitas!$A$3:$A$563,AD$3,Input_Konektivitas!$B$3:$B$563,$A37))</f>
        <v>16.25</v>
      </c>
      <c r="AE37" s="27">
        <f>IF((COUNTIFS(Input_Konektivitas!$A$3:$A$563,$A37,Input_Konektivitas!$B$3:$B$563,AE$3,Input_Konektivitas!$D$3:$D$563,"&gt;0")+COUNTIFS(Input_Konektivitas!$A$3:$A$563,AE$3,Input_Konektivitas!$B$3:$B$563,$A37,Input_Konektivitas!$D$3:$D$563,"&gt;0"))=0,"",SUMIFS(Input_Konektivitas!$D$3:$D$563,Input_Konektivitas!$A$3:$A$563,$A37,Input_Konektivitas!$B$3:$B$563,AE$3)+SUMIFS(Input_Konektivitas!$D$3:$D$563,Input_Konektivitas!$A$3:$A$563,AE$3,Input_Konektivitas!$B$3:$B$563,$A37))</f>
        <v>12.583</v>
      </c>
      <c r="AF37" s="27">
        <f>IF((COUNTIFS(Input_Konektivitas!$A$3:$A$563,$A37,Input_Konektivitas!$B$3:$B$563,AF$3,Input_Konektivitas!$D$3:$D$563,"&gt;0")+COUNTIFS(Input_Konektivitas!$A$3:$A$563,AF$3,Input_Konektivitas!$B$3:$B$563,$A37,Input_Konektivitas!$D$3:$D$563,"&gt;0"))=0,"",SUMIFS(Input_Konektivitas!$D$3:$D$563,Input_Konektivitas!$A$3:$A$563,$A37,Input_Konektivitas!$B$3:$B$563,AF$3)+SUMIFS(Input_Konektivitas!$D$3:$D$563,Input_Konektivitas!$A$3:$A$563,AF$3,Input_Konektivitas!$B$3:$B$563,$A37))</f>
        <v>16.083</v>
      </c>
      <c r="AG37" s="27">
        <f>IF((COUNTIFS(Input_Konektivitas!$A$3:$A$563,$A37,Input_Konektivitas!$B$3:$B$563,AG$3,Input_Konektivitas!$D$3:$D$563,"&gt;0")+COUNTIFS(Input_Konektivitas!$A$3:$A$563,AG$3,Input_Konektivitas!$B$3:$B$563,$A37,Input_Konektivitas!$D$3:$D$563,"&gt;0"))=0,"",SUMIFS(Input_Konektivitas!$D$3:$D$563,Input_Konektivitas!$A$3:$A$563,$A37,Input_Konektivitas!$B$3:$B$563,AG$3)+SUMIFS(Input_Konektivitas!$D$3:$D$563,Input_Konektivitas!$A$3:$A$563,AG$3,Input_Konektivitas!$B$3:$B$563,$A37))</f>
        <v>17.5833</v>
      </c>
      <c r="AH37" s="27">
        <f>IF((COUNTIFS(Input_Konektivitas!$A$3:$A$563,$A37,Input_Konektivitas!$B$3:$B$563,AH$3,Input_Konektivitas!$D$3:$D$563,"&gt;0")+COUNTIFS(Input_Konektivitas!$A$3:$A$563,AH$3,Input_Konektivitas!$B$3:$B$563,$A37,Input_Konektivitas!$D$3:$D$563,"&gt;0"))=0,"",SUMIFS(Input_Konektivitas!$D$3:$D$563,Input_Konektivitas!$A$3:$A$563,$A37,Input_Konektivitas!$B$3:$B$563,AH$3)+SUMIFS(Input_Konektivitas!$D$3:$D$563,Input_Konektivitas!$A$3:$A$563,AH$3,Input_Konektivitas!$B$3:$B$563,$A37))</f>
        <v>1.83</v>
      </c>
      <c r="AI37" s="23">
        <v>0.0</v>
      </c>
    </row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1.0" footer="0.0" header="0.0" left="0.75" right="0.75" top="1.0"/>
  <pageSetup paperSize="9" orientation="portrait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1.0" ySplit="3.0" topLeftCell="B4" activePane="bottomRight" state="frozen"/>
      <selection activeCell="B1" sqref="B1" pane="topRight"/>
      <selection activeCell="A4" sqref="A4" pane="bottomLeft"/>
      <selection activeCell="B4" sqref="B4" pane="bottomRight"/>
    </sheetView>
  </sheetViews>
  <sheetFormatPr customHeight="1" defaultColWidth="14.43" defaultRowHeight="15.0"/>
  <cols>
    <col customWidth="1" min="1" max="1" width="22.0"/>
    <col customWidth="1" min="2" max="35" width="5.57"/>
  </cols>
  <sheetData>
    <row r="1" ht="14.25" customHeight="1">
      <c r="A1" s="16" t="s">
        <v>103</v>
      </c>
    </row>
    <row r="2" ht="14.25" customHeight="1">
      <c r="A2" s="19" t="s">
        <v>104</v>
      </c>
    </row>
    <row r="3" ht="94.5" customHeight="1">
      <c r="A3" s="20" t="s">
        <v>100</v>
      </c>
      <c r="B3" s="21" t="s">
        <v>5</v>
      </c>
      <c r="C3" s="21" t="s">
        <v>8</v>
      </c>
      <c r="D3" s="21" t="s">
        <v>10</v>
      </c>
      <c r="E3" s="21" t="s">
        <v>12</v>
      </c>
      <c r="F3" s="21" t="s">
        <v>15</v>
      </c>
      <c r="G3" s="21" t="s">
        <v>17</v>
      </c>
      <c r="H3" s="21" t="s">
        <v>20</v>
      </c>
      <c r="I3" s="21" t="s">
        <v>22</v>
      </c>
      <c r="J3" s="21" t="s">
        <v>25</v>
      </c>
      <c r="K3" s="21" t="s">
        <v>28</v>
      </c>
      <c r="L3" s="21" t="s">
        <v>31</v>
      </c>
      <c r="M3" s="21" t="s">
        <v>33</v>
      </c>
      <c r="N3" s="21" t="s">
        <v>37</v>
      </c>
      <c r="O3" s="21" t="s">
        <v>40</v>
      </c>
      <c r="P3" s="21" t="s">
        <v>43</v>
      </c>
      <c r="Q3" s="21" t="s">
        <v>46</v>
      </c>
      <c r="R3" s="21" t="s">
        <v>49</v>
      </c>
      <c r="S3" s="21" t="s">
        <v>52</v>
      </c>
      <c r="T3" s="21" t="s">
        <v>55</v>
      </c>
      <c r="U3" s="21" t="s">
        <v>58</v>
      </c>
      <c r="V3" s="21" t="s">
        <v>61</v>
      </c>
      <c r="W3" s="21" t="s">
        <v>64</v>
      </c>
      <c r="X3" s="21" t="s">
        <v>68</v>
      </c>
      <c r="Y3" s="21" t="s">
        <v>71</v>
      </c>
      <c r="Z3" s="21" t="s">
        <v>75</v>
      </c>
      <c r="AA3" s="21" t="s">
        <v>78</v>
      </c>
      <c r="AB3" s="21" t="s">
        <v>81</v>
      </c>
      <c r="AC3" s="21" t="s">
        <v>84</v>
      </c>
      <c r="AD3" s="21" t="s">
        <v>89</v>
      </c>
      <c r="AE3" s="21" t="s">
        <v>92</v>
      </c>
      <c r="AF3" s="21" t="s">
        <v>94</v>
      </c>
      <c r="AG3" s="21" t="s">
        <v>96</v>
      </c>
      <c r="AH3" s="21" t="s">
        <v>98</v>
      </c>
      <c r="AI3" s="21" t="s">
        <v>101</v>
      </c>
    </row>
    <row r="4" ht="14.25" customHeight="1">
      <c r="A4" s="22" t="s">
        <v>5</v>
      </c>
      <c r="B4" s="26">
        <v>0.0</v>
      </c>
      <c r="C4" s="29">
        <f>IF((COUNTIFS(Input_Konektivitas!$A$3:$A$563,$A4,Input_Konektivitas!$B$3:$B$563,C$3,Input_Konektivitas!$D$3:$D$563,"&gt;0")+COUNTIFS(Input_Konektivitas!$A$3:$A$563,C$3,Input_Konektivitas!$B$3:$B$563,$A4,Input_Konektivitas!$D$3:$D$563,"&gt;0"))=0,"",SUMIFS(Input_Konektivitas!$C$3:$C$563,Input_Konektivitas!$A$3:$A$563,$A4,Input_Konektivitas!$B$3:$B$563,C$3)+SUMIFS(Input_Konektivitas!$C$3:$C$563,Input_Konektivitas!$A$3:$A$563,C$3,Input_Konektivitas!$B$3:$B$563,$A4))</f>
        <v>0</v>
      </c>
      <c r="D4" s="29">
        <f>IF((COUNTIFS(Input_Konektivitas!$A$3:$A$563,$A4,Input_Konektivitas!$B$3:$B$563,D$3,Input_Konektivitas!$D$3:$D$563,"&gt;0")+COUNTIFS(Input_Konektivitas!$A$3:$A$563,D$3,Input_Konektivitas!$B$3:$B$563,$A4,Input_Konektivitas!$D$3:$D$563,"&gt;0"))=0,"",SUMIFS(Input_Konektivitas!$C$3:$C$563,Input_Konektivitas!$A$3:$A$563,$A4,Input_Konektivitas!$B$3:$B$563,D$3)+SUMIFS(Input_Konektivitas!$C$3:$C$563,Input_Konektivitas!$A$3:$A$563,D$3,Input_Konektivitas!$B$3:$B$563,$A4))</f>
        <v>1</v>
      </c>
      <c r="E4" s="29">
        <f>IF((COUNTIFS(Input_Konektivitas!$A$3:$A$563,$A4,Input_Konektivitas!$B$3:$B$563,E$3,Input_Konektivitas!$D$3:$D$563,"&gt;0")+COUNTIFS(Input_Konektivitas!$A$3:$A$563,E$3,Input_Konektivitas!$B$3:$B$563,$A4,Input_Konektivitas!$D$3:$D$563,"&gt;0"))=0,"",SUMIFS(Input_Konektivitas!$C$3:$C$563,Input_Konektivitas!$A$3:$A$563,$A4,Input_Konektivitas!$B$3:$B$563,E$3)+SUMIFS(Input_Konektivitas!$C$3:$C$563,Input_Konektivitas!$A$3:$A$563,E$3,Input_Konektivitas!$B$3:$B$563,$A4))</f>
        <v>1</v>
      </c>
      <c r="F4" s="29">
        <f>IF((COUNTIFS(Input_Konektivitas!$A$3:$A$563,$A4,Input_Konektivitas!$B$3:$B$563,F$3,Input_Konektivitas!$D$3:$D$563,"&gt;0")+COUNTIFS(Input_Konektivitas!$A$3:$A$563,F$3,Input_Konektivitas!$B$3:$B$563,$A4,Input_Konektivitas!$D$3:$D$563,"&gt;0"))=0,"",SUMIFS(Input_Konektivitas!$C$3:$C$563,Input_Konektivitas!$A$3:$A$563,$A4,Input_Konektivitas!$B$3:$B$563,F$3)+SUMIFS(Input_Konektivitas!$C$3:$C$563,Input_Konektivitas!$A$3:$A$563,F$3,Input_Konektivitas!$B$3:$B$563,$A4))</f>
        <v>1</v>
      </c>
      <c r="G4" s="29">
        <f>IF((COUNTIFS(Input_Konektivitas!$A$3:$A$563,$A4,Input_Konektivitas!$B$3:$B$563,G$3,Input_Konektivitas!$D$3:$D$563,"&gt;0")+COUNTIFS(Input_Konektivitas!$A$3:$A$563,G$3,Input_Konektivitas!$B$3:$B$563,$A4,Input_Konektivitas!$D$3:$D$563,"&gt;0"))=0,"",SUMIFS(Input_Konektivitas!$C$3:$C$563,Input_Konektivitas!$A$3:$A$563,$A4,Input_Konektivitas!$B$3:$B$563,G$3)+SUMIFS(Input_Konektivitas!$C$3:$C$563,Input_Konektivitas!$A$3:$A$563,G$3,Input_Konektivitas!$B$3:$B$563,$A4))</f>
        <v>1</v>
      </c>
      <c r="H4" s="29">
        <f>IF((COUNTIFS(Input_Konektivitas!$A$3:$A$563,$A4,Input_Konektivitas!$B$3:$B$563,H$3,Input_Konektivitas!$D$3:$D$563,"&gt;0")+COUNTIFS(Input_Konektivitas!$A$3:$A$563,H$3,Input_Konektivitas!$B$3:$B$563,$A4,Input_Konektivitas!$D$3:$D$563,"&gt;0"))=0,"",SUMIFS(Input_Konektivitas!$C$3:$C$563,Input_Konektivitas!$A$3:$A$563,$A4,Input_Konektivitas!$B$3:$B$563,H$3)+SUMIFS(Input_Konektivitas!$C$3:$C$563,Input_Konektivitas!$A$3:$A$563,H$3,Input_Konektivitas!$B$3:$B$563,$A4))</f>
        <v>1</v>
      </c>
      <c r="I4" s="29">
        <f>IF((COUNTIFS(Input_Konektivitas!$A$3:$A$563,$A4,Input_Konektivitas!$B$3:$B$563,I$3,Input_Konektivitas!$D$3:$D$563,"&gt;0")+COUNTIFS(Input_Konektivitas!$A$3:$A$563,I$3,Input_Konektivitas!$B$3:$B$563,$A4,Input_Konektivitas!$D$3:$D$563,"&gt;0"))=0,"",SUMIFS(Input_Konektivitas!$C$3:$C$563,Input_Konektivitas!$A$3:$A$563,$A4,Input_Konektivitas!$B$3:$B$563,I$3)+SUMIFS(Input_Konektivitas!$C$3:$C$563,Input_Konektivitas!$A$3:$A$563,I$3,Input_Konektivitas!$B$3:$B$563,$A4))</f>
        <v>1</v>
      </c>
      <c r="J4" s="29">
        <f>IF((COUNTIFS(Input_Konektivitas!$A$3:$A$563,$A4,Input_Konektivitas!$B$3:$B$563,J$3,Input_Konektivitas!$D$3:$D$563,"&gt;0")+COUNTIFS(Input_Konektivitas!$A$3:$A$563,J$3,Input_Konektivitas!$B$3:$B$563,$A4,Input_Konektivitas!$D$3:$D$563,"&gt;0"))=0,"",SUMIFS(Input_Konektivitas!$C$3:$C$563,Input_Konektivitas!$A$3:$A$563,$A4,Input_Konektivitas!$B$3:$B$563,J$3)+SUMIFS(Input_Konektivitas!$C$3:$C$563,Input_Konektivitas!$A$3:$A$563,J$3,Input_Konektivitas!$B$3:$B$563,$A4))</f>
        <v>1</v>
      </c>
      <c r="K4" s="29">
        <f>IF((COUNTIFS(Input_Konektivitas!$A$3:$A$563,$A4,Input_Konektivitas!$B$3:$B$563,K$3,Input_Konektivitas!$D$3:$D$563,"&gt;0")+COUNTIFS(Input_Konektivitas!$A$3:$A$563,K$3,Input_Konektivitas!$B$3:$B$563,$A4,Input_Konektivitas!$D$3:$D$563,"&gt;0"))=0,"",SUMIFS(Input_Konektivitas!$C$3:$C$563,Input_Konektivitas!$A$3:$A$563,$A4,Input_Konektivitas!$B$3:$B$563,K$3)+SUMIFS(Input_Konektivitas!$C$3:$C$563,Input_Konektivitas!$A$3:$A$563,K$3,Input_Konektivitas!$B$3:$B$563,$A4))</f>
        <v>3</v>
      </c>
      <c r="L4" s="29">
        <f>IF((COUNTIFS(Input_Konektivitas!$A$3:$A$563,$A4,Input_Konektivitas!$B$3:$B$563,L$3,Input_Konektivitas!$D$3:$D$563,"&gt;0")+COUNTIFS(Input_Konektivitas!$A$3:$A$563,L$3,Input_Konektivitas!$B$3:$B$563,$A4,Input_Konektivitas!$D$3:$D$563,"&gt;0"))=0,"",SUMIFS(Input_Konektivitas!$C$3:$C$563,Input_Konektivitas!$A$3:$A$563,$A4,Input_Konektivitas!$B$3:$B$563,L$3)+SUMIFS(Input_Konektivitas!$C$3:$C$563,Input_Konektivitas!$A$3:$A$563,L$3,Input_Konektivitas!$B$3:$B$563,$A4))</f>
        <v>0</v>
      </c>
      <c r="M4" s="29">
        <f>IF((COUNTIFS(Input_Konektivitas!$A$3:$A$563,$A4,Input_Konektivitas!$B$3:$B$563,M$3,Input_Konektivitas!$D$3:$D$563,"&gt;0")+COUNTIFS(Input_Konektivitas!$A$3:$A$563,M$3,Input_Konektivitas!$B$3:$B$563,$A4,Input_Konektivitas!$D$3:$D$563,"&gt;0"))=0,"",SUMIFS(Input_Konektivitas!$C$3:$C$563,Input_Konektivitas!$A$3:$A$563,$A4,Input_Konektivitas!$B$3:$B$563,M$3)+SUMIFS(Input_Konektivitas!$C$3:$C$563,Input_Konektivitas!$A$3:$A$563,M$3,Input_Konektivitas!$B$3:$B$563,$A4))</f>
        <v>2</v>
      </c>
      <c r="N4" s="29">
        <f>IF((COUNTIFS(Input_Konektivitas!$A$3:$A$563,$A4,Input_Konektivitas!$B$3:$B$563,N$3,Input_Konektivitas!$D$3:$D$563,"&gt;0")+COUNTIFS(Input_Konektivitas!$A$3:$A$563,N$3,Input_Konektivitas!$B$3:$B$563,$A4,Input_Konektivitas!$D$3:$D$563,"&gt;0"))=0,"",SUMIFS(Input_Konektivitas!$C$3:$C$563,Input_Konektivitas!$A$3:$A$563,$A4,Input_Konektivitas!$B$3:$B$563,N$3)+SUMIFS(Input_Konektivitas!$C$3:$C$563,Input_Konektivitas!$A$3:$A$563,N$3,Input_Konektivitas!$B$3:$B$563,$A4))</f>
        <v>1</v>
      </c>
      <c r="O4" s="29">
        <f>IF((COUNTIFS(Input_Konektivitas!$A$3:$A$563,$A4,Input_Konektivitas!$B$3:$B$563,O$3,Input_Konektivitas!$D$3:$D$563,"&gt;0")+COUNTIFS(Input_Konektivitas!$A$3:$A$563,O$3,Input_Konektivitas!$B$3:$B$563,$A4,Input_Konektivitas!$D$3:$D$563,"&gt;0"))=0,"",SUMIFS(Input_Konektivitas!$C$3:$C$563,Input_Konektivitas!$A$3:$A$563,$A4,Input_Konektivitas!$B$3:$B$563,O$3)+SUMIFS(Input_Konektivitas!$C$3:$C$563,Input_Konektivitas!$A$3:$A$563,O$3,Input_Konektivitas!$B$3:$B$563,$A4))</f>
        <v>1</v>
      </c>
      <c r="P4" s="29">
        <f>IF((COUNTIFS(Input_Konektivitas!$A$3:$A$563,$A4,Input_Konektivitas!$B$3:$B$563,P$3,Input_Konektivitas!$D$3:$D$563,"&gt;0")+COUNTIFS(Input_Konektivitas!$A$3:$A$563,P$3,Input_Konektivitas!$B$3:$B$563,$A4,Input_Konektivitas!$D$3:$D$563,"&gt;0"))=0,"",SUMIFS(Input_Konektivitas!$C$3:$C$563,Input_Konektivitas!$A$3:$A$563,$A4,Input_Konektivitas!$B$3:$B$563,P$3)+SUMIFS(Input_Konektivitas!$C$3:$C$563,Input_Konektivitas!$A$3:$A$563,P$3,Input_Konektivitas!$B$3:$B$563,$A4))</f>
        <v>1</v>
      </c>
      <c r="Q4" s="29" t="str">
        <f>IF((COUNTIFS(Input_Konektivitas!$A$3:$A$563,$A4,Input_Konektivitas!$B$3:$B$563,Q$3,Input_Konektivitas!$D$3:$D$563,"&gt;0")+COUNTIFS(Input_Konektivitas!$A$3:$A$563,Q$3,Input_Konektivitas!$B$3:$B$563,$A4,Input_Konektivitas!$D$3:$D$563,"&gt;0"))=0,"",SUMIFS(Input_Konektivitas!$C$3:$C$563,Input_Konektivitas!$A$3:$A$563,$A4,Input_Konektivitas!$B$3:$B$563,Q$3)+SUMIFS(Input_Konektivitas!$C$3:$C$563,Input_Konektivitas!$A$3:$A$563,Q$3,Input_Konektivitas!$B$3:$B$563,$A4))</f>
        <v/>
      </c>
      <c r="R4" s="29">
        <f>IF((COUNTIFS(Input_Konektivitas!$A$3:$A$563,$A4,Input_Konektivitas!$B$3:$B$563,R$3,Input_Konektivitas!$D$3:$D$563,"&gt;0")+COUNTIFS(Input_Konektivitas!$A$3:$A$563,R$3,Input_Konektivitas!$B$3:$B$563,$A4,Input_Konektivitas!$D$3:$D$563,"&gt;0"))=0,"",SUMIFS(Input_Konektivitas!$C$3:$C$563,Input_Konektivitas!$A$3:$A$563,$A4,Input_Konektivitas!$B$3:$B$563,R$3)+SUMIFS(Input_Konektivitas!$C$3:$C$563,Input_Konektivitas!$A$3:$A$563,R$3,Input_Konektivitas!$B$3:$B$563,$A4))</f>
        <v>1</v>
      </c>
      <c r="S4" s="29">
        <f>IF((COUNTIFS(Input_Konektivitas!$A$3:$A$563,$A4,Input_Konektivitas!$B$3:$B$563,S$3,Input_Konektivitas!$D$3:$D$563,"&gt;0")+COUNTIFS(Input_Konektivitas!$A$3:$A$563,S$3,Input_Konektivitas!$B$3:$B$563,$A4,Input_Konektivitas!$D$3:$D$563,"&gt;0"))=0,"",SUMIFS(Input_Konektivitas!$C$3:$C$563,Input_Konektivitas!$A$3:$A$563,$A4,Input_Konektivitas!$B$3:$B$563,S$3)+SUMIFS(Input_Konektivitas!$C$3:$C$563,Input_Konektivitas!$A$3:$A$563,S$3,Input_Konektivitas!$B$3:$B$563,$A4))</f>
        <v>1</v>
      </c>
      <c r="T4" s="29">
        <f>IF((COUNTIFS(Input_Konektivitas!$A$3:$A$563,$A4,Input_Konektivitas!$B$3:$B$563,T$3,Input_Konektivitas!$D$3:$D$563,"&gt;0")+COUNTIFS(Input_Konektivitas!$A$3:$A$563,T$3,Input_Konektivitas!$B$3:$B$563,$A4,Input_Konektivitas!$D$3:$D$563,"&gt;0"))=0,"",SUMIFS(Input_Konektivitas!$C$3:$C$563,Input_Konektivitas!$A$3:$A$563,$A4,Input_Konektivitas!$B$3:$B$563,T$3)+SUMIFS(Input_Konektivitas!$C$3:$C$563,Input_Konektivitas!$A$3:$A$563,T$3,Input_Konektivitas!$B$3:$B$563,$A4))</f>
        <v>1</v>
      </c>
      <c r="U4" s="29">
        <f>IF((COUNTIFS(Input_Konektivitas!$A$3:$A$563,$A4,Input_Konektivitas!$B$3:$B$563,U$3,Input_Konektivitas!$D$3:$D$563,"&gt;0")+COUNTIFS(Input_Konektivitas!$A$3:$A$563,U$3,Input_Konektivitas!$B$3:$B$563,$A4,Input_Konektivitas!$D$3:$D$563,"&gt;0"))=0,"",SUMIFS(Input_Konektivitas!$C$3:$C$563,Input_Konektivitas!$A$3:$A$563,$A4,Input_Konektivitas!$B$3:$B$563,U$3)+SUMIFS(Input_Konektivitas!$C$3:$C$563,Input_Konektivitas!$A$3:$A$563,U$3,Input_Konektivitas!$B$3:$B$563,$A4))</f>
        <v>1</v>
      </c>
      <c r="V4" s="29">
        <f>IF((COUNTIFS(Input_Konektivitas!$A$3:$A$563,$A4,Input_Konektivitas!$B$3:$B$563,V$3,Input_Konektivitas!$D$3:$D$563,"&gt;0")+COUNTIFS(Input_Konektivitas!$A$3:$A$563,V$3,Input_Konektivitas!$B$3:$B$563,$A4,Input_Konektivitas!$D$3:$D$563,"&gt;0"))=0,"",SUMIFS(Input_Konektivitas!$C$3:$C$563,Input_Konektivitas!$A$3:$A$563,$A4,Input_Konektivitas!$B$3:$B$563,V$3)+SUMIFS(Input_Konektivitas!$C$3:$C$563,Input_Konektivitas!$A$3:$A$563,V$3,Input_Konektivitas!$B$3:$B$563,$A4))</f>
        <v>1</v>
      </c>
      <c r="W4" s="29">
        <f>IF((COUNTIFS(Input_Konektivitas!$A$3:$A$563,$A4,Input_Konektivitas!$B$3:$B$563,W$3,Input_Konektivitas!$D$3:$D$563,"&gt;0")+COUNTIFS(Input_Konektivitas!$A$3:$A$563,W$3,Input_Konektivitas!$B$3:$B$563,$A4,Input_Konektivitas!$D$3:$D$563,"&gt;0"))=0,"",SUMIFS(Input_Konektivitas!$C$3:$C$563,Input_Konektivitas!$A$3:$A$563,$A4,Input_Konektivitas!$B$3:$B$563,W$3)+SUMIFS(Input_Konektivitas!$C$3:$C$563,Input_Konektivitas!$A$3:$A$563,W$3,Input_Konektivitas!$B$3:$B$563,$A4))</f>
        <v>1</v>
      </c>
      <c r="X4" s="29">
        <f>IF((COUNTIFS(Input_Konektivitas!$A$3:$A$563,$A4,Input_Konektivitas!$B$3:$B$563,X$3,Input_Konektivitas!$D$3:$D$563,"&gt;0")+COUNTIFS(Input_Konektivitas!$A$3:$A$563,X$3,Input_Konektivitas!$B$3:$B$563,$A4,Input_Konektivitas!$D$3:$D$563,"&gt;0"))=0,"",SUMIFS(Input_Konektivitas!$C$3:$C$563,Input_Konektivitas!$A$3:$A$563,$A4,Input_Konektivitas!$B$3:$B$563,X$3)+SUMIFS(Input_Konektivitas!$C$3:$C$563,Input_Konektivitas!$A$3:$A$563,X$3,Input_Konektivitas!$B$3:$B$563,$A4))</f>
        <v>1</v>
      </c>
      <c r="Y4" s="29">
        <f>IF((COUNTIFS(Input_Konektivitas!$A$3:$A$563,$A4,Input_Konektivitas!$B$3:$B$563,Y$3,Input_Konektivitas!$D$3:$D$563,"&gt;0")+COUNTIFS(Input_Konektivitas!$A$3:$A$563,Y$3,Input_Konektivitas!$B$3:$B$563,$A4,Input_Konektivitas!$D$3:$D$563,"&gt;0"))=0,"",SUMIFS(Input_Konektivitas!$C$3:$C$563,Input_Konektivitas!$A$3:$A$563,$A4,Input_Konektivitas!$B$3:$B$563,Y$3)+SUMIFS(Input_Konektivitas!$C$3:$C$563,Input_Konektivitas!$A$3:$A$563,Y$3,Input_Konektivitas!$B$3:$B$563,$A4))</f>
        <v>3</v>
      </c>
      <c r="Z4" s="29">
        <f>IF((COUNTIFS(Input_Konektivitas!$A$3:$A$563,$A4,Input_Konektivitas!$B$3:$B$563,Z$3,Input_Konektivitas!$D$3:$D$563,"&gt;0")+COUNTIFS(Input_Konektivitas!$A$3:$A$563,Z$3,Input_Konektivitas!$B$3:$B$563,$A4,Input_Konektivitas!$D$3:$D$563,"&gt;0"))=0,"",SUMIFS(Input_Konektivitas!$C$3:$C$563,Input_Konektivitas!$A$3:$A$563,$A4,Input_Konektivitas!$B$3:$B$563,Z$3)+SUMIFS(Input_Konektivitas!$C$3:$C$563,Input_Konektivitas!$A$3:$A$563,Z$3,Input_Konektivitas!$B$3:$B$563,$A4))</f>
        <v>2</v>
      </c>
      <c r="AA4" s="29">
        <f>IF((COUNTIFS(Input_Konektivitas!$A$3:$A$563,$A4,Input_Konektivitas!$B$3:$B$563,AA$3,Input_Konektivitas!$D$3:$D$563,"&gt;0")+COUNTIFS(Input_Konektivitas!$A$3:$A$563,AA$3,Input_Konektivitas!$B$3:$B$563,$A4,Input_Konektivitas!$D$3:$D$563,"&gt;0"))=0,"",SUMIFS(Input_Konektivitas!$C$3:$C$563,Input_Konektivitas!$A$3:$A$563,$A4,Input_Konektivitas!$B$3:$B$563,AA$3)+SUMIFS(Input_Konektivitas!$C$3:$C$563,Input_Konektivitas!$A$3:$A$563,AA$3,Input_Konektivitas!$B$3:$B$563,$A4))</f>
        <v>1</v>
      </c>
      <c r="AB4" s="29">
        <f>IF((COUNTIFS(Input_Konektivitas!$A$3:$A$563,$A4,Input_Konektivitas!$B$3:$B$563,AB$3,Input_Konektivitas!$D$3:$D$563,"&gt;0")+COUNTIFS(Input_Konektivitas!$A$3:$A$563,AB$3,Input_Konektivitas!$B$3:$B$563,$A4,Input_Konektivitas!$D$3:$D$563,"&gt;0"))=0,"",SUMIFS(Input_Konektivitas!$C$3:$C$563,Input_Konektivitas!$A$3:$A$563,$A4,Input_Konektivitas!$B$3:$B$563,AB$3)+SUMIFS(Input_Konektivitas!$C$3:$C$563,Input_Konektivitas!$A$3:$A$563,AB$3,Input_Konektivitas!$B$3:$B$563,$A4))</f>
        <v>1</v>
      </c>
      <c r="AC4" s="29">
        <f>IF((COUNTIFS(Input_Konektivitas!$A$3:$A$563,$A4,Input_Konektivitas!$B$3:$B$563,AC$3,Input_Konektivitas!$D$3:$D$563,"&gt;0")+COUNTIFS(Input_Konektivitas!$A$3:$A$563,AC$3,Input_Konektivitas!$B$3:$B$563,$A4,Input_Konektivitas!$D$3:$D$563,"&gt;0"))=0,"",SUMIFS(Input_Konektivitas!$C$3:$C$563,Input_Konektivitas!$A$3:$A$563,$A4,Input_Konektivitas!$B$3:$B$563,AC$3)+SUMIFS(Input_Konektivitas!$C$3:$C$563,Input_Konektivitas!$A$3:$A$563,AC$3,Input_Konektivitas!$B$3:$B$563,$A4))</f>
        <v>1</v>
      </c>
      <c r="AD4" s="29">
        <f>IF((COUNTIFS(Input_Konektivitas!$A$3:$A$563,$A4,Input_Konektivitas!$B$3:$B$563,AD$3,Input_Konektivitas!$D$3:$D$563,"&gt;0")+COUNTIFS(Input_Konektivitas!$A$3:$A$563,AD$3,Input_Konektivitas!$B$3:$B$563,$A4,Input_Konektivitas!$D$3:$D$563,"&gt;0"))=0,"",SUMIFS(Input_Konektivitas!$C$3:$C$563,Input_Konektivitas!$A$3:$A$563,$A4,Input_Konektivitas!$B$3:$B$563,AD$3)+SUMIFS(Input_Konektivitas!$C$3:$C$563,Input_Konektivitas!$A$3:$A$563,AD$3,Input_Konektivitas!$B$3:$B$563,$A4))</f>
        <v>1</v>
      </c>
      <c r="AE4" s="29">
        <f>IF((COUNTIFS(Input_Konektivitas!$A$3:$A$563,$A4,Input_Konektivitas!$B$3:$B$563,AE$3,Input_Konektivitas!$D$3:$D$563,"&gt;0")+COUNTIFS(Input_Konektivitas!$A$3:$A$563,AE$3,Input_Konektivitas!$B$3:$B$563,$A4,Input_Konektivitas!$D$3:$D$563,"&gt;0"))=0,"",SUMIFS(Input_Konektivitas!$C$3:$C$563,Input_Konektivitas!$A$3:$A$563,$A4,Input_Konektivitas!$B$3:$B$563,AE$3)+SUMIFS(Input_Konektivitas!$C$3:$C$563,Input_Konektivitas!$A$3:$A$563,AE$3,Input_Konektivitas!$B$3:$B$563,$A4))</f>
        <v>2</v>
      </c>
      <c r="AF4" s="29">
        <f>IF((COUNTIFS(Input_Konektivitas!$A$3:$A$563,$A4,Input_Konektivitas!$B$3:$B$563,AF$3,Input_Konektivitas!$D$3:$D$563,"&gt;0")+COUNTIFS(Input_Konektivitas!$A$3:$A$563,AF$3,Input_Konektivitas!$B$3:$B$563,$A4,Input_Konektivitas!$D$3:$D$563,"&gt;0"))=0,"",SUMIFS(Input_Konektivitas!$C$3:$C$563,Input_Konektivitas!$A$3:$A$563,$A4,Input_Konektivitas!$B$3:$B$563,AF$3)+SUMIFS(Input_Konektivitas!$C$3:$C$563,Input_Konektivitas!$A$3:$A$563,AF$3,Input_Konektivitas!$B$3:$B$563,$A4))</f>
        <v>1</v>
      </c>
      <c r="AG4" s="29">
        <f>IF((COUNTIFS(Input_Konektivitas!$A$3:$A$563,$A4,Input_Konektivitas!$B$3:$B$563,AG$3,Input_Konektivitas!$D$3:$D$563,"&gt;0")+COUNTIFS(Input_Konektivitas!$A$3:$A$563,AG$3,Input_Konektivitas!$B$3:$B$563,$A4,Input_Konektivitas!$D$3:$D$563,"&gt;0"))=0,"",SUMIFS(Input_Konektivitas!$C$3:$C$563,Input_Konektivitas!$A$3:$A$563,$A4,Input_Konektivitas!$B$3:$B$563,AG$3)+SUMIFS(Input_Konektivitas!$C$3:$C$563,Input_Konektivitas!$A$3:$A$563,AG$3,Input_Konektivitas!$B$3:$B$563,$A4))</f>
        <v>1</v>
      </c>
      <c r="AH4" s="29">
        <f>IF((COUNTIFS(Input_Konektivitas!$A$3:$A$563,$A4,Input_Konektivitas!$B$3:$B$563,AH$3,Input_Konektivitas!$D$3:$D$563,"&gt;0")+COUNTIFS(Input_Konektivitas!$A$3:$A$563,AH$3,Input_Konektivitas!$B$3:$B$563,$A4,Input_Konektivitas!$D$3:$D$563,"&gt;0"))=0,"",SUMIFS(Input_Konektivitas!$C$3:$C$563,Input_Konektivitas!$A$3:$A$563,$A4,Input_Konektivitas!$B$3:$B$563,AH$3)+SUMIFS(Input_Konektivitas!$C$3:$C$563,Input_Konektivitas!$A$3:$A$563,AH$3,Input_Konektivitas!$B$3:$B$563,$A4))</f>
        <v>1</v>
      </c>
      <c r="AI4" s="29">
        <f>IF((COUNTIFS(Input_Konektivitas!$A$3:$A$563,$A4,Input_Konektivitas!$B$3:$B$563,AI$3,Input_Konektivitas!$D$3:$D$563,"&gt;0")+COUNTIFS(Input_Konektivitas!$A$3:$A$563,AI$3,Input_Konektivitas!$B$3:$B$563,$A4,Input_Konektivitas!$D$3:$D$563,"&gt;0"))=0,"",SUMIFS(Input_Konektivitas!$C$3:$C$563,Input_Konektivitas!$A$3:$A$563,$A4,Input_Konektivitas!$B$3:$B$563,AI$3)+SUMIFS(Input_Konektivitas!$C$3:$C$563,Input_Konektivitas!$A$3:$A$563,AI$3,Input_Konektivitas!$B$3:$B$563,$A4))</f>
        <v>1</v>
      </c>
    </row>
    <row r="5" ht="14.25" customHeight="1">
      <c r="A5" s="22" t="s">
        <v>8</v>
      </c>
      <c r="B5" s="29">
        <f>IF((COUNTIFS(Input_Konektivitas!$A$3:$A$563,$A5,Input_Konektivitas!$B$3:$B$563,B$3,Input_Konektivitas!$D$3:$D$563,"&gt;0")+COUNTIFS(Input_Konektivitas!$A$3:$A$563,B$3,Input_Konektivitas!$B$3:$B$563,$A5,Input_Konektivitas!$D$3:$D$563,"&gt;0"))=0,"",SUMIFS(Input_Konektivitas!$C$3:$C$563,Input_Konektivitas!$A$3:$A$563,$A5,Input_Konektivitas!$B$3:$B$563,B$3)+SUMIFS(Input_Konektivitas!$C$3:$C$563,Input_Konektivitas!$A$3:$A$563,B$3,Input_Konektivitas!$B$3:$B$563,$A5))</f>
        <v>0</v>
      </c>
      <c r="C5" s="26">
        <v>0.0</v>
      </c>
      <c r="D5" s="29">
        <f>IF((COUNTIFS(Input_Konektivitas!$A$3:$A$563,$A5,Input_Konektivitas!$B$3:$B$563,D$3,Input_Konektivitas!$D$3:$D$563,"&gt;0")+COUNTIFS(Input_Konektivitas!$A$3:$A$563,D$3,Input_Konektivitas!$B$3:$B$563,$A5,Input_Konektivitas!$D$3:$D$563,"&gt;0"))=0,"",SUMIFS(Input_Konektivitas!$C$3:$C$563,Input_Konektivitas!$A$3:$A$563,$A5,Input_Konektivitas!$B$3:$B$563,D$3)+SUMIFS(Input_Konektivitas!$C$3:$C$563,Input_Konektivitas!$A$3:$A$563,D$3,Input_Konektivitas!$B$3:$B$563,$A5))</f>
        <v>0</v>
      </c>
      <c r="E5" s="29">
        <f>IF((COUNTIFS(Input_Konektivitas!$A$3:$A$563,$A5,Input_Konektivitas!$B$3:$B$563,E$3,Input_Konektivitas!$D$3:$D$563,"&gt;0")+COUNTIFS(Input_Konektivitas!$A$3:$A$563,E$3,Input_Konektivitas!$B$3:$B$563,$A5,Input_Konektivitas!$D$3:$D$563,"&gt;0"))=0,"",SUMIFS(Input_Konektivitas!$C$3:$C$563,Input_Konektivitas!$A$3:$A$563,$A5,Input_Konektivitas!$B$3:$B$563,E$3)+SUMIFS(Input_Konektivitas!$C$3:$C$563,Input_Konektivitas!$A$3:$A$563,E$3,Input_Konektivitas!$B$3:$B$563,$A5))</f>
        <v>0</v>
      </c>
      <c r="F5" s="29">
        <f>IF((COUNTIFS(Input_Konektivitas!$A$3:$A$563,$A5,Input_Konektivitas!$B$3:$B$563,F$3,Input_Konektivitas!$D$3:$D$563,"&gt;0")+COUNTIFS(Input_Konektivitas!$A$3:$A$563,F$3,Input_Konektivitas!$B$3:$B$563,$A5,Input_Konektivitas!$D$3:$D$563,"&gt;0"))=0,"",SUMIFS(Input_Konektivitas!$C$3:$C$563,Input_Konektivitas!$A$3:$A$563,$A5,Input_Konektivitas!$B$3:$B$563,F$3)+SUMIFS(Input_Konektivitas!$C$3:$C$563,Input_Konektivitas!$A$3:$A$563,F$3,Input_Konektivitas!$B$3:$B$563,$A5))</f>
        <v>1</v>
      </c>
      <c r="G5" s="29">
        <f>IF((COUNTIFS(Input_Konektivitas!$A$3:$A$563,$A5,Input_Konektivitas!$B$3:$B$563,G$3,Input_Konektivitas!$D$3:$D$563,"&gt;0")+COUNTIFS(Input_Konektivitas!$A$3:$A$563,G$3,Input_Konektivitas!$B$3:$B$563,$A5,Input_Konektivitas!$D$3:$D$563,"&gt;0"))=0,"",SUMIFS(Input_Konektivitas!$C$3:$C$563,Input_Konektivitas!$A$3:$A$563,$A5,Input_Konektivitas!$B$3:$B$563,G$3)+SUMIFS(Input_Konektivitas!$C$3:$C$563,Input_Konektivitas!$A$3:$A$563,G$3,Input_Konektivitas!$B$3:$B$563,$A5))</f>
        <v>0</v>
      </c>
      <c r="H5" s="29">
        <f>IF((COUNTIFS(Input_Konektivitas!$A$3:$A$563,$A5,Input_Konektivitas!$B$3:$B$563,H$3,Input_Konektivitas!$D$3:$D$563,"&gt;0")+COUNTIFS(Input_Konektivitas!$A$3:$A$563,H$3,Input_Konektivitas!$B$3:$B$563,$A5,Input_Konektivitas!$D$3:$D$563,"&gt;0"))=0,"",SUMIFS(Input_Konektivitas!$C$3:$C$563,Input_Konektivitas!$A$3:$A$563,$A5,Input_Konektivitas!$B$3:$B$563,H$3)+SUMIFS(Input_Konektivitas!$C$3:$C$563,Input_Konektivitas!$A$3:$A$563,H$3,Input_Konektivitas!$B$3:$B$563,$A5))</f>
        <v>1</v>
      </c>
      <c r="I5" s="29">
        <f>IF((COUNTIFS(Input_Konektivitas!$A$3:$A$563,$A5,Input_Konektivitas!$B$3:$B$563,I$3,Input_Konektivitas!$D$3:$D$563,"&gt;0")+COUNTIFS(Input_Konektivitas!$A$3:$A$563,I$3,Input_Konektivitas!$B$3:$B$563,$A5,Input_Konektivitas!$D$3:$D$563,"&gt;0"))=0,"",SUMIFS(Input_Konektivitas!$C$3:$C$563,Input_Konektivitas!$A$3:$A$563,$A5,Input_Konektivitas!$B$3:$B$563,I$3)+SUMIFS(Input_Konektivitas!$C$3:$C$563,Input_Konektivitas!$A$3:$A$563,I$3,Input_Konektivitas!$B$3:$B$563,$A5))</f>
        <v>1</v>
      </c>
      <c r="J5" s="29">
        <f>IF((COUNTIFS(Input_Konektivitas!$A$3:$A$563,$A5,Input_Konektivitas!$B$3:$B$563,J$3,Input_Konektivitas!$D$3:$D$563,"&gt;0")+COUNTIFS(Input_Konektivitas!$A$3:$A$563,J$3,Input_Konektivitas!$B$3:$B$563,$A5,Input_Konektivitas!$D$3:$D$563,"&gt;0"))=0,"",SUMIFS(Input_Konektivitas!$C$3:$C$563,Input_Konektivitas!$A$3:$A$563,$A5,Input_Konektivitas!$B$3:$B$563,J$3)+SUMIFS(Input_Konektivitas!$C$3:$C$563,Input_Konektivitas!$A$3:$A$563,J$3,Input_Konektivitas!$B$3:$B$563,$A5))</f>
        <v>1</v>
      </c>
      <c r="K5" s="29">
        <f>IF((COUNTIFS(Input_Konektivitas!$A$3:$A$563,$A5,Input_Konektivitas!$B$3:$B$563,K$3,Input_Konektivitas!$D$3:$D$563,"&gt;0")+COUNTIFS(Input_Konektivitas!$A$3:$A$563,K$3,Input_Konektivitas!$B$3:$B$563,$A5,Input_Konektivitas!$D$3:$D$563,"&gt;0"))=0,"",SUMIFS(Input_Konektivitas!$C$3:$C$563,Input_Konektivitas!$A$3:$A$563,$A5,Input_Konektivitas!$B$3:$B$563,K$3)+SUMIFS(Input_Konektivitas!$C$3:$C$563,Input_Konektivitas!$A$3:$A$563,K$3,Input_Konektivitas!$B$3:$B$563,$A5))</f>
        <v>1</v>
      </c>
      <c r="L5" s="29">
        <f>IF((COUNTIFS(Input_Konektivitas!$A$3:$A$563,$A5,Input_Konektivitas!$B$3:$B$563,L$3,Input_Konektivitas!$D$3:$D$563,"&gt;0")+COUNTIFS(Input_Konektivitas!$A$3:$A$563,L$3,Input_Konektivitas!$B$3:$B$563,$A5,Input_Konektivitas!$D$3:$D$563,"&gt;0"))=0,"",SUMIFS(Input_Konektivitas!$C$3:$C$563,Input_Konektivitas!$A$3:$A$563,$A5,Input_Konektivitas!$B$3:$B$563,L$3)+SUMIFS(Input_Konektivitas!$C$3:$C$563,Input_Konektivitas!$A$3:$A$563,L$3,Input_Konektivitas!$B$3:$B$563,$A5))</f>
        <v>1</v>
      </c>
      <c r="M5" s="29">
        <f>IF((COUNTIFS(Input_Konektivitas!$A$3:$A$563,$A5,Input_Konektivitas!$B$3:$B$563,M$3,Input_Konektivitas!$D$3:$D$563,"&gt;0")+COUNTIFS(Input_Konektivitas!$A$3:$A$563,M$3,Input_Konektivitas!$B$3:$B$563,$A5,Input_Konektivitas!$D$3:$D$563,"&gt;0"))=0,"",SUMIFS(Input_Konektivitas!$C$3:$C$563,Input_Konektivitas!$A$3:$A$563,$A5,Input_Konektivitas!$B$3:$B$563,M$3)+SUMIFS(Input_Konektivitas!$C$3:$C$563,Input_Konektivitas!$A$3:$A$563,M$3,Input_Konektivitas!$B$3:$B$563,$A5))</f>
        <v>0</v>
      </c>
      <c r="N5" s="29">
        <f>IF((COUNTIFS(Input_Konektivitas!$A$3:$A$563,$A5,Input_Konektivitas!$B$3:$B$563,N$3,Input_Konektivitas!$D$3:$D$563,"&gt;0")+COUNTIFS(Input_Konektivitas!$A$3:$A$563,N$3,Input_Konektivitas!$B$3:$B$563,$A5,Input_Konektivitas!$D$3:$D$563,"&gt;0"))=0,"",SUMIFS(Input_Konektivitas!$C$3:$C$563,Input_Konektivitas!$A$3:$A$563,$A5,Input_Konektivitas!$B$3:$B$563,N$3)+SUMIFS(Input_Konektivitas!$C$3:$C$563,Input_Konektivitas!$A$3:$A$563,N$3,Input_Konektivitas!$B$3:$B$563,$A5))</f>
        <v>1</v>
      </c>
      <c r="O5" s="29">
        <f>IF((COUNTIFS(Input_Konektivitas!$A$3:$A$563,$A5,Input_Konektivitas!$B$3:$B$563,O$3,Input_Konektivitas!$D$3:$D$563,"&gt;0")+COUNTIFS(Input_Konektivitas!$A$3:$A$563,O$3,Input_Konektivitas!$B$3:$B$563,$A5,Input_Konektivitas!$D$3:$D$563,"&gt;0"))=0,"",SUMIFS(Input_Konektivitas!$C$3:$C$563,Input_Konektivitas!$A$3:$A$563,$A5,Input_Konektivitas!$B$3:$B$563,O$3)+SUMIFS(Input_Konektivitas!$C$3:$C$563,Input_Konektivitas!$A$3:$A$563,O$3,Input_Konektivitas!$B$3:$B$563,$A5))</f>
        <v>0</v>
      </c>
      <c r="P5" s="29">
        <f>IF((COUNTIFS(Input_Konektivitas!$A$3:$A$563,$A5,Input_Konektivitas!$B$3:$B$563,P$3,Input_Konektivitas!$D$3:$D$563,"&gt;0")+COUNTIFS(Input_Konektivitas!$A$3:$A$563,P$3,Input_Konektivitas!$B$3:$B$563,$A5,Input_Konektivitas!$D$3:$D$563,"&gt;0"))=0,"",SUMIFS(Input_Konektivitas!$C$3:$C$563,Input_Konektivitas!$A$3:$A$563,$A5,Input_Konektivitas!$B$3:$B$563,P$3)+SUMIFS(Input_Konektivitas!$C$3:$C$563,Input_Konektivitas!$A$3:$A$563,P$3,Input_Konektivitas!$B$3:$B$563,$A5))</f>
        <v>0</v>
      </c>
      <c r="Q5" s="29" t="str">
        <f>IF((COUNTIFS(Input_Konektivitas!$A$3:$A$563,$A5,Input_Konektivitas!$B$3:$B$563,Q$3,Input_Konektivitas!$D$3:$D$563,"&gt;0")+COUNTIFS(Input_Konektivitas!$A$3:$A$563,Q$3,Input_Konektivitas!$B$3:$B$563,$A5,Input_Konektivitas!$D$3:$D$563,"&gt;0"))=0,"",SUMIFS(Input_Konektivitas!$C$3:$C$563,Input_Konektivitas!$A$3:$A$563,$A5,Input_Konektivitas!$B$3:$B$563,Q$3)+SUMIFS(Input_Konektivitas!$C$3:$C$563,Input_Konektivitas!$A$3:$A$563,Q$3,Input_Konektivitas!$B$3:$B$563,$A5))</f>
        <v/>
      </c>
      <c r="R5" s="29">
        <f>IF((COUNTIFS(Input_Konektivitas!$A$3:$A$563,$A5,Input_Konektivitas!$B$3:$B$563,R$3,Input_Konektivitas!$D$3:$D$563,"&gt;0")+COUNTIFS(Input_Konektivitas!$A$3:$A$563,R$3,Input_Konektivitas!$B$3:$B$563,$A5,Input_Konektivitas!$D$3:$D$563,"&gt;0"))=0,"",SUMIFS(Input_Konektivitas!$C$3:$C$563,Input_Konektivitas!$A$3:$A$563,$A5,Input_Konektivitas!$B$3:$B$563,R$3)+SUMIFS(Input_Konektivitas!$C$3:$C$563,Input_Konektivitas!$A$3:$A$563,R$3,Input_Konektivitas!$B$3:$B$563,$A5))</f>
        <v>1</v>
      </c>
      <c r="S5" s="29">
        <f>IF((COUNTIFS(Input_Konektivitas!$A$3:$A$563,$A5,Input_Konektivitas!$B$3:$B$563,S$3,Input_Konektivitas!$D$3:$D$563,"&gt;0")+COUNTIFS(Input_Konektivitas!$A$3:$A$563,S$3,Input_Konektivitas!$B$3:$B$563,$A5,Input_Konektivitas!$D$3:$D$563,"&gt;0"))=0,"",SUMIFS(Input_Konektivitas!$C$3:$C$563,Input_Konektivitas!$A$3:$A$563,$A5,Input_Konektivitas!$B$3:$B$563,S$3)+SUMIFS(Input_Konektivitas!$C$3:$C$563,Input_Konektivitas!$A$3:$A$563,S$3,Input_Konektivitas!$B$3:$B$563,$A5))</f>
        <v>1</v>
      </c>
      <c r="T5" s="29">
        <f>IF((COUNTIFS(Input_Konektivitas!$A$3:$A$563,$A5,Input_Konektivitas!$B$3:$B$563,T$3,Input_Konektivitas!$D$3:$D$563,"&gt;0")+COUNTIFS(Input_Konektivitas!$A$3:$A$563,T$3,Input_Konektivitas!$B$3:$B$563,$A5,Input_Konektivitas!$D$3:$D$563,"&gt;0"))=0,"",SUMIFS(Input_Konektivitas!$C$3:$C$563,Input_Konektivitas!$A$3:$A$563,$A5,Input_Konektivitas!$B$3:$B$563,T$3)+SUMIFS(Input_Konektivitas!$C$3:$C$563,Input_Konektivitas!$A$3:$A$563,T$3,Input_Konektivitas!$B$3:$B$563,$A5))</f>
        <v>1</v>
      </c>
      <c r="U5" s="29">
        <f>IF((COUNTIFS(Input_Konektivitas!$A$3:$A$563,$A5,Input_Konektivitas!$B$3:$B$563,U$3,Input_Konektivitas!$D$3:$D$563,"&gt;0")+COUNTIFS(Input_Konektivitas!$A$3:$A$563,U$3,Input_Konektivitas!$B$3:$B$563,$A5,Input_Konektivitas!$D$3:$D$563,"&gt;0"))=0,"",SUMIFS(Input_Konektivitas!$C$3:$C$563,Input_Konektivitas!$A$3:$A$563,$A5,Input_Konektivitas!$B$3:$B$563,U$3)+SUMIFS(Input_Konektivitas!$C$3:$C$563,Input_Konektivitas!$A$3:$A$563,U$3,Input_Konektivitas!$B$3:$B$563,$A5))</f>
        <v>1</v>
      </c>
      <c r="V5" s="29">
        <f>IF((COUNTIFS(Input_Konektivitas!$A$3:$A$563,$A5,Input_Konektivitas!$B$3:$B$563,V$3,Input_Konektivitas!$D$3:$D$563,"&gt;0")+COUNTIFS(Input_Konektivitas!$A$3:$A$563,V$3,Input_Konektivitas!$B$3:$B$563,$A5,Input_Konektivitas!$D$3:$D$563,"&gt;0"))=0,"",SUMIFS(Input_Konektivitas!$C$3:$C$563,Input_Konektivitas!$A$3:$A$563,$A5,Input_Konektivitas!$B$3:$B$563,V$3)+SUMIFS(Input_Konektivitas!$C$3:$C$563,Input_Konektivitas!$A$3:$A$563,V$3,Input_Konektivitas!$B$3:$B$563,$A5))</f>
        <v>1</v>
      </c>
      <c r="W5" s="29">
        <f>IF((COUNTIFS(Input_Konektivitas!$A$3:$A$563,$A5,Input_Konektivitas!$B$3:$B$563,W$3,Input_Konektivitas!$D$3:$D$563,"&gt;0")+COUNTIFS(Input_Konektivitas!$A$3:$A$563,W$3,Input_Konektivitas!$B$3:$B$563,$A5,Input_Konektivitas!$D$3:$D$563,"&gt;0"))=0,"",SUMIFS(Input_Konektivitas!$C$3:$C$563,Input_Konektivitas!$A$3:$A$563,$A5,Input_Konektivitas!$B$3:$B$563,W$3)+SUMIFS(Input_Konektivitas!$C$3:$C$563,Input_Konektivitas!$A$3:$A$563,W$3,Input_Konektivitas!$B$3:$B$563,$A5))</f>
        <v>1</v>
      </c>
      <c r="X5" s="29">
        <f>IF((COUNTIFS(Input_Konektivitas!$A$3:$A$563,$A5,Input_Konektivitas!$B$3:$B$563,X$3,Input_Konektivitas!$D$3:$D$563,"&gt;0")+COUNTIFS(Input_Konektivitas!$A$3:$A$563,X$3,Input_Konektivitas!$B$3:$B$563,$A5,Input_Konektivitas!$D$3:$D$563,"&gt;0"))=0,"",SUMIFS(Input_Konektivitas!$C$3:$C$563,Input_Konektivitas!$A$3:$A$563,$A5,Input_Konektivitas!$B$3:$B$563,X$3)+SUMIFS(Input_Konektivitas!$C$3:$C$563,Input_Konektivitas!$A$3:$A$563,X$3,Input_Konektivitas!$B$3:$B$563,$A5))</f>
        <v>1</v>
      </c>
      <c r="Y5" s="29">
        <f>IF((COUNTIFS(Input_Konektivitas!$A$3:$A$563,$A5,Input_Konektivitas!$B$3:$B$563,Y$3,Input_Konektivitas!$D$3:$D$563,"&gt;0")+COUNTIFS(Input_Konektivitas!$A$3:$A$563,Y$3,Input_Konektivitas!$B$3:$B$563,$A5,Input_Konektivitas!$D$3:$D$563,"&gt;0"))=0,"",SUMIFS(Input_Konektivitas!$C$3:$C$563,Input_Konektivitas!$A$3:$A$563,$A5,Input_Konektivitas!$B$3:$B$563,Y$3)+SUMIFS(Input_Konektivitas!$C$3:$C$563,Input_Konektivitas!$A$3:$A$563,Y$3,Input_Konektivitas!$B$3:$B$563,$A5))</f>
        <v>1</v>
      </c>
      <c r="Z5" s="29">
        <f>IF((COUNTIFS(Input_Konektivitas!$A$3:$A$563,$A5,Input_Konektivitas!$B$3:$B$563,Z$3,Input_Konektivitas!$D$3:$D$563,"&gt;0")+COUNTIFS(Input_Konektivitas!$A$3:$A$563,Z$3,Input_Konektivitas!$B$3:$B$563,$A5,Input_Konektivitas!$D$3:$D$563,"&gt;0"))=0,"",SUMIFS(Input_Konektivitas!$C$3:$C$563,Input_Konektivitas!$A$3:$A$563,$A5,Input_Konektivitas!$B$3:$B$563,Z$3)+SUMIFS(Input_Konektivitas!$C$3:$C$563,Input_Konektivitas!$A$3:$A$563,Z$3,Input_Konektivitas!$B$3:$B$563,$A5))</f>
        <v>1</v>
      </c>
      <c r="AA5" s="29">
        <f>IF((COUNTIFS(Input_Konektivitas!$A$3:$A$563,$A5,Input_Konektivitas!$B$3:$B$563,AA$3,Input_Konektivitas!$D$3:$D$563,"&gt;0")+COUNTIFS(Input_Konektivitas!$A$3:$A$563,AA$3,Input_Konektivitas!$B$3:$B$563,$A5,Input_Konektivitas!$D$3:$D$563,"&gt;0"))=0,"",SUMIFS(Input_Konektivitas!$C$3:$C$563,Input_Konektivitas!$A$3:$A$563,$A5,Input_Konektivitas!$B$3:$B$563,AA$3)+SUMIFS(Input_Konektivitas!$C$3:$C$563,Input_Konektivitas!$A$3:$A$563,AA$3,Input_Konektivitas!$B$3:$B$563,$A5))</f>
        <v>1</v>
      </c>
      <c r="AB5" s="29">
        <f>IF((COUNTIFS(Input_Konektivitas!$A$3:$A$563,$A5,Input_Konektivitas!$B$3:$B$563,AB$3,Input_Konektivitas!$D$3:$D$563,"&gt;0")+COUNTIFS(Input_Konektivitas!$A$3:$A$563,AB$3,Input_Konektivitas!$B$3:$B$563,$A5,Input_Konektivitas!$D$3:$D$563,"&gt;0"))=0,"",SUMIFS(Input_Konektivitas!$C$3:$C$563,Input_Konektivitas!$A$3:$A$563,$A5,Input_Konektivitas!$B$3:$B$563,AB$3)+SUMIFS(Input_Konektivitas!$C$3:$C$563,Input_Konektivitas!$A$3:$A$563,AB$3,Input_Konektivitas!$B$3:$B$563,$A5))</f>
        <v>1</v>
      </c>
      <c r="AC5" s="29">
        <f>IF((COUNTIFS(Input_Konektivitas!$A$3:$A$563,$A5,Input_Konektivitas!$B$3:$B$563,AC$3,Input_Konektivitas!$D$3:$D$563,"&gt;0")+COUNTIFS(Input_Konektivitas!$A$3:$A$563,AC$3,Input_Konektivitas!$B$3:$B$563,$A5,Input_Konektivitas!$D$3:$D$563,"&gt;0"))=0,"",SUMIFS(Input_Konektivitas!$C$3:$C$563,Input_Konektivitas!$A$3:$A$563,$A5,Input_Konektivitas!$B$3:$B$563,AC$3)+SUMIFS(Input_Konektivitas!$C$3:$C$563,Input_Konektivitas!$A$3:$A$563,AC$3,Input_Konektivitas!$B$3:$B$563,$A5))</f>
        <v>1</v>
      </c>
      <c r="AD5" s="29">
        <f>IF((COUNTIFS(Input_Konektivitas!$A$3:$A$563,$A5,Input_Konektivitas!$B$3:$B$563,AD$3,Input_Konektivitas!$D$3:$D$563,"&gt;0")+COUNTIFS(Input_Konektivitas!$A$3:$A$563,AD$3,Input_Konektivitas!$B$3:$B$563,$A5,Input_Konektivitas!$D$3:$D$563,"&gt;0"))=0,"",SUMIFS(Input_Konektivitas!$C$3:$C$563,Input_Konektivitas!$A$3:$A$563,$A5,Input_Konektivitas!$B$3:$B$563,AD$3)+SUMIFS(Input_Konektivitas!$C$3:$C$563,Input_Konektivitas!$A$3:$A$563,AD$3,Input_Konektivitas!$B$3:$B$563,$A5))</f>
        <v>1</v>
      </c>
      <c r="AE5" s="29">
        <f>IF((COUNTIFS(Input_Konektivitas!$A$3:$A$563,$A5,Input_Konektivitas!$B$3:$B$563,AE$3,Input_Konektivitas!$D$3:$D$563,"&gt;0")+COUNTIFS(Input_Konektivitas!$A$3:$A$563,AE$3,Input_Konektivitas!$B$3:$B$563,$A5,Input_Konektivitas!$D$3:$D$563,"&gt;0"))=0,"",SUMIFS(Input_Konektivitas!$C$3:$C$563,Input_Konektivitas!$A$3:$A$563,$A5,Input_Konektivitas!$B$3:$B$563,AE$3)+SUMIFS(Input_Konektivitas!$C$3:$C$563,Input_Konektivitas!$A$3:$A$563,AE$3,Input_Konektivitas!$B$3:$B$563,$A5))</f>
        <v>2</v>
      </c>
      <c r="AF5" s="29">
        <f>IF((COUNTIFS(Input_Konektivitas!$A$3:$A$563,$A5,Input_Konektivitas!$B$3:$B$563,AF$3,Input_Konektivitas!$D$3:$D$563,"&gt;0")+COUNTIFS(Input_Konektivitas!$A$3:$A$563,AF$3,Input_Konektivitas!$B$3:$B$563,$A5,Input_Konektivitas!$D$3:$D$563,"&gt;0"))=0,"",SUMIFS(Input_Konektivitas!$C$3:$C$563,Input_Konektivitas!$A$3:$A$563,$A5,Input_Konektivitas!$B$3:$B$563,AF$3)+SUMIFS(Input_Konektivitas!$C$3:$C$563,Input_Konektivitas!$A$3:$A$563,AF$3,Input_Konektivitas!$B$3:$B$563,$A5))</f>
        <v>1</v>
      </c>
      <c r="AG5" s="29">
        <f>IF((COUNTIFS(Input_Konektivitas!$A$3:$A$563,$A5,Input_Konektivitas!$B$3:$B$563,AG$3,Input_Konektivitas!$D$3:$D$563,"&gt;0")+COUNTIFS(Input_Konektivitas!$A$3:$A$563,AG$3,Input_Konektivitas!$B$3:$B$563,$A5,Input_Konektivitas!$D$3:$D$563,"&gt;0"))=0,"",SUMIFS(Input_Konektivitas!$C$3:$C$563,Input_Konektivitas!$A$3:$A$563,$A5,Input_Konektivitas!$B$3:$B$563,AG$3)+SUMIFS(Input_Konektivitas!$C$3:$C$563,Input_Konektivitas!$A$3:$A$563,AG$3,Input_Konektivitas!$B$3:$B$563,$A5))</f>
        <v>1</v>
      </c>
      <c r="AH5" s="29">
        <f>IF((COUNTIFS(Input_Konektivitas!$A$3:$A$563,$A5,Input_Konektivitas!$B$3:$B$563,AH$3,Input_Konektivitas!$D$3:$D$563,"&gt;0")+COUNTIFS(Input_Konektivitas!$A$3:$A$563,AH$3,Input_Konektivitas!$B$3:$B$563,$A5,Input_Konektivitas!$D$3:$D$563,"&gt;0"))=0,"",SUMIFS(Input_Konektivitas!$C$3:$C$563,Input_Konektivitas!$A$3:$A$563,$A5,Input_Konektivitas!$B$3:$B$563,AH$3)+SUMIFS(Input_Konektivitas!$C$3:$C$563,Input_Konektivitas!$A$3:$A$563,AH$3,Input_Konektivitas!$B$3:$B$563,$A5))</f>
        <v>1</v>
      </c>
      <c r="AI5" s="29">
        <f>IF((COUNTIFS(Input_Konektivitas!$A$3:$A$563,$A5,Input_Konektivitas!$B$3:$B$563,AI$3,Input_Konektivitas!$D$3:$D$563,"&gt;0")+COUNTIFS(Input_Konektivitas!$A$3:$A$563,AI$3,Input_Konektivitas!$B$3:$B$563,$A5,Input_Konektivitas!$D$3:$D$563,"&gt;0"))=0,"",SUMIFS(Input_Konektivitas!$C$3:$C$563,Input_Konektivitas!$A$3:$A$563,$A5,Input_Konektivitas!$B$3:$B$563,AI$3)+SUMIFS(Input_Konektivitas!$C$3:$C$563,Input_Konektivitas!$A$3:$A$563,AI$3,Input_Konektivitas!$B$3:$B$563,$A5))</f>
        <v>1</v>
      </c>
    </row>
    <row r="6" ht="14.25" customHeight="1">
      <c r="A6" s="22" t="s">
        <v>10</v>
      </c>
      <c r="B6" s="29">
        <f>IF((COUNTIFS(Input_Konektivitas!$A$3:$A$563,$A6,Input_Konektivitas!$B$3:$B$563,B$3,Input_Konektivitas!$D$3:$D$563,"&gt;0")+COUNTIFS(Input_Konektivitas!$A$3:$A$563,B$3,Input_Konektivitas!$B$3:$B$563,$A6,Input_Konektivitas!$D$3:$D$563,"&gt;0"))=0,"",SUMIFS(Input_Konektivitas!$C$3:$C$563,Input_Konektivitas!$A$3:$A$563,$A6,Input_Konektivitas!$B$3:$B$563,B$3)+SUMIFS(Input_Konektivitas!$C$3:$C$563,Input_Konektivitas!$A$3:$A$563,B$3,Input_Konektivitas!$B$3:$B$563,$A6))</f>
        <v>1</v>
      </c>
      <c r="C6" s="29">
        <f>IF((COUNTIFS(Input_Konektivitas!$A$3:$A$563,$A6,Input_Konektivitas!$B$3:$B$563,C$3,Input_Konektivitas!$D$3:$D$563,"&gt;0")+COUNTIFS(Input_Konektivitas!$A$3:$A$563,C$3,Input_Konektivitas!$B$3:$B$563,$A6,Input_Konektivitas!$D$3:$D$563,"&gt;0"))=0,"",SUMIFS(Input_Konektivitas!$C$3:$C$563,Input_Konektivitas!$A$3:$A$563,$A6,Input_Konektivitas!$B$3:$B$563,C$3)+SUMIFS(Input_Konektivitas!$C$3:$C$563,Input_Konektivitas!$A$3:$A$563,C$3,Input_Konektivitas!$B$3:$B$563,$A6))</f>
        <v>0</v>
      </c>
      <c r="D6" s="26">
        <v>0.0</v>
      </c>
      <c r="E6" s="29">
        <f>IF((COUNTIFS(Input_Konektivitas!$A$3:$A$563,$A6,Input_Konektivitas!$B$3:$B$563,E$3,Input_Konektivitas!$D$3:$D$563,"&gt;0")+COUNTIFS(Input_Konektivitas!$A$3:$A$563,E$3,Input_Konektivitas!$B$3:$B$563,$A6,Input_Konektivitas!$D$3:$D$563,"&gt;0"))=0,"",SUMIFS(Input_Konektivitas!$C$3:$C$563,Input_Konektivitas!$A$3:$A$563,$A6,Input_Konektivitas!$B$3:$B$563,E$3)+SUMIFS(Input_Konektivitas!$C$3:$C$563,Input_Konektivitas!$A$3:$A$563,E$3,Input_Konektivitas!$B$3:$B$563,$A6))</f>
        <v>1</v>
      </c>
      <c r="F6" s="29">
        <f>IF((COUNTIFS(Input_Konektivitas!$A$3:$A$563,$A6,Input_Konektivitas!$B$3:$B$563,F$3,Input_Konektivitas!$D$3:$D$563,"&gt;0")+COUNTIFS(Input_Konektivitas!$A$3:$A$563,F$3,Input_Konektivitas!$B$3:$B$563,$A6,Input_Konektivitas!$D$3:$D$563,"&gt;0"))=0,"",SUMIFS(Input_Konektivitas!$C$3:$C$563,Input_Konektivitas!$A$3:$A$563,$A6,Input_Konektivitas!$B$3:$B$563,F$3)+SUMIFS(Input_Konektivitas!$C$3:$C$563,Input_Konektivitas!$A$3:$A$563,F$3,Input_Konektivitas!$B$3:$B$563,$A6))</f>
        <v>1</v>
      </c>
      <c r="G6" s="29">
        <f>IF((COUNTIFS(Input_Konektivitas!$A$3:$A$563,$A6,Input_Konektivitas!$B$3:$B$563,G$3,Input_Konektivitas!$D$3:$D$563,"&gt;0")+COUNTIFS(Input_Konektivitas!$A$3:$A$563,G$3,Input_Konektivitas!$B$3:$B$563,$A6,Input_Konektivitas!$D$3:$D$563,"&gt;0"))=0,"",SUMIFS(Input_Konektivitas!$C$3:$C$563,Input_Konektivitas!$A$3:$A$563,$A6,Input_Konektivitas!$B$3:$B$563,G$3)+SUMIFS(Input_Konektivitas!$C$3:$C$563,Input_Konektivitas!$A$3:$A$563,G$3,Input_Konektivitas!$B$3:$B$563,$A6))</f>
        <v>1</v>
      </c>
      <c r="H6" s="29">
        <f>IF((COUNTIFS(Input_Konektivitas!$A$3:$A$563,$A6,Input_Konektivitas!$B$3:$B$563,H$3,Input_Konektivitas!$D$3:$D$563,"&gt;0")+COUNTIFS(Input_Konektivitas!$A$3:$A$563,H$3,Input_Konektivitas!$B$3:$B$563,$A6,Input_Konektivitas!$D$3:$D$563,"&gt;0"))=0,"",SUMIFS(Input_Konektivitas!$C$3:$C$563,Input_Konektivitas!$A$3:$A$563,$A6,Input_Konektivitas!$B$3:$B$563,H$3)+SUMIFS(Input_Konektivitas!$C$3:$C$563,Input_Konektivitas!$A$3:$A$563,H$3,Input_Konektivitas!$B$3:$B$563,$A6))</f>
        <v>1</v>
      </c>
      <c r="I6" s="29">
        <f>IF((COUNTIFS(Input_Konektivitas!$A$3:$A$563,$A6,Input_Konektivitas!$B$3:$B$563,I$3,Input_Konektivitas!$D$3:$D$563,"&gt;0")+COUNTIFS(Input_Konektivitas!$A$3:$A$563,I$3,Input_Konektivitas!$B$3:$B$563,$A6,Input_Konektivitas!$D$3:$D$563,"&gt;0"))=0,"",SUMIFS(Input_Konektivitas!$C$3:$C$563,Input_Konektivitas!$A$3:$A$563,$A6,Input_Konektivitas!$B$3:$B$563,I$3)+SUMIFS(Input_Konektivitas!$C$3:$C$563,Input_Konektivitas!$A$3:$A$563,I$3,Input_Konektivitas!$B$3:$B$563,$A6))</f>
        <v>1</v>
      </c>
      <c r="J6" s="29">
        <f>IF((COUNTIFS(Input_Konektivitas!$A$3:$A$563,$A6,Input_Konektivitas!$B$3:$B$563,J$3,Input_Konektivitas!$D$3:$D$563,"&gt;0")+COUNTIFS(Input_Konektivitas!$A$3:$A$563,J$3,Input_Konektivitas!$B$3:$B$563,$A6,Input_Konektivitas!$D$3:$D$563,"&gt;0"))=0,"",SUMIFS(Input_Konektivitas!$C$3:$C$563,Input_Konektivitas!$A$3:$A$563,$A6,Input_Konektivitas!$B$3:$B$563,J$3)+SUMIFS(Input_Konektivitas!$C$3:$C$563,Input_Konektivitas!$A$3:$A$563,J$3,Input_Konektivitas!$B$3:$B$563,$A6))</f>
        <v>1</v>
      </c>
      <c r="K6" s="29">
        <f>IF((COUNTIFS(Input_Konektivitas!$A$3:$A$563,$A6,Input_Konektivitas!$B$3:$B$563,K$3,Input_Konektivitas!$D$3:$D$563,"&gt;0")+COUNTIFS(Input_Konektivitas!$A$3:$A$563,K$3,Input_Konektivitas!$B$3:$B$563,$A6,Input_Konektivitas!$D$3:$D$563,"&gt;0"))=0,"",SUMIFS(Input_Konektivitas!$C$3:$C$563,Input_Konektivitas!$A$3:$A$563,$A6,Input_Konektivitas!$B$3:$B$563,K$3)+SUMIFS(Input_Konektivitas!$C$3:$C$563,Input_Konektivitas!$A$3:$A$563,K$3,Input_Konektivitas!$B$3:$B$563,$A6))</f>
        <v>1</v>
      </c>
      <c r="L6" s="29">
        <f>IF((COUNTIFS(Input_Konektivitas!$A$3:$A$563,$A6,Input_Konektivitas!$B$3:$B$563,L$3,Input_Konektivitas!$D$3:$D$563,"&gt;0")+COUNTIFS(Input_Konektivitas!$A$3:$A$563,L$3,Input_Konektivitas!$B$3:$B$563,$A6,Input_Konektivitas!$D$3:$D$563,"&gt;0"))=0,"",SUMIFS(Input_Konektivitas!$C$3:$C$563,Input_Konektivitas!$A$3:$A$563,$A6,Input_Konektivitas!$B$3:$B$563,L$3)+SUMIFS(Input_Konektivitas!$C$3:$C$563,Input_Konektivitas!$A$3:$A$563,L$3,Input_Konektivitas!$B$3:$B$563,$A6))</f>
        <v>0</v>
      </c>
      <c r="M6" s="29">
        <f>IF((COUNTIFS(Input_Konektivitas!$A$3:$A$563,$A6,Input_Konektivitas!$B$3:$B$563,M$3,Input_Konektivitas!$D$3:$D$563,"&gt;0")+COUNTIFS(Input_Konektivitas!$A$3:$A$563,M$3,Input_Konektivitas!$B$3:$B$563,$A6,Input_Konektivitas!$D$3:$D$563,"&gt;0"))=0,"",SUMIFS(Input_Konektivitas!$C$3:$C$563,Input_Konektivitas!$A$3:$A$563,$A6,Input_Konektivitas!$B$3:$B$563,M$3)+SUMIFS(Input_Konektivitas!$C$3:$C$563,Input_Konektivitas!$A$3:$A$563,M$3,Input_Konektivitas!$B$3:$B$563,$A6))</f>
        <v>2</v>
      </c>
      <c r="N6" s="29">
        <f>IF((COUNTIFS(Input_Konektivitas!$A$3:$A$563,$A6,Input_Konektivitas!$B$3:$B$563,N$3,Input_Konektivitas!$D$3:$D$563,"&gt;0")+COUNTIFS(Input_Konektivitas!$A$3:$A$563,N$3,Input_Konektivitas!$B$3:$B$563,$A6,Input_Konektivitas!$D$3:$D$563,"&gt;0"))=0,"",SUMIFS(Input_Konektivitas!$C$3:$C$563,Input_Konektivitas!$A$3:$A$563,$A6,Input_Konektivitas!$B$3:$B$563,N$3)+SUMIFS(Input_Konektivitas!$C$3:$C$563,Input_Konektivitas!$A$3:$A$563,N$3,Input_Konektivitas!$B$3:$B$563,$A6))</f>
        <v>1</v>
      </c>
      <c r="O6" s="29">
        <f>IF((COUNTIFS(Input_Konektivitas!$A$3:$A$563,$A6,Input_Konektivitas!$B$3:$B$563,O$3,Input_Konektivitas!$D$3:$D$563,"&gt;0")+COUNTIFS(Input_Konektivitas!$A$3:$A$563,O$3,Input_Konektivitas!$B$3:$B$563,$A6,Input_Konektivitas!$D$3:$D$563,"&gt;0"))=0,"",SUMIFS(Input_Konektivitas!$C$3:$C$563,Input_Konektivitas!$A$3:$A$563,$A6,Input_Konektivitas!$B$3:$B$563,O$3)+SUMIFS(Input_Konektivitas!$C$3:$C$563,Input_Konektivitas!$A$3:$A$563,O$3,Input_Konektivitas!$B$3:$B$563,$A6))</f>
        <v>0</v>
      </c>
      <c r="P6" s="29">
        <f>IF((COUNTIFS(Input_Konektivitas!$A$3:$A$563,$A6,Input_Konektivitas!$B$3:$B$563,P$3,Input_Konektivitas!$D$3:$D$563,"&gt;0")+COUNTIFS(Input_Konektivitas!$A$3:$A$563,P$3,Input_Konektivitas!$B$3:$B$563,$A6,Input_Konektivitas!$D$3:$D$563,"&gt;0"))=0,"",SUMIFS(Input_Konektivitas!$C$3:$C$563,Input_Konektivitas!$A$3:$A$563,$A6,Input_Konektivitas!$B$3:$B$563,P$3)+SUMIFS(Input_Konektivitas!$C$3:$C$563,Input_Konektivitas!$A$3:$A$563,P$3,Input_Konektivitas!$B$3:$B$563,$A6))</f>
        <v>1</v>
      </c>
      <c r="Q6" s="29" t="str">
        <f>IF((COUNTIFS(Input_Konektivitas!$A$3:$A$563,$A6,Input_Konektivitas!$B$3:$B$563,Q$3,Input_Konektivitas!$D$3:$D$563,"&gt;0")+COUNTIFS(Input_Konektivitas!$A$3:$A$563,Q$3,Input_Konektivitas!$B$3:$B$563,$A6,Input_Konektivitas!$D$3:$D$563,"&gt;0"))=0,"",SUMIFS(Input_Konektivitas!$C$3:$C$563,Input_Konektivitas!$A$3:$A$563,$A6,Input_Konektivitas!$B$3:$B$563,Q$3)+SUMIFS(Input_Konektivitas!$C$3:$C$563,Input_Konektivitas!$A$3:$A$563,Q$3,Input_Konektivitas!$B$3:$B$563,$A6))</f>
        <v/>
      </c>
      <c r="R6" s="29">
        <f>IF((COUNTIFS(Input_Konektivitas!$A$3:$A$563,$A6,Input_Konektivitas!$B$3:$B$563,R$3,Input_Konektivitas!$D$3:$D$563,"&gt;0")+COUNTIFS(Input_Konektivitas!$A$3:$A$563,R$3,Input_Konektivitas!$B$3:$B$563,$A6,Input_Konektivitas!$D$3:$D$563,"&gt;0"))=0,"",SUMIFS(Input_Konektivitas!$C$3:$C$563,Input_Konektivitas!$A$3:$A$563,$A6,Input_Konektivitas!$B$3:$B$563,R$3)+SUMIFS(Input_Konektivitas!$C$3:$C$563,Input_Konektivitas!$A$3:$A$563,R$3,Input_Konektivitas!$B$3:$B$563,$A6))</f>
        <v>1</v>
      </c>
      <c r="S6" s="29">
        <f>IF((COUNTIFS(Input_Konektivitas!$A$3:$A$563,$A6,Input_Konektivitas!$B$3:$B$563,S$3,Input_Konektivitas!$D$3:$D$563,"&gt;0")+COUNTIFS(Input_Konektivitas!$A$3:$A$563,S$3,Input_Konektivitas!$B$3:$B$563,$A6,Input_Konektivitas!$D$3:$D$563,"&gt;0"))=0,"",SUMIFS(Input_Konektivitas!$C$3:$C$563,Input_Konektivitas!$A$3:$A$563,$A6,Input_Konektivitas!$B$3:$B$563,S$3)+SUMIFS(Input_Konektivitas!$C$3:$C$563,Input_Konektivitas!$A$3:$A$563,S$3,Input_Konektivitas!$B$3:$B$563,$A6))</f>
        <v>1</v>
      </c>
      <c r="T6" s="29">
        <f>IF((COUNTIFS(Input_Konektivitas!$A$3:$A$563,$A6,Input_Konektivitas!$B$3:$B$563,T$3,Input_Konektivitas!$D$3:$D$563,"&gt;0")+COUNTIFS(Input_Konektivitas!$A$3:$A$563,T$3,Input_Konektivitas!$B$3:$B$563,$A6,Input_Konektivitas!$D$3:$D$563,"&gt;0"))=0,"",SUMIFS(Input_Konektivitas!$C$3:$C$563,Input_Konektivitas!$A$3:$A$563,$A6,Input_Konektivitas!$B$3:$B$563,T$3)+SUMIFS(Input_Konektivitas!$C$3:$C$563,Input_Konektivitas!$A$3:$A$563,T$3,Input_Konektivitas!$B$3:$B$563,$A6))</f>
        <v>1</v>
      </c>
      <c r="U6" s="29">
        <f>IF((COUNTIFS(Input_Konektivitas!$A$3:$A$563,$A6,Input_Konektivitas!$B$3:$B$563,U$3,Input_Konektivitas!$D$3:$D$563,"&gt;0")+COUNTIFS(Input_Konektivitas!$A$3:$A$563,U$3,Input_Konektivitas!$B$3:$B$563,$A6,Input_Konektivitas!$D$3:$D$563,"&gt;0"))=0,"",SUMIFS(Input_Konektivitas!$C$3:$C$563,Input_Konektivitas!$A$3:$A$563,$A6,Input_Konektivitas!$B$3:$B$563,U$3)+SUMIFS(Input_Konektivitas!$C$3:$C$563,Input_Konektivitas!$A$3:$A$563,U$3,Input_Konektivitas!$B$3:$B$563,$A6))</f>
        <v>1</v>
      </c>
      <c r="V6" s="29">
        <f>IF((COUNTIFS(Input_Konektivitas!$A$3:$A$563,$A6,Input_Konektivitas!$B$3:$B$563,V$3,Input_Konektivitas!$D$3:$D$563,"&gt;0")+COUNTIFS(Input_Konektivitas!$A$3:$A$563,V$3,Input_Konektivitas!$B$3:$B$563,$A6,Input_Konektivitas!$D$3:$D$563,"&gt;0"))=0,"",SUMIFS(Input_Konektivitas!$C$3:$C$563,Input_Konektivitas!$A$3:$A$563,$A6,Input_Konektivitas!$B$3:$B$563,V$3)+SUMIFS(Input_Konektivitas!$C$3:$C$563,Input_Konektivitas!$A$3:$A$563,V$3,Input_Konektivitas!$B$3:$B$563,$A6))</f>
        <v>1</v>
      </c>
      <c r="W6" s="29">
        <f>IF((COUNTIFS(Input_Konektivitas!$A$3:$A$563,$A6,Input_Konektivitas!$B$3:$B$563,W$3,Input_Konektivitas!$D$3:$D$563,"&gt;0")+COUNTIFS(Input_Konektivitas!$A$3:$A$563,W$3,Input_Konektivitas!$B$3:$B$563,$A6,Input_Konektivitas!$D$3:$D$563,"&gt;0"))=0,"",SUMIFS(Input_Konektivitas!$C$3:$C$563,Input_Konektivitas!$A$3:$A$563,$A6,Input_Konektivitas!$B$3:$B$563,W$3)+SUMIFS(Input_Konektivitas!$C$3:$C$563,Input_Konektivitas!$A$3:$A$563,W$3,Input_Konektivitas!$B$3:$B$563,$A6))</f>
        <v>1</v>
      </c>
      <c r="X6" s="29">
        <f>IF((COUNTIFS(Input_Konektivitas!$A$3:$A$563,$A6,Input_Konektivitas!$B$3:$B$563,X$3,Input_Konektivitas!$D$3:$D$563,"&gt;0")+COUNTIFS(Input_Konektivitas!$A$3:$A$563,X$3,Input_Konektivitas!$B$3:$B$563,$A6,Input_Konektivitas!$D$3:$D$563,"&gt;0"))=0,"",SUMIFS(Input_Konektivitas!$C$3:$C$563,Input_Konektivitas!$A$3:$A$563,$A6,Input_Konektivitas!$B$3:$B$563,X$3)+SUMIFS(Input_Konektivitas!$C$3:$C$563,Input_Konektivitas!$A$3:$A$563,X$3,Input_Konektivitas!$B$3:$B$563,$A6))</f>
        <v>1</v>
      </c>
      <c r="Y6" s="29">
        <f>IF((COUNTIFS(Input_Konektivitas!$A$3:$A$563,$A6,Input_Konektivitas!$B$3:$B$563,Y$3,Input_Konektivitas!$D$3:$D$563,"&gt;0")+COUNTIFS(Input_Konektivitas!$A$3:$A$563,Y$3,Input_Konektivitas!$B$3:$B$563,$A6,Input_Konektivitas!$D$3:$D$563,"&gt;0"))=0,"",SUMIFS(Input_Konektivitas!$C$3:$C$563,Input_Konektivitas!$A$3:$A$563,$A6,Input_Konektivitas!$B$3:$B$563,Y$3)+SUMIFS(Input_Konektivitas!$C$3:$C$563,Input_Konektivitas!$A$3:$A$563,Y$3,Input_Konektivitas!$B$3:$B$563,$A6))</f>
        <v>1</v>
      </c>
      <c r="Z6" s="29">
        <f>IF((COUNTIFS(Input_Konektivitas!$A$3:$A$563,$A6,Input_Konektivitas!$B$3:$B$563,Z$3,Input_Konektivitas!$D$3:$D$563,"&gt;0")+COUNTIFS(Input_Konektivitas!$A$3:$A$563,Z$3,Input_Konektivitas!$B$3:$B$563,$A6,Input_Konektivitas!$D$3:$D$563,"&gt;0"))=0,"",SUMIFS(Input_Konektivitas!$C$3:$C$563,Input_Konektivitas!$A$3:$A$563,$A6,Input_Konektivitas!$B$3:$B$563,Z$3)+SUMIFS(Input_Konektivitas!$C$3:$C$563,Input_Konektivitas!$A$3:$A$563,Z$3,Input_Konektivitas!$B$3:$B$563,$A6))</f>
        <v>1</v>
      </c>
      <c r="AA6" s="29">
        <f>IF((COUNTIFS(Input_Konektivitas!$A$3:$A$563,$A6,Input_Konektivitas!$B$3:$B$563,AA$3,Input_Konektivitas!$D$3:$D$563,"&gt;0")+COUNTIFS(Input_Konektivitas!$A$3:$A$563,AA$3,Input_Konektivitas!$B$3:$B$563,$A6,Input_Konektivitas!$D$3:$D$563,"&gt;0"))=0,"",SUMIFS(Input_Konektivitas!$C$3:$C$563,Input_Konektivitas!$A$3:$A$563,$A6,Input_Konektivitas!$B$3:$B$563,AA$3)+SUMIFS(Input_Konektivitas!$C$3:$C$563,Input_Konektivitas!$A$3:$A$563,AA$3,Input_Konektivitas!$B$3:$B$563,$A6))</f>
        <v>1</v>
      </c>
      <c r="AB6" s="29">
        <f>IF((COUNTIFS(Input_Konektivitas!$A$3:$A$563,$A6,Input_Konektivitas!$B$3:$B$563,AB$3,Input_Konektivitas!$D$3:$D$563,"&gt;0")+COUNTIFS(Input_Konektivitas!$A$3:$A$563,AB$3,Input_Konektivitas!$B$3:$B$563,$A6,Input_Konektivitas!$D$3:$D$563,"&gt;0"))=0,"",SUMIFS(Input_Konektivitas!$C$3:$C$563,Input_Konektivitas!$A$3:$A$563,$A6,Input_Konektivitas!$B$3:$B$563,AB$3)+SUMIFS(Input_Konektivitas!$C$3:$C$563,Input_Konektivitas!$A$3:$A$563,AB$3,Input_Konektivitas!$B$3:$B$563,$A6))</f>
        <v>1</v>
      </c>
      <c r="AC6" s="29">
        <f>IF((COUNTIFS(Input_Konektivitas!$A$3:$A$563,$A6,Input_Konektivitas!$B$3:$B$563,AC$3,Input_Konektivitas!$D$3:$D$563,"&gt;0")+COUNTIFS(Input_Konektivitas!$A$3:$A$563,AC$3,Input_Konektivitas!$B$3:$B$563,$A6,Input_Konektivitas!$D$3:$D$563,"&gt;0"))=0,"",SUMIFS(Input_Konektivitas!$C$3:$C$563,Input_Konektivitas!$A$3:$A$563,$A6,Input_Konektivitas!$B$3:$B$563,AC$3)+SUMIFS(Input_Konektivitas!$C$3:$C$563,Input_Konektivitas!$A$3:$A$563,AC$3,Input_Konektivitas!$B$3:$B$563,$A6))</f>
        <v>1</v>
      </c>
      <c r="AD6" s="29">
        <f>IF((COUNTIFS(Input_Konektivitas!$A$3:$A$563,$A6,Input_Konektivitas!$B$3:$B$563,AD$3,Input_Konektivitas!$D$3:$D$563,"&gt;0")+COUNTIFS(Input_Konektivitas!$A$3:$A$563,AD$3,Input_Konektivitas!$B$3:$B$563,$A6,Input_Konektivitas!$D$3:$D$563,"&gt;0"))=0,"",SUMIFS(Input_Konektivitas!$C$3:$C$563,Input_Konektivitas!$A$3:$A$563,$A6,Input_Konektivitas!$B$3:$B$563,AD$3)+SUMIFS(Input_Konektivitas!$C$3:$C$563,Input_Konektivitas!$A$3:$A$563,AD$3,Input_Konektivitas!$B$3:$B$563,$A6))</f>
        <v>1</v>
      </c>
      <c r="AE6" s="29">
        <f>IF((COUNTIFS(Input_Konektivitas!$A$3:$A$563,$A6,Input_Konektivitas!$B$3:$B$563,AE$3,Input_Konektivitas!$D$3:$D$563,"&gt;0")+COUNTIFS(Input_Konektivitas!$A$3:$A$563,AE$3,Input_Konektivitas!$B$3:$B$563,$A6,Input_Konektivitas!$D$3:$D$563,"&gt;0"))=0,"",SUMIFS(Input_Konektivitas!$C$3:$C$563,Input_Konektivitas!$A$3:$A$563,$A6,Input_Konektivitas!$B$3:$B$563,AE$3)+SUMIFS(Input_Konektivitas!$C$3:$C$563,Input_Konektivitas!$A$3:$A$563,AE$3,Input_Konektivitas!$B$3:$B$563,$A6))</f>
        <v>2</v>
      </c>
      <c r="AF6" s="29">
        <f>IF((COUNTIFS(Input_Konektivitas!$A$3:$A$563,$A6,Input_Konektivitas!$B$3:$B$563,AF$3,Input_Konektivitas!$D$3:$D$563,"&gt;0")+COUNTIFS(Input_Konektivitas!$A$3:$A$563,AF$3,Input_Konektivitas!$B$3:$B$563,$A6,Input_Konektivitas!$D$3:$D$563,"&gt;0"))=0,"",SUMIFS(Input_Konektivitas!$C$3:$C$563,Input_Konektivitas!$A$3:$A$563,$A6,Input_Konektivitas!$B$3:$B$563,AF$3)+SUMIFS(Input_Konektivitas!$C$3:$C$563,Input_Konektivitas!$A$3:$A$563,AF$3,Input_Konektivitas!$B$3:$B$563,$A6))</f>
        <v>1</v>
      </c>
      <c r="AG6" s="29">
        <f>IF((COUNTIFS(Input_Konektivitas!$A$3:$A$563,$A6,Input_Konektivitas!$B$3:$B$563,AG$3,Input_Konektivitas!$D$3:$D$563,"&gt;0")+COUNTIFS(Input_Konektivitas!$A$3:$A$563,AG$3,Input_Konektivitas!$B$3:$B$563,$A6,Input_Konektivitas!$D$3:$D$563,"&gt;0"))=0,"",SUMIFS(Input_Konektivitas!$C$3:$C$563,Input_Konektivitas!$A$3:$A$563,$A6,Input_Konektivitas!$B$3:$B$563,AG$3)+SUMIFS(Input_Konektivitas!$C$3:$C$563,Input_Konektivitas!$A$3:$A$563,AG$3,Input_Konektivitas!$B$3:$B$563,$A6))</f>
        <v>1</v>
      </c>
      <c r="AH6" s="29">
        <f>IF((COUNTIFS(Input_Konektivitas!$A$3:$A$563,$A6,Input_Konektivitas!$B$3:$B$563,AH$3,Input_Konektivitas!$D$3:$D$563,"&gt;0")+COUNTIFS(Input_Konektivitas!$A$3:$A$563,AH$3,Input_Konektivitas!$B$3:$B$563,$A6,Input_Konektivitas!$D$3:$D$563,"&gt;0"))=0,"",SUMIFS(Input_Konektivitas!$C$3:$C$563,Input_Konektivitas!$A$3:$A$563,$A6,Input_Konektivitas!$B$3:$B$563,AH$3)+SUMIFS(Input_Konektivitas!$C$3:$C$563,Input_Konektivitas!$A$3:$A$563,AH$3,Input_Konektivitas!$B$3:$B$563,$A6))</f>
        <v>1</v>
      </c>
      <c r="AI6" s="29">
        <f>IF((COUNTIFS(Input_Konektivitas!$A$3:$A$563,$A6,Input_Konektivitas!$B$3:$B$563,AI$3,Input_Konektivitas!$D$3:$D$563,"&gt;0")+COUNTIFS(Input_Konektivitas!$A$3:$A$563,AI$3,Input_Konektivitas!$B$3:$B$563,$A6,Input_Konektivitas!$D$3:$D$563,"&gt;0"))=0,"",SUMIFS(Input_Konektivitas!$C$3:$C$563,Input_Konektivitas!$A$3:$A$563,$A6,Input_Konektivitas!$B$3:$B$563,AI$3)+SUMIFS(Input_Konektivitas!$C$3:$C$563,Input_Konektivitas!$A$3:$A$563,AI$3,Input_Konektivitas!$B$3:$B$563,$A6))</f>
        <v>1</v>
      </c>
    </row>
    <row r="7" ht="14.25" customHeight="1">
      <c r="A7" s="22" t="s">
        <v>12</v>
      </c>
      <c r="B7" s="29">
        <f>IF((COUNTIFS(Input_Konektivitas!$A$3:$A$563,$A7,Input_Konektivitas!$B$3:$B$563,B$3,Input_Konektivitas!$D$3:$D$563,"&gt;0")+COUNTIFS(Input_Konektivitas!$A$3:$A$563,B$3,Input_Konektivitas!$B$3:$B$563,$A7,Input_Konektivitas!$D$3:$D$563,"&gt;0"))=0,"",SUMIFS(Input_Konektivitas!$C$3:$C$563,Input_Konektivitas!$A$3:$A$563,$A7,Input_Konektivitas!$B$3:$B$563,B$3)+SUMIFS(Input_Konektivitas!$C$3:$C$563,Input_Konektivitas!$A$3:$A$563,B$3,Input_Konektivitas!$B$3:$B$563,$A7))</f>
        <v>1</v>
      </c>
      <c r="C7" s="29">
        <f>IF((COUNTIFS(Input_Konektivitas!$A$3:$A$563,$A7,Input_Konektivitas!$B$3:$B$563,C$3,Input_Konektivitas!$D$3:$D$563,"&gt;0")+COUNTIFS(Input_Konektivitas!$A$3:$A$563,C$3,Input_Konektivitas!$B$3:$B$563,$A7,Input_Konektivitas!$D$3:$D$563,"&gt;0"))=0,"",SUMIFS(Input_Konektivitas!$C$3:$C$563,Input_Konektivitas!$A$3:$A$563,$A7,Input_Konektivitas!$B$3:$B$563,C$3)+SUMIFS(Input_Konektivitas!$C$3:$C$563,Input_Konektivitas!$A$3:$A$563,C$3,Input_Konektivitas!$B$3:$B$563,$A7))</f>
        <v>0</v>
      </c>
      <c r="D7" s="29">
        <f>IF((COUNTIFS(Input_Konektivitas!$A$3:$A$563,$A7,Input_Konektivitas!$B$3:$B$563,D$3,Input_Konektivitas!$D$3:$D$563,"&gt;0")+COUNTIFS(Input_Konektivitas!$A$3:$A$563,D$3,Input_Konektivitas!$B$3:$B$563,$A7,Input_Konektivitas!$D$3:$D$563,"&gt;0"))=0,"",SUMIFS(Input_Konektivitas!$C$3:$C$563,Input_Konektivitas!$A$3:$A$563,$A7,Input_Konektivitas!$B$3:$B$563,D$3)+SUMIFS(Input_Konektivitas!$C$3:$C$563,Input_Konektivitas!$A$3:$A$563,D$3,Input_Konektivitas!$B$3:$B$563,$A7))</f>
        <v>1</v>
      </c>
      <c r="E7" s="26">
        <v>0.0</v>
      </c>
      <c r="F7" s="29">
        <f>IF((COUNTIFS(Input_Konektivitas!$A$3:$A$563,$A7,Input_Konektivitas!$B$3:$B$563,F$3,Input_Konektivitas!$D$3:$D$563,"&gt;0")+COUNTIFS(Input_Konektivitas!$A$3:$A$563,F$3,Input_Konektivitas!$B$3:$B$563,$A7,Input_Konektivitas!$D$3:$D$563,"&gt;0"))=0,"",SUMIFS(Input_Konektivitas!$C$3:$C$563,Input_Konektivitas!$A$3:$A$563,$A7,Input_Konektivitas!$B$3:$B$563,F$3)+SUMIFS(Input_Konektivitas!$C$3:$C$563,Input_Konektivitas!$A$3:$A$563,F$3,Input_Konektivitas!$B$3:$B$563,$A7))</f>
        <v>1</v>
      </c>
      <c r="G7" s="29">
        <f>IF((COUNTIFS(Input_Konektivitas!$A$3:$A$563,$A7,Input_Konektivitas!$B$3:$B$563,G$3,Input_Konektivitas!$D$3:$D$563,"&gt;0")+COUNTIFS(Input_Konektivitas!$A$3:$A$563,G$3,Input_Konektivitas!$B$3:$B$563,$A7,Input_Konektivitas!$D$3:$D$563,"&gt;0"))=0,"",SUMIFS(Input_Konektivitas!$C$3:$C$563,Input_Konektivitas!$A$3:$A$563,$A7,Input_Konektivitas!$B$3:$B$563,G$3)+SUMIFS(Input_Konektivitas!$C$3:$C$563,Input_Konektivitas!$A$3:$A$563,G$3,Input_Konektivitas!$B$3:$B$563,$A7))</f>
        <v>1</v>
      </c>
      <c r="H7" s="29">
        <f>IF((COUNTIFS(Input_Konektivitas!$A$3:$A$563,$A7,Input_Konektivitas!$B$3:$B$563,H$3,Input_Konektivitas!$D$3:$D$563,"&gt;0")+COUNTIFS(Input_Konektivitas!$A$3:$A$563,H$3,Input_Konektivitas!$B$3:$B$563,$A7,Input_Konektivitas!$D$3:$D$563,"&gt;0"))=0,"",SUMIFS(Input_Konektivitas!$C$3:$C$563,Input_Konektivitas!$A$3:$A$563,$A7,Input_Konektivitas!$B$3:$B$563,H$3)+SUMIFS(Input_Konektivitas!$C$3:$C$563,Input_Konektivitas!$A$3:$A$563,H$3,Input_Konektivitas!$B$3:$B$563,$A7))</f>
        <v>1</v>
      </c>
      <c r="I7" s="29">
        <f>IF((COUNTIFS(Input_Konektivitas!$A$3:$A$563,$A7,Input_Konektivitas!$B$3:$B$563,I$3,Input_Konektivitas!$D$3:$D$563,"&gt;0")+COUNTIFS(Input_Konektivitas!$A$3:$A$563,I$3,Input_Konektivitas!$B$3:$B$563,$A7,Input_Konektivitas!$D$3:$D$563,"&gt;0"))=0,"",SUMIFS(Input_Konektivitas!$C$3:$C$563,Input_Konektivitas!$A$3:$A$563,$A7,Input_Konektivitas!$B$3:$B$563,I$3)+SUMIFS(Input_Konektivitas!$C$3:$C$563,Input_Konektivitas!$A$3:$A$563,I$3,Input_Konektivitas!$B$3:$B$563,$A7))</f>
        <v>1</v>
      </c>
      <c r="J7" s="29">
        <f>IF((COUNTIFS(Input_Konektivitas!$A$3:$A$563,$A7,Input_Konektivitas!$B$3:$B$563,J$3,Input_Konektivitas!$D$3:$D$563,"&gt;0")+COUNTIFS(Input_Konektivitas!$A$3:$A$563,J$3,Input_Konektivitas!$B$3:$B$563,$A7,Input_Konektivitas!$D$3:$D$563,"&gt;0"))=0,"",SUMIFS(Input_Konektivitas!$C$3:$C$563,Input_Konektivitas!$A$3:$A$563,$A7,Input_Konektivitas!$B$3:$B$563,J$3)+SUMIFS(Input_Konektivitas!$C$3:$C$563,Input_Konektivitas!$A$3:$A$563,J$3,Input_Konektivitas!$B$3:$B$563,$A7))</f>
        <v>1</v>
      </c>
      <c r="K7" s="29">
        <f>IF((COUNTIFS(Input_Konektivitas!$A$3:$A$563,$A7,Input_Konektivitas!$B$3:$B$563,K$3,Input_Konektivitas!$D$3:$D$563,"&gt;0")+COUNTIFS(Input_Konektivitas!$A$3:$A$563,K$3,Input_Konektivitas!$B$3:$B$563,$A7,Input_Konektivitas!$D$3:$D$563,"&gt;0"))=0,"",SUMIFS(Input_Konektivitas!$C$3:$C$563,Input_Konektivitas!$A$3:$A$563,$A7,Input_Konektivitas!$B$3:$B$563,K$3)+SUMIFS(Input_Konektivitas!$C$3:$C$563,Input_Konektivitas!$A$3:$A$563,K$3,Input_Konektivitas!$B$3:$B$563,$A7))</f>
        <v>1</v>
      </c>
      <c r="L7" s="29">
        <f>IF((COUNTIFS(Input_Konektivitas!$A$3:$A$563,$A7,Input_Konektivitas!$B$3:$B$563,L$3,Input_Konektivitas!$D$3:$D$563,"&gt;0")+COUNTIFS(Input_Konektivitas!$A$3:$A$563,L$3,Input_Konektivitas!$B$3:$B$563,$A7,Input_Konektivitas!$D$3:$D$563,"&gt;0"))=0,"",SUMIFS(Input_Konektivitas!$C$3:$C$563,Input_Konektivitas!$A$3:$A$563,$A7,Input_Konektivitas!$B$3:$B$563,L$3)+SUMIFS(Input_Konektivitas!$C$3:$C$563,Input_Konektivitas!$A$3:$A$563,L$3,Input_Konektivitas!$B$3:$B$563,$A7))</f>
        <v>1</v>
      </c>
      <c r="M7" s="29">
        <f>IF((COUNTIFS(Input_Konektivitas!$A$3:$A$563,$A7,Input_Konektivitas!$B$3:$B$563,M$3,Input_Konektivitas!$D$3:$D$563,"&gt;0")+COUNTIFS(Input_Konektivitas!$A$3:$A$563,M$3,Input_Konektivitas!$B$3:$B$563,$A7,Input_Konektivitas!$D$3:$D$563,"&gt;0"))=0,"",SUMIFS(Input_Konektivitas!$C$3:$C$563,Input_Konektivitas!$A$3:$A$563,$A7,Input_Konektivitas!$B$3:$B$563,M$3)+SUMIFS(Input_Konektivitas!$C$3:$C$563,Input_Konektivitas!$A$3:$A$563,M$3,Input_Konektivitas!$B$3:$B$563,$A7))</f>
        <v>1</v>
      </c>
      <c r="N7" s="29">
        <f>IF((COUNTIFS(Input_Konektivitas!$A$3:$A$563,$A7,Input_Konektivitas!$B$3:$B$563,N$3,Input_Konektivitas!$D$3:$D$563,"&gt;0")+COUNTIFS(Input_Konektivitas!$A$3:$A$563,N$3,Input_Konektivitas!$B$3:$B$563,$A7,Input_Konektivitas!$D$3:$D$563,"&gt;0"))=0,"",SUMIFS(Input_Konektivitas!$C$3:$C$563,Input_Konektivitas!$A$3:$A$563,$A7,Input_Konektivitas!$B$3:$B$563,N$3)+SUMIFS(Input_Konektivitas!$C$3:$C$563,Input_Konektivitas!$A$3:$A$563,N$3,Input_Konektivitas!$B$3:$B$563,$A7))</f>
        <v>1</v>
      </c>
      <c r="O7" s="29">
        <f>IF((COUNTIFS(Input_Konektivitas!$A$3:$A$563,$A7,Input_Konektivitas!$B$3:$B$563,O$3,Input_Konektivitas!$D$3:$D$563,"&gt;0")+COUNTIFS(Input_Konektivitas!$A$3:$A$563,O$3,Input_Konektivitas!$B$3:$B$563,$A7,Input_Konektivitas!$D$3:$D$563,"&gt;0"))=0,"",SUMIFS(Input_Konektivitas!$C$3:$C$563,Input_Konektivitas!$A$3:$A$563,$A7,Input_Konektivitas!$B$3:$B$563,O$3)+SUMIFS(Input_Konektivitas!$C$3:$C$563,Input_Konektivitas!$A$3:$A$563,O$3,Input_Konektivitas!$B$3:$B$563,$A7))</f>
        <v>1</v>
      </c>
      <c r="P7" s="29">
        <f>IF((COUNTIFS(Input_Konektivitas!$A$3:$A$563,$A7,Input_Konektivitas!$B$3:$B$563,P$3,Input_Konektivitas!$D$3:$D$563,"&gt;0")+COUNTIFS(Input_Konektivitas!$A$3:$A$563,P$3,Input_Konektivitas!$B$3:$B$563,$A7,Input_Konektivitas!$D$3:$D$563,"&gt;0"))=0,"",SUMIFS(Input_Konektivitas!$C$3:$C$563,Input_Konektivitas!$A$3:$A$563,$A7,Input_Konektivitas!$B$3:$B$563,P$3)+SUMIFS(Input_Konektivitas!$C$3:$C$563,Input_Konektivitas!$A$3:$A$563,P$3,Input_Konektivitas!$B$3:$B$563,$A7))</f>
        <v>1</v>
      </c>
      <c r="Q7" s="29" t="str">
        <f>IF((COUNTIFS(Input_Konektivitas!$A$3:$A$563,$A7,Input_Konektivitas!$B$3:$B$563,Q$3,Input_Konektivitas!$D$3:$D$563,"&gt;0")+COUNTIFS(Input_Konektivitas!$A$3:$A$563,Q$3,Input_Konektivitas!$B$3:$B$563,$A7,Input_Konektivitas!$D$3:$D$563,"&gt;0"))=0,"",SUMIFS(Input_Konektivitas!$C$3:$C$563,Input_Konektivitas!$A$3:$A$563,$A7,Input_Konektivitas!$B$3:$B$563,Q$3)+SUMIFS(Input_Konektivitas!$C$3:$C$563,Input_Konektivitas!$A$3:$A$563,Q$3,Input_Konektivitas!$B$3:$B$563,$A7))</f>
        <v/>
      </c>
      <c r="R7" s="29">
        <f>IF((COUNTIFS(Input_Konektivitas!$A$3:$A$563,$A7,Input_Konektivitas!$B$3:$B$563,R$3,Input_Konektivitas!$D$3:$D$563,"&gt;0")+COUNTIFS(Input_Konektivitas!$A$3:$A$563,R$3,Input_Konektivitas!$B$3:$B$563,$A7,Input_Konektivitas!$D$3:$D$563,"&gt;0"))=0,"",SUMIFS(Input_Konektivitas!$C$3:$C$563,Input_Konektivitas!$A$3:$A$563,$A7,Input_Konektivitas!$B$3:$B$563,R$3)+SUMIFS(Input_Konektivitas!$C$3:$C$563,Input_Konektivitas!$A$3:$A$563,R$3,Input_Konektivitas!$B$3:$B$563,$A7))</f>
        <v>1</v>
      </c>
      <c r="S7" s="29">
        <f>IF((COUNTIFS(Input_Konektivitas!$A$3:$A$563,$A7,Input_Konektivitas!$B$3:$B$563,S$3,Input_Konektivitas!$D$3:$D$563,"&gt;0")+COUNTIFS(Input_Konektivitas!$A$3:$A$563,S$3,Input_Konektivitas!$B$3:$B$563,$A7,Input_Konektivitas!$D$3:$D$563,"&gt;0"))=0,"",SUMIFS(Input_Konektivitas!$C$3:$C$563,Input_Konektivitas!$A$3:$A$563,$A7,Input_Konektivitas!$B$3:$B$563,S$3)+SUMIFS(Input_Konektivitas!$C$3:$C$563,Input_Konektivitas!$A$3:$A$563,S$3,Input_Konektivitas!$B$3:$B$563,$A7))</f>
        <v>1</v>
      </c>
      <c r="T7" s="29">
        <f>IF((COUNTIFS(Input_Konektivitas!$A$3:$A$563,$A7,Input_Konektivitas!$B$3:$B$563,T$3,Input_Konektivitas!$D$3:$D$563,"&gt;0")+COUNTIFS(Input_Konektivitas!$A$3:$A$563,T$3,Input_Konektivitas!$B$3:$B$563,$A7,Input_Konektivitas!$D$3:$D$563,"&gt;0"))=0,"",SUMIFS(Input_Konektivitas!$C$3:$C$563,Input_Konektivitas!$A$3:$A$563,$A7,Input_Konektivitas!$B$3:$B$563,T$3)+SUMIFS(Input_Konektivitas!$C$3:$C$563,Input_Konektivitas!$A$3:$A$563,T$3,Input_Konektivitas!$B$3:$B$563,$A7))</f>
        <v>1</v>
      </c>
      <c r="U7" s="29">
        <f>IF((COUNTIFS(Input_Konektivitas!$A$3:$A$563,$A7,Input_Konektivitas!$B$3:$B$563,U$3,Input_Konektivitas!$D$3:$D$563,"&gt;0")+COUNTIFS(Input_Konektivitas!$A$3:$A$563,U$3,Input_Konektivitas!$B$3:$B$563,$A7,Input_Konektivitas!$D$3:$D$563,"&gt;0"))=0,"",SUMIFS(Input_Konektivitas!$C$3:$C$563,Input_Konektivitas!$A$3:$A$563,$A7,Input_Konektivitas!$B$3:$B$563,U$3)+SUMIFS(Input_Konektivitas!$C$3:$C$563,Input_Konektivitas!$A$3:$A$563,U$3,Input_Konektivitas!$B$3:$B$563,$A7))</f>
        <v>1</v>
      </c>
      <c r="V7" s="29">
        <f>IF((COUNTIFS(Input_Konektivitas!$A$3:$A$563,$A7,Input_Konektivitas!$B$3:$B$563,V$3,Input_Konektivitas!$D$3:$D$563,"&gt;0")+COUNTIFS(Input_Konektivitas!$A$3:$A$563,V$3,Input_Konektivitas!$B$3:$B$563,$A7,Input_Konektivitas!$D$3:$D$563,"&gt;0"))=0,"",SUMIFS(Input_Konektivitas!$C$3:$C$563,Input_Konektivitas!$A$3:$A$563,$A7,Input_Konektivitas!$B$3:$B$563,V$3)+SUMIFS(Input_Konektivitas!$C$3:$C$563,Input_Konektivitas!$A$3:$A$563,V$3,Input_Konektivitas!$B$3:$B$563,$A7))</f>
        <v>1</v>
      </c>
      <c r="W7" s="29">
        <f>IF((COUNTIFS(Input_Konektivitas!$A$3:$A$563,$A7,Input_Konektivitas!$B$3:$B$563,W$3,Input_Konektivitas!$D$3:$D$563,"&gt;0")+COUNTIFS(Input_Konektivitas!$A$3:$A$563,W$3,Input_Konektivitas!$B$3:$B$563,$A7,Input_Konektivitas!$D$3:$D$563,"&gt;0"))=0,"",SUMIFS(Input_Konektivitas!$C$3:$C$563,Input_Konektivitas!$A$3:$A$563,$A7,Input_Konektivitas!$B$3:$B$563,W$3)+SUMIFS(Input_Konektivitas!$C$3:$C$563,Input_Konektivitas!$A$3:$A$563,W$3,Input_Konektivitas!$B$3:$B$563,$A7))</f>
        <v>1</v>
      </c>
      <c r="X7" s="29">
        <f>IF((COUNTIFS(Input_Konektivitas!$A$3:$A$563,$A7,Input_Konektivitas!$B$3:$B$563,X$3,Input_Konektivitas!$D$3:$D$563,"&gt;0")+COUNTIFS(Input_Konektivitas!$A$3:$A$563,X$3,Input_Konektivitas!$B$3:$B$563,$A7,Input_Konektivitas!$D$3:$D$563,"&gt;0"))=0,"",SUMIFS(Input_Konektivitas!$C$3:$C$563,Input_Konektivitas!$A$3:$A$563,$A7,Input_Konektivitas!$B$3:$B$563,X$3)+SUMIFS(Input_Konektivitas!$C$3:$C$563,Input_Konektivitas!$A$3:$A$563,X$3,Input_Konektivitas!$B$3:$B$563,$A7))</f>
        <v>1</v>
      </c>
      <c r="Y7" s="29">
        <f>IF((COUNTIFS(Input_Konektivitas!$A$3:$A$563,$A7,Input_Konektivitas!$B$3:$B$563,Y$3,Input_Konektivitas!$D$3:$D$563,"&gt;0")+COUNTIFS(Input_Konektivitas!$A$3:$A$563,Y$3,Input_Konektivitas!$B$3:$B$563,$A7,Input_Konektivitas!$D$3:$D$563,"&gt;0"))=0,"",SUMIFS(Input_Konektivitas!$C$3:$C$563,Input_Konektivitas!$A$3:$A$563,$A7,Input_Konektivitas!$B$3:$B$563,Y$3)+SUMIFS(Input_Konektivitas!$C$3:$C$563,Input_Konektivitas!$A$3:$A$563,Y$3,Input_Konektivitas!$B$3:$B$563,$A7))</f>
        <v>1</v>
      </c>
      <c r="Z7" s="29">
        <f>IF((COUNTIFS(Input_Konektivitas!$A$3:$A$563,$A7,Input_Konektivitas!$B$3:$B$563,Z$3,Input_Konektivitas!$D$3:$D$563,"&gt;0")+COUNTIFS(Input_Konektivitas!$A$3:$A$563,Z$3,Input_Konektivitas!$B$3:$B$563,$A7,Input_Konektivitas!$D$3:$D$563,"&gt;0"))=0,"",SUMIFS(Input_Konektivitas!$C$3:$C$563,Input_Konektivitas!$A$3:$A$563,$A7,Input_Konektivitas!$B$3:$B$563,Z$3)+SUMIFS(Input_Konektivitas!$C$3:$C$563,Input_Konektivitas!$A$3:$A$563,Z$3,Input_Konektivitas!$B$3:$B$563,$A7))</f>
        <v>1</v>
      </c>
      <c r="AA7" s="29">
        <f>IF((COUNTIFS(Input_Konektivitas!$A$3:$A$563,$A7,Input_Konektivitas!$B$3:$B$563,AA$3,Input_Konektivitas!$D$3:$D$563,"&gt;0")+COUNTIFS(Input_Konektivitas!$A$3:$A$563,AA$3,Input_Konektivitas!$B$3:$B$563,$A7,Input_Konektivitas!$D$3:$D$563,"&gt;0"))=0,"",SUMIFS(Input_Konektivitas!$C$3:$C$563,Input_Konektivitas!$A$3:$A$563,$A7,Input_Konektivitas!$B$3:$B$563,AA$3)+SUMIFS(Input_Konektivitas!$C$3:$C$563,Input_Konektivitas!$A$3:$A$563,AA$3,Input_Konektivitas!$B$3:$B$563,$A7))</f>
        <v>2</v>
      </c>
      <c r="AB7" s="29">
        <f>IF((COUNTIFS(Input_Konektivitas!$A$3:$A$563,$A7,Input_Konektivitas!$B$3:$B$563,AB$3,Input_Konektivitas!$D$3:$D$563,"&gt;0")+COUNTIFS(Input_Konektivitas!$A$3:$A$563,AB$3,Input_Konektivitas!$B$3:$B$563,$A7,Input_Konektivitas!$D$3:$D$563,"&gt;0"))=0,"",SUMIFS(Input_Konektivitas!$C$3:$C$563,Input_Konektivitas!$A$3:$A$563,$A7,Input_Konektivitas!$B$3:$B$563,AB$3)+SUMIFS(Input_Konektivitas!$C$3:$C$563,Input_Konektivitas!$A$3:$A$563,AB$3,Input_Konektivitas!$B$3:$B$563,$A7))</f>
        <v>1</v>
      </c>
      <c r="AC7" s="29">
        <f>IF((COUNTIFS(Input_Konektivitas!$A$3:$A$563,$A7,Input_Konektivitas!$B$3:$B$563,AC$3,Input_Konektivitas!$D$3:$D$563,"&gt;0")+COUNTIFS(Input_Konektivitas!$A$3:$A$563,AC$3,Input_Konektivitas!$B$3:$B$563,$A7,Input_Konektivitas!$D$3:$D$563,"&gt;0"))=0,"",SUMIFS(Input_Konektivitas!$C$3:$C$563,Input_Konektivitas!$A$3:$A$563,$A7,Input_Konektivitas!$B$3:$B$563,AC$3)+SUMIFS(Input_Konektivitas!$C$3:$C$563,Input_Konektivitas!$A$3:$A$563,AC$3,Input_Konektivitas!$B$3:$B$563,$A7))</f>
        <v>1</v>
      </c>
      <c r="AD7" s="29">
        <f>IF((COUNTIFS(Input_Konektivitas!$A$3:$A$563,$A7,Input_Konektivitas!$B$3:$B$563,AD$3,Input_Konektivitas!$D$3:$D$563,"&gt;0")+COUNTIFS(Input_Konektivitas!$A$3:$A$563,AD$3,Input_Konektivitas!$B$3:$B$563,$A7,Input_Konektivitas!$D$3:$D$563,"&gt;0"))=0,"",SUMIFS(Input_Konektivitas!$C$3:$C$563,Input_Konektivitas!$A$3:$A$563,$A7,Input_Konektivitas!$B$3:$B$563,AD$3)+SUMIFS(Input_Konektivitas!$C$3:$C$563,Input_Konektivitas!$A$3:$A$563,AD$3,Input_Konektivitas!$B$3:$B$563,$A7))</f>
        <v>1</v>
      </c>
      <c r="AE7" s="29">
        <f>IF((COUNTIFS(Input_Konektivitas!$A$3:$A$563,$A7,Input_Konektivitas!$B$3:$B$563,AE$3,Input_Konektivitas!$D$3:$D$563,"&gt;0")+COUNTIFS(Input_Konektivitas!$A$3:$A$563,AE$3,Input_Konektivitas!$B$3:$B$563,$A7,Input_Konektivitas!$D$3:$D$563,"&gt;0"))=0,"",SUMIFS(Input_Konektivitas!$C$3:$C$563,Input_Konektivitas!$A$3:$A$563,$A7,Input_Konektivitas!$B$3:$B$563,AE$3)+SUMIFS(Input_Konektivitas!$C$3:$C$563,Input_Konektivitas!$A$3:$A$563,AE$3,Input_Konektivitas!$B$3:$B$563,$A7))</f>
        <v>1</v>
      </c>
      <c r="AF7" s="29">
        <f>IF((COUNTIFS(Input_Konektivitas!$A$3:$A$563,$A7,Input_Konektivitas!$B$3:$B$563,AF$3,Input_Konektivitas!$D$3:$D$563,"&gt;0")+COUNTIFS(Input_Konektivitas!$A$3:$A$563,AF$3,Input_Konektivitas!$B$3:$B$563,$A7,Input_Konektivitas!$D$3:$D$563,"&gt;0"))=0,"",SUMIFS(Input_Konektivitas!$C$3:$C$563,Input_Konektivitas!$A$3:$A$563,$A7,Input_Konektivitas!$B$3:$B$563,AF$3)+SUMIFS(Input_Konektivitas!$C$3:$C$563,Input_Konektivitas!$A$3:$A$563,AF$3,Input_Konektivitas!$B$3:$B$563,$A7))</f>
        <v>2</v>
      </c>
      <c r="AG7" s="29">
        <f>IF((COUNTIFS(Input_Konektivitas!$A$3:$A$563,$A7,Input_Konektivitas!$B$3:$B$563,AG$3,Input_Konektivitas!$D$3:$D$563,"&gt;0")+COUNTIFS(Input_Konektivitas!$A$3:$A$563,AG$3,Input_Konektivitas!$B$3:$B$563,$A7,Input_Konektivitas!$D$3:$D$563,"&gt;0"))=0,"",SUMIFS(Input_Konektivitas!$C$3:$C$563,Input_Konektivitas!$A$3:$A$563,$A7,Input_Konektivitas!$B$3:$B$563,AG$3)+SUMIFS(Input_Konektivitas!$C$3:$C$563,Input_Konektivitas!$A$3:$A$563,AG$3,Input_Konektivitas!$B$3:$B$563,$A7))</f>
        <v>2</v>
      </c>
      <c r="AH7" s="29">
        <f>IF((COUNTIFS(Input_Konektivitas!$A$3:$A$563,$A7,Input_Konektivitas!$B$3:$B$563,AH$3,Input_Konektivitas!$D$3:$D$563,"&gt;0")+COUNTIFS(Input_Konektivitas!$A$3:$A$563,AH$3,Input_Konektivitas!$B$3:$B$563,$A7,Input_Konektivitas!$D$3:$D$563,"&gt;0"))=0,"",SUMIFS(Input_Konektivitas!$C$3:$C$563,Input_Konektivitas!$A$3:$A$563,$A7,Input_Konektivitas!$B$3:$B$563,AH$3)+SUMIFS(Input_Konektivitas!$C$3:$C$563,Input_Konektivitas!$A$3:$A$563,AH$3,Input_Konektivitas!$B$3:$B$563,$A7))</f>
        <v>1</v>
      </c>
      <c r="AI7" s="29">
        <f>IF((COUNTIFS(Input_Konektivitas!$A$3:$A$563,$A7,Input_Konektivitas!$B$3:$B$563,AI$3,Input_Konektivitas!$D$3:$D$563,"&gt;0")+COUNTIFS(Input_Konektivitas!$A$3:$A$563,AI$3,Input_Konektivitas!$B$3:$B$563,$A7,Input_Konektivitas!$D$3:$D$563,"&gt;0"))=0,"",SUMIFS(Input_Konektivitas!$C$3:$C$563,Input_Konektivitas!$A$3:$A$563,$A7,Input_Konektivitas!$B$3:$B$563,AI$3)+SUMIFS(Input_Konektivitas!$C$3:$C$563,Input_Konektivitas!$A$3:$A$563,AI$3,Input_Konektivitas!$B$3:$B$563,$A7))</f>
        <v>1</v>
      </c>
    </row>
    <row r="8" ht="14.25" customHeight="1">
      <c r="A8" s="22" t="s">
        <v>15</v>
      </c>
      <c r="B8" s="29">
        <f>IF((COUNTIFS(Input_Konektivitas!$A$3:$A$563,$A8,Input_Konektivitas!$B$3:$B$563,B$3,Input_Konektivitas!$D$3:$D$563,"&gt;0")+COUNTIFS(Input_Konektivitas!$A$3:$A$563,B$3,Input_Konektivitas!$B$3:$B$563,$A8,Input_Konektivitas!$D$3:$D$563,"&gt;0"))=0,"",SUMIFS(Input_Konektivitas!$C$3:$C$563,Input_Konektivitas!$A$3:$A$563,$A8,Input_Konektivitas!$B$3:$B$563,B$3)+SUMIFS(Input_Konektivitas!$C$3:$C$563,Input_Konektivitas!$A$3:$A$563,B$3,Input_Konektivitas!$B$3:$B$563,$A8))</f>
        <v>1</v>
      </c>
      <c r="C8" s="29">
        <f>IF((COUNTIFS(Input_Konektivitas!$A$3:$A$563,$A8,Input_Konektivitas!$B$3:$B$563,C$3,Input_Konektivitas!$D$3:$D$563,"&gt;0")+COUNTIFS(Input_Konektivitas!$A$3:$A$563,C$3,Input_Konektivitas!$B$3:$B$563,$A8,Input_Konektivitas!$D$3:$D$563,"&gt;0"))=0,"",SUMIFS(Input_Konektivitas!$C$3:$C$563,Input_Konektivitas!$A$3:$A$563,$A8,Input_Konektivitas!$B$3:$B$563,C$3)+SUMIFS(Input_Konektivitas!$C$3:$C$563,Input_Konektivitas!$A$3:$A$563,C$3,Input_Konektivitas!$B$3:$B$563,$A8))</f>
        <v>1</v>
      </c>
      <c r="D8" s="29">
        <f>IF((COUNTIFS(Input_Konektivitas!$A$3:$A$563,$A8,Input_Konektivitas!$B$3:$B$563,D$3,Input_Konektivitas!$D$3:$D$563,"&gt;0")+COUNTIFS(Input_Konektivitas!$A$3:$A$563,D$3,Input_Konektivitas!$B$3:$B$563,$A8,Input_Konektivitas!$D$3:$D$563,"&gt;0"))=0,"",SUMIFS(Input_Konektivitas!$C$3:$C$563,Input_Konektivitas!$A$3:$A$563,$A8,Input_Konektivitas!$B$3:$B$563,D$3)+SUMIFS(Input_Konektivitas!$C$3:$C$563,Input_Konektivitas!$A$3:$A$563,D$3,Input_Konektivitas!$B$3:$B$563,$A8))</f>
        <v>1</v>
      </c>
      <c r="E8" s="29">
        <f>IF((COUNTIFS(Input_Konektivitas!$A$3:$A$563,$A8,Input_Konektivitas!$B$3:$B$563,E$3,Input_Konektivitas!$D$3:$D$563,"&gt;0")+COUNTIFS(Input_Konektivitas!$A$3:$A$563,E$3,Input_Konektivitas!$B$3:$B$563,$A8,Input_Konektivitas!$D$3:$D$563,"&gt;0"))=0,"",SUMIFS(Input_Konektivitas!$C$3:$C$563,Input_Konektivitas!$A$3:$A$563,$A8,Input_Konektivitas!$B$3:$B$563,E$3)+SUMIFS(Input_Konektivitas!$C$3:$C$563,Input_Konektivitas!$A$3:$A$563,E$3,Input_Konektivitas!$B$3:$B$563,$A8))</f>
        <v>1</v>
      </c>
      <c r="F8" s="26">
        <v>0.0</v>
      </c>
      <c r="G8" s="29">
        <f>IF((COUNTIFS(Input_Konektivitas!$A$3:$A$563,$A8,Input_Konektivitas!$B$3:$B$563,G$3,Input_Konektivitas!$D$3:$D$563,"&gt;0")+COUNTIFS(Input_Konektivitas!$A$3:$A$563,G$3,Input_Konektivitas!$B$3:$B$563,$A8,Input_Konektivitas!$D$3:$D$563,"&gt;0"))=0,"",SUMIFS(Input_Konektivitas!$C$3:$C$563,Input_Konektivitas!$A$3:$A$563,$A8,Input_Konektivitas!$B$3:$B$563,G$3)+SUMIFS(Input_Konektivitas!$C$3:$C$563,Input_Konektivitas!$A$3:$A$563,G$3,Input_Konektivitas!$B$3:$B$563,$A8))</f>
        <v>1</v>
      </c>
      <c r="H8" s="29">
        <f>IF((COUNTIFS(Input_Konektivitas!$A$3:$A$563,$A8,Input_Konektivitas!$B$3:$B$563,H$3,Input_Konektivitas!$D$3:$D$563,"&gt;0")+COUNTIFS(Input_Konektivitas!$A$3:$A$563,H$3,Input_Konektivitas!$B$3:$B$563,$A8,Input_Konektivitas!$D$3:$D$563,"&gt;0"))=0,"",SUMIFS(Input_Konektivitas!$C$3:$C$563,Input_Konektivitas!$A$3:$A$563,$A8,Input_Konektivitas!$B$3:$B$563,H$3)+SUMIFS(Input_Konektivitas!$C$3:$C$563,Input_Konektivitas!$A$3:$A$563,H$3,Input_Konektivitas!$B$3:$B$563,$A8))</f>
        <v>1</v>
      </c>
      <c r="I8" s="29">
        <f>IF((COUNTIFS(Input_Konektivitas!$A$3:$A$563,$A8,Input_Konektivitas!$B$3:$B$563,I$3,Input_Konektivitas!$D$3:$D$563,"&gt;0")+COUNTIFS(Input_Konektivitas!$A$3:$A$563,I$3,Input_Konektivitas!$B$3:$B$563,$A8,Input_Konektivitas!$D$3:$D$563,"&gt;0"))=0,"",SUMIFS(Input_Konektivitas!$C$3:$C$563,Input_Konektivitas!$A$3:$A$563,$A8,Input_Konektivitas!$B$3:$B$563,I$3)+SUMIFS(Input_Konektivitas!$C$3:$C$563,Input_Konektivitas!$A$3:$A$563,I$3,Input_Konektivitas!$B$3:$B$563,$A8))</f>
        <v>1</v>
      </c>
      <c r="J8" s="29">
        <f>IF((COUNTIFS(Input_Konektivitas!$A$3:$A$563,$A8,Input_Konektivitas!$B$3:$B$563,J$3,Input_Konektivitas!$D$3:$D$563,"&gt;0")+COUNTIFS(Input_Konektivitas!$A$3:$A$563,J$3,Input_Konektivitas!$B$3:$B$563,$A8,Input_Konektivitas!$D$3:$D$563,"&gt;0"))=0,"",SUMIFS(Input_Konektivitas!$C$3:$C$563,Input_Konektivitas!$A$3:$A$563,$A8,Input_Konektivitas!$B$3:$B$563,J$3)+SUMIFS(Input_Konektivitas!$C$3:$C$563,Input_Konektivitas!$A$3:$A$563,J$3,Input_Konektivitas!$B$3:$B$563,$A8))</f>
        <v>1</v>
      </c>
      <c r="K8" s="29">
        <f>IF((COUNTIFS(Input_Konektivitas!$A$3:$A$563,$A8,Input_Konektivitas!$B$3:$B$563,K$3,Input_Konektivitas!$D$3:$D$563,"&gt;0")+COUNTIFS(Input_Konektivitas!$A$3:$A$563,K$3,Input_Konektivitas!$B$3:$B$563,$A8,Input_Konektivitas!$D$3:$D$563,"&gt;0"))=0,"",SUMIFS(Input_Konektivitas!$C$3:$C$563,Input_Konektivitas!$A$3:$A$563,$A8,Input_Konektivitas!$B$3:$B$563,K$3)+SUMIFS(Input_Konektivitas!$C$3:$C$563,Input_Konektivitas!$A$3:$A$563,K$3,Input_Konektivitas!$B$3:$B$563,$A8))</f>
        <v>1</v>
      </c>
      <c r="L8" s="29">
        <f>IF((COUNTIFS(Input_Konektivitas!$A$3:$A$563,$A8,Input_Konektivitas!$B$3:$B$563,L$3,Input_Konektivitas!$D$3:$D$563,"&gt;0")+COUNTIFS(Input_Konektivitas!$A$3:$A$563,L$3,Input_Konektivitas!$B$3:$B$563,$A8,Input_Konektivitas!$D$3:$D$563,"&gt;0"))=0,"",SUMIFS(Input_Konektivitas!$C$3:$C$563,Input_Konektivitas!$A$3:$A$563,$A8,Input_Konektivitas!$B$3:$B$563,L$3)+SUMIFS(Input_Konektivitas!$C$3:$C$563,Input_Konektivitas!$A$3:$A$563,L$3,Input_Konektivitas!$B$3:$B$563,$A8))</f>
        <v>1</v>
      </c>
      <c r="M8" s="29" t="str">
        <f>IF((COUNTIFS(Input_Konektivitas!$A$3:$A$563,$A8,Input_Konektivitas!$B$3:$B$563,M$3,Input_Konektivitas!$D$3:$D$563,"&gt;0")+COUNTIFS(Input_Konektivitas!$A$3:$A$563,M$3,Input_Konektivitas!$B$3:$B$563,$A8,Input_Konektivitas!$D$3:$D$563,"&gt;0"))=0,"",SUMIFS(Input_Konektivitas!$C$3:$C$563,Input_Konektivitas!$A$3:$A$563,$A8,Input_Konektivitas!$B$3:$B$563,M$3)+SUMIFS(Input_Konektivitas!$C$3:$C$563,Input_Konektivitas!$A$3:$A$563,M$3,Input_Konektivitas!$B$3:$B$563,$A8))</f>
        <v/>
      </c>
      <c r="N8" s="29">
        <f>IF((COUNTIFS(Input_Konektivitas!$A$3:$A$563,$A8,Input_Konektivitas!$B$3:$B$563,N$3,Input_Konektivitas!$D$3:$D$563,"&gt;0")+COUNTIFS(Input_Konektivitas!$A$3:$A$563,N$3,Input_Konektivitas!$B$3:$B$563,$A8,Input_Konektivitas!$D$3:$D$563,"&gt;0"))=0,"",SUMIFS(Input_Konektivitas!$C$3:$C$563,Input_Konektivitas!$A$3:$A$563,$A8,Input_Konektivitas!$B$3:$B$563,N$3)+SUMIFS(Input_Konektivitas!$C$3:$C$563,Input_Konektivitas!$A$3:$A$563,N$3,Input_Konektivitas!$B$3:$B$563,$A8))</f>
        <v>1</v>
      </c>
      <c r="O8" s="29">
        <f>IF((COUNTIFS(Input_Konektivitas!$A$3:$A$563,$A8,Input_Konektivitas!$B$3:$B$563,O$3,Input_Konektivitas!$D$3:$D$563,"&gt;0")+COUNTIFS(Input_Konektivitas!$A$3:$A$563,O$3,Input_Konektivitas!$B$3:$B$563,$A8,Input_Konektivitas!$D$3:$D$563,"&gt;0"))=0,"",SUMIFS(Input_Konektivitas!$C$3:$C$563,Input_Konektivitas!$A$3:$A$563,$A8,Input_Konektivitas!$B$3:$B$563,O$3)+SUMIFS(Input_Konektivitas!$C$3:$C$563,Input_Konektivitas!$A$3:$A$563,O$3,Input_Konektivitas!$B$3:$B$563,$A8))</f>
        <v>1</v>
      </c>
      <c r="P8" s="29">
        <f>IF((COUNTIFS(Input_Konektivitas!$A$3:$A$563,$A8,Input_Konektivitas!$B$3:$B$563,P$3,Input_Konektivitas!$D$3:$D$563,"&gt;0")+COUNTIFS(Input_Konektivitas!$A$3:$A$563,P$3,Input_Konektivitas!$B$3:$B$563,$A8,Input_Konektivitas!$D$3:$D$563,"&gt;0"))=0,"",SUMIFS(Input_Konektivitas!$C$3:$C$563,Input_Konektivitas!$A$3:$A$563,$A8,Input_Konektivitas!$B$3:$B$563,P$3)+SUMIFS(Input_Konektivitas!$C$3:$C$563,Input_Konektivitas!$A$3:$A$563,P$3,Input_Konektivitas!$B$3:$B$563,$A8))</f>
        <v>1</v>
      </c>
      <c r="Q8" s="29" t="str">
        <f>IF((COUNTIFS(Input_Konektivitas!$A$3:$A$563,$A8,Input_Konektivitas!$B$3:$B$563,Q$3,Input_Konektivitas!$D$3:$D$563,"&gt;0")+COUNTIFS(Input_Konektivitas!$A$3:$A$563,Q$3,Input_Konektivitas!$B$3:$B$563,$A8,Input_Konektivitas!$D$3:$D$563,"&gt;0"))=0,"",SUMIFS(Input_Konektivitas!$C$3:$C$563,Input_Konektivitas!$A$3:$A$563,$A8,Input_Konektivitas!$B$3:$B$563,Q$3)+SUMIFS(Input_Konektivitas!$C$3:$C$563,Input_Konektivitas!$A$3:$A$563,Q$3,Input_Konektivitas!$B$3:$B$563,$A8))</f>
        <v/>
      </c>
      <c r="R8" s="29">
        <f>IF((COUNTIFS(Input_Konektivitas!$A$3:$A$563,$A8,Input_Konektivitas!$B$3:$B$563,R$3,Input_Konektivitas!$D$3:$D$563,"&gt;0")+COUNTIFS(Input_Konektivitas!$A$3:$A$563,R$3,Input_Konektivitas!$B$3:$B$563,$A8,Input_Konektivitas!$D$3:$D$563,"&gt;0"))=0,"",SUMIFS(Input_Konektivitas!$C$3:$C$563,Input_Konektivitas!$A$3:$A$563,$A8,Input_Konektivitas!$B$3:$B$563,R$3)+SUMIFS(Input_Konektivitas!$C$3:$C$563,Input_Konektivitas!$A$3:$A$563,R$3,Input_Konektivitas!$B$3:$B$563,$A8))</f>
        <v>1</v>
      </c>
      <c r="S8" s="29">
        <f>IF((COUNTIFS(Input_Konektivitas!$A$3:$A$563,$A8,Input_Konektivitas!$B$3:$B$563,S$3,Input_Konektivitas!$D$3:$D$563,"&gt;0")+COUNTIFS(Input_Konektivitas!$A$3:$A$563,S$3,Input_Konektivitas!$B$3:$B$563,$A8,Input_Konektivitas!$D$3:$D$563,"&gt;0"))=0,"",SUMIFS(Input_Konektivitas!$C$3:$C$563,Input_Konektivitas!$A$3:$A$563,$A8,Input_Konektivitas!$B$3:$B$563,S$3)+SUMIFS(Input_Konektivitas!$C$3:$C$563,Input_Konektivitas!$A$3:$A$563,S$3,Input_Konektivitas!$B$3:$B$563,$A8))</f>
        <v>1</v>
      </c>
      <c r="T8" s="29">
        <f>IF((COUNTIFS(Input_Konektivitas!$A$3:$A$563,$A8,Input_Konektivitas!$B$3:$B$563,T$3,Input_Konektivitas!$D$3:$D$563,"&gt;0")+COUNTIFS(Input_Konektivitas!$A$3:$A$563,T$3,Input_Konektivitas!$B$3:$B$563,$A8,Input_Konektivitas!$D$3:$D$563,"&gt;0"))=0,"",SUMIFS(Input_Konektivitas!$C$3:$C$563,Input_Konektivitas!$A$3:$A$563,$A8,Input_Konektivitas!$B$3:$B$563,T$3)+SUMIFS(Input_Konektivitas!$C$3:$C$563,Input_Konektivitas!$A$3:$A$563,T$3,Input_Konektivitas!$B$3:$B$563,$A8))</f>
        <v>1</v>
      </c>
      <c r="U8" s="29">
        <f>IF((COUNTIFS(Input_Konektivitas!$A$3:$A$563,$A8,Input_Konektivitas!$B$3:$B$563,U$3,Input_Konektivitas!$D$3:$D$563,"&gt;0")+COUNTIFS(Input_Konektivitas!$A$3:$A$563,U$3,Input_Konektivitas!$B$3:$B$563,$A8,Input_Konektivitas!$D$3:$D$563,"&gt;0"))=0,"",SUMIFS(Input_Konektivitas!$C$3:$C$563,Input_Konektivitas!$A$3:$A$563,$A8,Input_Konektivitas!$B$3:$B$563,U$3)+SUMIFS(Input_Konektivitas!$C$3:$C$563,Input_Konektivitas!$A$3:$A$563,U$3,Input_Konektivitas!$B$3:$B$563,$A8))</f>
        <v>1</v>
      </c>
      <c r="V8" s="29">
        <f>IF((COUNTIFS(Input_Konektivitas!$A$3:$A$563,$A8,Input_Konektivitas!$B$3:$B$563,V$3,Input_Konektivitas!$D$3:$D$563,"&gt;0")+COUNTIFS(Input_Konektivitas!$A$3:$A$563,V$3,Input_Konektivitas!$B$3:$B$563,$A8,Input_Konektivitas!$D$3:$D$563,"&gt;0"))=0,"",SUMIFS(Input_Konektivitas!$C$3:$C$563,Input_Konektivitas!$A$3:$A$563,$A8,Input_Konektivitas!$B$3:$B$563,V$3)+SUMIFS(Input_Konektivitas!$C$3:$C$563,Input_Konektivitas!$A$3:$A$563,V$3,Input_Konektivitas!$B$3:$B$563,$A8))</f>
        <v>1</v>
      </c>
      <c r="W8" s="29">
        <f>IF((COUNTIFS(Input_Konektivitas!$A$3:$A$563,$A8,Input_Konektivitas!$B$3:$B$563,W$3,Input_Konektivitas!$D$3:$D$563,"&gt;0")+COUNTIFS(Input_Konektivitas!$A$3:$A$563,W$3,Input_Konektivitas!$B$3:$B$563,$A8,Input_Konektivitas!$D$3:$D$563,"&gt;0"))=0,"",SUMIFS(Input_Konektivitas!$C$3:$C$563,Input_Konektivitas!$A$3:$A$563,$A8,Input_Konektivitas!$B$3:$B$563,W$3)+SUMIFS(Input_Konektivitas!$C$3:$C$563,Input_Konektivitas!$A$3:$A$563,W$3,Input_Konektivitas!$B$3:$B$563,$A8))</f>
        <v>1</v>
      </c>
      <c r="X8" s="29">
        <f>IF((COUNTIFS(Input_Konektivitas!$A$3:$A$563,$A8,Input_Konektivitas!$B$3:$B$563,X$3,Input_Konektivitas!$D$3:$D$563,"&gt;0")+COUNTIFS(Input_Konektivitas!$A$3:$A$563,X$3,Input_Konektivitas!$B$3:$B$563,$A8,Input_Konektivitas!$D$3:$D$563,"&gt;0"))=0,"",SUMIFS(Input_Konektivitas!$C$3:$C$563,Input_Konektivitas!$A$3:$A$563,$A8,Input_Konektivitas!$B$3:$B$563,X$3)+SUMIFS(Input_Konektivitas!$C$3:$C$563,Input_Konektivitas!$A$3:$A$563,X$3,Input_Konektivitas!$B$3:$B$563,$A8))</f>
        <v>1</v>
      </c>
      <c r="Y8" s="29">
        <f>IF((COUNTIFS(Input_Konektivitas!$A$3:$A$563,$A8,Input_Konektivitas!$B$3:$B$563,Y$3,Input_Konektivitas!$D$3:$D$563,"&gt;0")+COUNTIFS(Input_Konektivitas!$A$3:$A$563,Y$3,Input_Konektivitas!$B$3:$B$563,$A8,Input_Konektivitas!$D$3:$D$563,"&gt;0"))=0,"",SUMIFS(Input_Konektivitas!$C$3:$C$563,Input_Konektivitas!$A$3:$A$563,$A8,Input_Konektivitas!$B$3:$B$563,Y$3)+SUMIFS(Input_Konektivitas!$C$3:$C$563,Input_Konektivitas!$A$3:$A$563,Y$3,Input_Konektivitas!$B$3:$B$563,$A8))</f>
        <v>1</v>
      </c>
      <c r="Z8" s="29">
        <f>IF((COUNTIFS(Input_Konektivitas!$A$3:$A$563,$A8,Input_Konektivitas!$B$3:$B$563,Z$3,Input_Konektivitas!$D$3:$D$563,"&gt;0")+COUNTIFS(Input_Konektivitas!$A$3:$A$563,Z$3,Input_Konektivitas!$B$3:$B$563,$A8,Input_Konektivitas!$D$3:$D$563,"&gt;0"))=0,"",SUMIFS(Input_Konektivitas!$C$3:$C$563,Input_Konektivitas!$A$3:$A$563,$A8,Input_Konektivitas!$B$3:$B$563,Z$3)+SUMIFS(Input_Konektivitas!$C$3:$C$563,Input_Konektivitas!$A$3:$A$563,Z$3,Input_Konektivitas!$B$3:$B$563,$A8))</f>
        <v>1</v>
      </c>
      <c r="AA8" s="29">
        <f>IF((COUNTIFS(Input_Konektivitas!$A$3:$A$563,$A8,Input_Konektivitas!$B$3:$B$563,AA$3,Input_Konektivitas!$D$3:$D$563,"&gt;0")+COUNTIFS(Input_Konektivitas!$A$3:$A$563,AA$3,Input_Konektivitas!$B$3:$B$563,$A8,Input_Konektivitas!$D$3:$D$563,"&gt;0"))=0,"",SUMIFS(Input_Konektivitas!$C$3:$C$563,Input_Konektivitas!$A$3:$A$563,$A8,Input_Konektivitas!$B$3:$B$563,AA$3)+SUMIFS(Input_Konektivitas!$C$3:$C$563,Input_Konektivitas!$A$3:$A$563,AA$3,Input_Konektivitas!$B$3:$B$563,$A8))</f>
        <v>2</v>
      </c>
      <c r="AB8" s="29">
        <f>IF((COUNTIFS(Input_Konektivitas!$A$3:$A$563,$A8,Input_Konektivitas!$B$3:$B$563,AB$3,Input_Konektivitas!$D$3:$D$563,"&gt;0")+COUNTIFS(Input_Konektivitas!$A$3:$A$563,AB$3,Input_Konektivitas!$B$3:$B$563,$A8,Input_Konektivitas!$D$3:$D$563,"&gt;0"))=0,"",SUMIFS(Input_Konektivitas!$C$3:$C$563,Input_Konektivitas!$A$3:$A$563,$A8,Input_Konektivitas!$B$3:$B$563,AB$3)+SUMIFS(Input_Konektivitas!$C$3:$C$563,Input_Konektivitas!$A$3:$A$563,AB$3,Input_Konektivitas!$B$3:$B$563,$A8))</f>
        <v>1</v>
      </c>
      <c r="AC8" s="29">
        <f>IF((COUNTIFS(Input_Konektivitas!$A$3:$A$563,$A8,Input_Konektivitas!$B$3:$B$563,AC$3,Input_Konektivitas!$D$3:$D$563,"&gt;0")+COUNTIFS(Input_Konektivitas!$A$3:$A$563,AC$3,Input_Konektivitas!$B$3:$B$563,$A8,Input_Konektivitas!$D$3:$D$563,"&gt;0"))=0,"",SUMIFS(Input_Konektivitas!$C$3:$C$563,Input_Konektivitas!$A$3:$A$563,$A8,Input_Konektivitas!$B$3:$B$563,AC$3)+SUMIFS(Input_Konektivitas!$C$3:$C$563,Input_Konektivitas!$A$3:$A$563,AC$3,Input_Konektivitas!$B$3:$B$563,$A8))</f>
        <v>1</v>
      </c>
      <c r="AD8" s="29">
        <f>IF((COUNTIFS(Input_Konektivitas!$A$3:$A$563,$A8,Input_Konektivitas!$B$3:$B$563,AD$3,Input_Konektivitas!$D$3:$D$563,"&gt;0")+COUNTIFS(Input_Konektivitas!$A$3:$A$563,AD$3,Input_Konektivitas!$B$3:$B$563,$A8,Input_Konektivitas!$D$3:$D$563,"&gt;0"))=0,"",SUMIFS(Input_Konektivitas!$C$3:$C$563,Input_Konektivitas!$A$3:$A$563,$A8,Input_Konektivitas!$B$3:$B$563,AD$3)+SUMIFS(Input_Konektivitas!$C$3:$C$563,Input_Konektivitas!$A$3:$A$563,AD$3,Input_Konektivitas!$B$3:$B$563,$A8))</f>
        <v>1</v>
      </c>
      <c r="AE8" s="29">
        <f>IF((COUNTIFS(Input_Konektivitas!$A$3:$A$563,$A8,Input_Konektivitas!$B$3:$B$563,AE$3,Input_Konektivitas!$D$3:$D$563,"&gt;0")+COUNTIFS(Input_Konektivitas!$A$3:$A$563,AE$3,Input_Konektivitas!$B$3:$B$563,$A8,Input_Konektivitas!$D$3:$D$563,"&gt;0"))=0,"",SUMIFS(Input_Konektivitas!$C$3:$C$563,Input_Konektivitas!$A$3:$A$563,$A8,Input_Konektivitas!$B$3:$B$563,AE$3)+SUMIFS(Input_Konektivitas!$C$3:$C$563,Input_Konektivitas!$A$3:$A$563,AE$3,Input_Konektivitas!$B$3:$B$563,$A8))</f>
        <v>2</v>
      </c>
      <c r="AF8" s="29">
        <f>IF((COUNTIFS(Input_Konektivitas!$A$3:$A$563,$A8,Input_Konektivitas!$B$3:$B$563,AF$3,Input_Konektivitas!$D$3:$D$563,"&gt;0")+COUNTIFS(Input_Konektivitas!$A$3:$A$563,AF$3,Input_Konektivitas!$B$3:$B$563,$A8,Input_Konektivitas!$D$3:$D$563,"&gt;0"))=0,"",SUMIFS(Input_Konektivitas!$C$3:$C$563,Input_Konektivitas!$A$3:$A$563,$A8,Input_Konektivitas!$B$3:$B$563,AF$3)+SUMIFS(Input_Konektivitas!$C$3:$C$563,Input_Konektivitas!$A$3:$A$563,AF$3,Input_Konektivitas!$B$3:$B$563,$A8))</f>
        <v>1</v>
      </c>
      <c r="AG8" s="29">
        <f>IF((COUNTIFS(Input_Konektivitas!$A$3:$A$563,$A8,Input_Konektivitas!$B$3:$B$563,AG$3,Input_Konektivitas!$D$3:$D$563,"&gt;0")+COUNTIFS(Input_Konektivitas!$A$3:$A$563,AG$3,Input_Konektivitas!$B$3:$B$563,$A8,Input_Konektivitas!$D$3:$D$563,"&gt;0"))=0,"",SUMIFS(Input_Konektivitas!$C$3:$C$563,Input_Konektivitas!$A$3:$A$563,$A8,Input_Konektivitas!$B$3:$B$563,AG$3)+SUMIFS(Input_Konektivitas!$C$3:$C$563,Input_Konektivitas!$A$3:$A$563,AG$3,Input_Konektivitas!$B$3:$B$563,$A8))</f>
        <v>1</v>
      </c>
      <c r="AH8" s="29">
        <f>IF((COUNTIFS(Input_Konektivitas!$A$3:$A$563,$A8,Input_Konektivitas!$B$3:$B$563,AH$3,Input_Konektivitas!$D$3:$D$563,"&gt;0")+COUNTIFS(Input_Konektivitas!$A$3:$A$563,AH$3,Input_Konektivitas!$B$3:$B$563,$A8,Input_Konektivitas!$D$3:$D$563,"&gt;0"))=0,"",SUMIFS(Input_Konektivitas!$C$3:$C$563,Input_Konektivitas!$A$3:$A$563,$A8,Input_Konektivitas!$B$3:$B$563,AH$3)+SUMIFS(Input_Konektivitas!$C$3:$C$563,Input_Konektivitas!$A$3:$A$563,AH$3,Input_Konektivitas!$B$3:$B$563,$A8))</f>
        <v>2</v>
      </c>
      <c r="AI8" s="29">
        <f>IF((COUNTIFS(Input_Konektivitas!$A$3:$A$563,$A8,Input_Konektivitas!$B$3:$B$563,AI$3,Input_Konektivitas!$D$3:$D$563,"&gt;0")+COUNTIFS(Input_Konektivitas!$A$3:$A$563,AI$3,Input_Konektivitas!$B$3:$B$563,$A8,Input_Konektivitas!$D$3:$D$563,"&gt;0"))=0,"",SUMIFS(Input_Konektivitas!$C$3:$C$563,Input_Konektivitas!$A$3:$A$563,$A8,Input_Konektivitas!$B$3:$B$563,AI$3)+SUMIFS(Input_Konektivitas!$C$3:$C$563,Input_Konektivitas!$A$3:$A$563,AI$3,Input_Konektivitas!$B$3:$B$563,$A8))</f>
        <v>2</v>
      </c>
    </row>
    <row r="9" ht="14.25" customHeight="1">
      <c r="A9" s="22" t="s">
        <v>17</v>
      </c>
      <c r="B9" s="29">
        <f>IF((COUNTIFS(Input_Konektivitas!$A$3:$A$563,$A9,Input_Konektivitas!$B$3:$B$563,B$3,Input_Konektivitas!$D$3:$D$563,"&gt;0")+COUNTIFS(Input_Konektivitas!$A$3:$A$563,B$3,Input_Konektivitas!$B$3:$B$563,$A9,Input_Konektivitas!$D$3:$D$563,"&gt;0"))=0,"",SUMIFS(Input_Konektivitas!$C$3:$C$563,Input_Konektivitas!$A$3:$A$563,$A9,Input_Konektivitas!$B$3:$B$563,B$3)+SUMIFS(Input_Konektivitas!$C$3:$C$563,Input_Konektivitas!$A$3:$A$563,B$3,Input_Konektivitas!$B$3:$B$563,$A9))</f>
        <v>1</v>
      </c>
      <c r="C9" s="29">
        <f>IF((COUNTIFS(Input_Konektivitas!$A$3:$A$563,$A9,Input_Konektivitas!$B$3:$B$563,C$3,Input_Konektivitas!$D$3:$D$563,"&gt;0")+COUNTIFS(Input_Konektivitas!$A$3:$A$563,C$3,Input_Konektivitas!$B$3:$B$563,$A9,Input_Konektivitas!$D$3:$D$563,"&gt;0"))=0,"",SUMIFS(Input_Konektivitas!$C$3:$C$563,Input_Konektivitas!$A$3:$A$563,$A9,Input_Konektivitas!$B$3:$B$563,C$3)+SUMIFS(Input_Konektivitas!$C$3:$C$563,Input_Konektivitas!$A$3:$A$563,C$3,Input_Konektivitas!$B$3:$B$563,$A9))</f>
        <v>0</v>
      </c>
      <c r="D9" s="29">
        <f>IF((COUNTIFS(Input_Konektivitas!$A$3:$A$563,$A9,Input_Konektivitas!$B$3:$B$563,D$3,Input_Konektivitas!$D$3:$D$563,"&gt;0")+COUNTIFS(Input_Konektivitas!$A$3:$A$563,D$3,Input_Konektivitas!$B$3:$B$563,$A9,Input_Konektivitas!$D$3:$D$563,"&gt;0"))=0,"",SUMIFS(Input_Konektivitas!$C$3:$C$563,Input_Konektivitas!$A$3:$A$563,$A9,Input_Konektivitas!$B$3:$B$563,D$3)+SUMIFS(Input_Konektivitas!$C$3:$C$563,Input_Konektivitas!$A$3:$A$563,D$3,Input_Konektivitas!$B$3:$B$563,$A9))</f>
        <v>1</v>
      </c>
      <c r="E9" s="29">
        <f>IF((COUNTIFS(Input_Konektivitas!$A$3:$A$563,$A9,Input_Konektivitas!$B$3:$B$563,E$3,Input_Konektivitas!$D$3:$D$563,"&gt;0")+COUNTIFS(Input_Konektivitas!$A$3:$A$563,E$3,Input_Konektivitas!$B$3:$B$563,$A9,Input_Konektivitas!$D$3:$D$563,"&gt;0"))=0,"",SUMIFS(Input_Konektivitas!$C$3:$C$563,Input_Konektivitas!$A$3:$A$563,$A9,Input_Konektivitas!$B$3:$B$563,E$3)+SUMIFS(Input_Konektivitas!$C$3:$C$563,Input_Konektivitas!$A$3:$A$563,E$3,Input_Konektivitas!$B$3:$B$563,$A9))</f>
        <v>1</v>
      </c>
      <c r="F9" s="29">
        <f>IF((COUNTIFS(Input_Konektivitas!$A$3:$A$563,$A9,Input_Konektivitas!$B$3:$B$563,F$3,Input_Konektivitas!$D$3:$D$563,"&gt;0")+COUNTIFS(Input_Konektivitas!$A$3:$A$563,F$3,Input_Konektivitas!$B$3:$B$563,$A9,Input_Konektivitas!$D$3:$D$563,"&gt;0"))=0,"",SUMIFS(Input_Konektivitas!$C$3:$C$563,Input_Konektivitas!$A$3:$A$563,$A9,Input_Konektivitas!$B$3:$B$563,F$3)+SUMIFS(Input_Konektivitas!$C$3:$C$563,Input_Konektivitas!$A$3:$A$563,F$3,Input_Konektivitas!$B$3:$B$563,$A9))</f>
        <v>1</v>
      </c>
      <c r="G9" s="26">
        <v>0.0</v>
      </c>
      <c r="H9" s="29">
        <f>IF((COUNTIFS(Input_Konektivitas!$A$3:$A$563,$A9,Input_Konektivitas!$B$3:$B$563,H$3,Input_Konektivitas!$D$3:$D$563,"&gt;0")+COUNTIFS(Input_Konektivitas!$A$3:$A$563,H$3,Input_Konektivitas!$B$3:$B$563,$A9,Input_Konektivitas!$D$3:$D$563,"&gt;0"))=0,"",SUMIFS(Input_Konektivitas!$C$3:$C$563,Input_Konektivitas!$A$3:$A$563,$A9,Input_Konektivitas!$B$3:$B$563,H$3)+SUMIFS(Input_Konektivitas!$C$3:$C$563,Input_Konektivitas!$A$3:$A$563,H$3,Input_Konektivitas!$B$3:$B$563,$A9))</f>
        <v>1</v>
      </c>
      <c r="I9" s="29">
        <f>IF((COUNTIFS(Input_Konektivitas!$A$3:$A$563,$A9,Input_Konektivitas!$B$3:$B$563,I$3,Input_Konektivitas!$D$3:$D$563,"&gt;0")+COUNTIFS(Input_Konektivitas!$A$3:$A$563,I$3,Input_Konektivitas!$B$3:$B$563,$A9,Input_Konektivitas!$D$3:$D$563,"&gt;0"))=0,"",SUMIFS(Input_Konektivitas!$C$3:$C$563,Input_Konektivitas!$A$3:$A$563,$A9,Input_Konektivitas!$B$3:$B$563,I$3)+SUMIFS(Input_Konektivitas!$C$3:$C$563,Input_Konektivitas!$A$3:$A$563,I$3,Input_Konektivitas!$B$3:$B$563,$A9))</f>
        <v>1</v>
      </c>
      <c r="J9" s="29">
        <f>IF((COUNTIFS(Input_Konektivitas!$A$3:$A$563,$A9,Input_Konektivitas!$B$3:$B$563,J$3,Input_Konektivitas!$D$3:$D$563,"&gt;0")+COUNTIFS(Input_Konektivitas!$A$3:$A$563,J$3,Input_Konektivitas!$B$3:$B$563,$A9,Input_Konektivitas!$D$3:$D$563,"&gt;0"))=0,"",SUMIFS(Input_Konektivitas!$C$3:$C$563,Input_Konektivitas!$A$3:$A$563,$A9,Input_Konektivitas!$B$3:$B$563,J$3)+SUMIFS(Input_Konektivitas!$C$3:$C$563,Input_Konektivitas!$A$3:$A$563,J$3,Input_Konektivitas!$B$3:$B$563,$A9))</f>
        <v>0</v>
      </c>
      <c r="K9" s="29">
        <f>IF((COUNTIFS(Input_Konektivitas!$A$3:$A$563,$A9,Input_Konektivitas!$B$3:$B$563,K$3,Input_Konektivitas!$D$3:$D$563,"&gt;0")+COUNTIFS(Input_Konektivitas!$A$3:$A$563,K$3,Input_Konektivitas!$B$3:$B$563,$A9,Input_Konektivitas!$D$3:$D$563,"&gt;0"))=0,"",SUMIFS(Input_Konektivitas!$C$3:$C$563,Input_Konektivitas!$A$3:$A$563,$A9,Input_Konektivitas!$B$3:$B$563,K$3)+SUMIFS(Input_Konektivitas!$C$3:$C$563,Input_Konektivitas!$A$3:$A$563,K$3,Input_Konektivitas!$B$3:$B$563,$A9))</f>
        <v>1</v>
      </c>
      <c r="L9" s="29">
        <f>IF((COUNTIFS(Input_Konektivitas!$A$3:$A$563,$A9,Input_Konektivitas!$B$3:$B$563,L$3,Input_Konektivitas!$D$3:$D$563,"&gt;0")+COUNTIFS(Input_Konektivitas!$A$3:$A$563,L$3,Input_Konektivitas!$B$3:$B$563,$A9,Input_Konektivitas!$D$3:$D$563,"&gt;0"))=0,"",SUMIFS(Input_Konektivitas!$C$3:$C$563,Input_Konektivitas!$A$3:$A$563,$A9,Input_Konektivitas!$B$3:$B$563,L$3)+SUMIFS(Input_Konektivitas!$C$3:$C$563,Input_Konektivitas!$A$3:$A$563,L$3,Input_Konektivitas!$B$3:$B$563,$A9))</f>
        <v>1</v>
      </c>
      <c r="M9" s="29">
        <f>IF((COUNTIFS(Input_Konektivitas!$A$3:$A$563,$A9,Input_Konektivitas!$B$3:$B$563,M$3,Input_Konektivitas!$D$3:$D$563,"&gt;0")+COUNTIFS(Input_Konektivitas!$A$3:$A$563,M$3,Input_Konektivitas!$B$3:$B$563,$A9,Input_Konektivitas!$D$3:$D$563,"&gt;0"))=0,"",SUMIFS(Input_Konektivitas!$C$3:$C$563,Input_Konektivitas!$A$3:$A$563,$A9,Input_Konektivitas!$B$3:$B$563,M$3)+SUMIFS(Input_Konektivitas!$C$3:$C$563,Input_Konektivitas!$A$3:$A$563,M$3,Input_Konektivitas!$B$3:$B$563,$A9))</f>
        <v>1</v>
      </c>
      <c r="N9" s="29">
        <f>IF((COUNTIFS(Input_Konektivitas!$A$3:$A$563,$A9,Input_Konektivitas!$B$3:$B$563,N$3,Input_Konektivitas!$D$3:$D$563,"&gt;0")+COUNTIFS(Input_Konektivitas!$A$3:$A$563,N$3,Input_Konektivitas!$B$3:$B$563,$A9,Input_Konektivitas!$D$3:$D$563,"&gt;0"))=0,"",SUMIFS(Input_Konektivitas!$C$3:$C$563,Input_Konektivitas!$A$3:$A$563,$A9,Input_Konektivitas!$B$3:$B$563,N$3)+SUMIFS(Input_Konektivitas!$C$3:$C$563,Input_Konektivitas!$A$3:$A$563,N$3,Input_Konektivitas!$B$3:$B$563,$A9))</f>
        <v>1</v>
      </c>
      <c r="O9" s="29">
        <f>IF((COUNTIFS(Input_Konektivitas!$A$3:$A$563,$A9,Input_Konektivitas!$B$3:$B$563,O$3,Input_Konektivitas!$D$3:$D$563,"&gt;0")+COUNTIFS(Input_Konektivitas!$A$3:$A$563,O$3,Input_Konektivitas!$B$3:$B$563,$A9,Input_Konektivitas!$D$3:$D$563,"&gt;0"))=0,"",SUMIFS(Input_Konektivitas!$C$3:$C$563,Input_Konektivitas!$A$3:$A$563,$A9,Input_Konektivitas!$B$3:$B$563,O$3)+SUMIFS(Input_Konektivitas!$C$3:$C$563,Input_Konektivitas!$A$3:$A$563,O$3,Input_Konektivitas!$B$3:$B$563,$A9))</f>
        <v>0</v>
      </c>
      <c r="P9" s="29">
        <f>IF((COUNTIFS(Input_Konektivitas!$A$3:$A$563,$A9,Input_Konektivitas!$B$3:$B$563,P$3,Input_Konektivitas!$D$3:$D$563,"&gt;0")+COUNTIFS(Input_Konektivitas!$A$3:$A$563,P$3,Input_Konektivitas!$B$3:$B$563,$A9,Input_Konektivitas!$D$3:$D$563,"&gt;0"))=0,"",SUMIFS(Input_Konektivitas!$C$3:$C$563,Input_Konektivitas!$A$3:$A$563,$A9,Input_Konektivitas!$B$3:$B$563,P$3)+SUMIFS(Input_Konektivitas!$C$3:$C$563,Input_Konektivitas!$A$3:$A$563,P$3,Input_Konektivitas!$B$3:$B$563,$A9))</f>
        <v>0</v>
      </c>
      <c r="Q9" s="29" t="str">
        <f>IF((COUNTIFS(Input_Konektivitas!$A$3:$A$563,$A9,Input_Konektivitas!$B$3:$B$563,Q$3,Input_Konektivitas!$D$3:$D$563,"&gt;0")+COUNTIFS(Input_Konektivitas!$A$3:$A$563,Q$3,Input_Konektivitas!$B$3:$B$563,$A9,Input_Konektivitas!$D$3:$D$563,"&gt;0"))=0,"",SUMIFS(Input_Konektivitas!$C$3:$C$563,Input_Konektivitas!$A$3:$A$563,$A9,Input_Konektivitas!$B$3:$B$563,Q$3)+SUMIFS(Input_Konektivitas!$C$3:$C$563,Input_Konektivitas!$A$3:$A$563,Q$3,Input_Konektivitas!$B$3:$B$563,$A9))</f>
        <v/>
      </c>
      <c r="R9" s="29">
        <f>IF((COUNTIFS(Input_Konektivitas!$A$3:$A$563,$A9,Input_Konektivitas!$B$3:$B$563,R$3,Input_Konektivitas!$D$3:$D$563,"&gt;0")+COUNTIFS(Input_Konektivitas!$A$3:$A$563,R$3,Input_Konektivitas!$B$3:$B$563,$A9,Input_Konektivitas!$D$3:$D$563,"&gt;0"))=0,"",SUMIFS(Input_Konektivitas!$C$3:$C$563,Input_Konektivitas!$A$3:$A$563,$A9,Input_Konektivitas!$B$3:$B$563,R$3)+SUMIFS(Input_Konektivitas!$C$3:$C$563,Input_Konektivitas!$A$3:$A$563,R$3,Input_Konektivitas!$B$3:$B$563,$A9))</f>
        <v>1</v>
      </c>
      <c r="S9" s="29">
        <f>IF((COUNTIFS(Input_Konektivitas!$A$3:$A$563,$A9,Input_Konektivitas!$B$3:$B$563,S$3,Input_Konektivitas!$D$3:$D$563,"&gt;0")+COUNTIFS(Input_Konektivitas!$A$3:$A$563,S$3,Input_Konektivitas!$B$3:$B$563,$A9,Input_Konektivitas!$D$3:$D$563,"&gt;0"))=0,"",SUMIFS(Input_Konektivitas!$C$3:$C$563,Input_Konektivitas!$A$3:$A$563,$A9,Input_Konektivitas!$B$3:$B$563,S$3)+SUMIFS(Input_Konektivitas!$C$3:$C$563,Input_Konektivitas!$A$3:$A$563,S$3,Input_Konektivitas!$B$3:$B$563,$A9))</f>
        <v>1</v>
      </c>
      <c r="T9" s="29">
        <f>IF((COUNTIFS(Input_Konektivitas!$A$3:$A$563,$A9,Input_Konektivitas!$B$3:$B$563,T$3,Input_Konektivitas!$D$3:$D$563,"&gt;0")+COUNTIFS(Input_Konektivitas!$A$3:$A$563,T$3,Input_Konektivitas!$B$3:$B$563,$A9,Input_Konektivitas!$D$3:$D$563,"&gt;0"))=0,"",SUMIFS(Input_Konektivitas!$C$3:$C$563,Input_Konektivitas!$A$3:$A$563,$A9,Input_Konektivitas!$B$3:$B$563,T$3)+SUMIFS(Input_Konektivitas!$C$3:$C$563,Input_Konektivitas!$A$3:$A$563,T$3,Input_Konektivitas!$B$3:$B$563,$A9))</f>
        <v>1</v>
      </c>
      <c r="U9" s="29">
        <f>IF((COUNTIFS(Input_Konektivitas!$A$3:$A$563,$A9,Input_Konektivitas!$B$3:$B$563,U$3,Input_Konektivitas!$D$3:$D$563,"&gt;0")+COUNTIFS(Input_Konektivitas!$A$3:$A$563,U$3,Input_Konektivitas!$B$3:$B$563,$A9,Input_Konektivitas!$D$3:$D$563,"&gt;0"))=0,"",SUMIFS(Input_Konektivitas!$C$3:$C$563,Input_Konektivitas!$A$3:$A$563,$A9,Input_Konektivitas!$B$3:$B$563,U$3)+SUMIFS(Input_Konektivitas!$C$3:$C$563,Input_Konektivitas!$A$3:$A$563,U$3,Input_Konektivitas!$B$3:$B$563,$A9))</f>
        <v>1</v>
      </c>
      <c r="V9" s="29">
        <f>IF((COUNTIFS(Input_Konektivitas!$A$3:$A$563,$A9,Input_Konektivitas!$B$3:$B$563,V$3,Input_Konektivitas!$D$3:$D$563,"&gt;0")+COUNTIFS(Input_Konektivitas!$A$3:$A$563,V$3,Input_Konektivitas!$B$3:$B$563,$A9,Input_Konektivitas!$D$3:$D$563,"&gt;0"))=0,"",SUMIFS(Input_Konektivitas!$C$3:$C$563,Input_Konektivitas!$A$3:$A$563,$A9,Input_Konektivitas!$B$3:$B$563,V$3)+SUMIFS(Input_Konektivitas!$C$3:$C$563,Input_Konektivitas!$A$3:$A$563,V$3,Input_Konektivitas!$B$3:$B$563,$A9))</f>
        <v>1</v>
      </c>
      <c r="W9" s="29">
        <f>IF((COUNTIFS(Input_Konektivitas!$A$3:$A$563,$A9,Input_Konektivitas!$B$3:$B$563,W$3,Input_Konektivitas!$D$3:$D$563,"&gt;0")+COUNTIFS(Input_Konektivitas!$A$3:$A$563,W$3,Input_Konektivitas!$B$3:$B$563,$A9,Input_Konektivitas!$D$3:$D$563,"&gt;0"))=0,"",SUMIFS(Input_Konektivitas!$C$3:$C$563,Input_Konektivitas!$A$3:$A$563,$A9,Input_Konektivitas!$B$3:$B$563,W$3)+SUMIFS(Input_Konektivitas!$C$3:$C$563,Input_Konektivitas!$A$3:$A$563,W$3,Input_Konektivitas!$B$3:$B$563,$A9))</f>
        <v>1</v>
      </c>
      <c r="X9" s="29">
        <f>IF((COUNTIFS(Input_Konektivitas!$A$3:$A$563,$A9,Input_Konektivitas!$B$3:$B$563,X$3,Input_Konektivitas!$D$3:$D$563,"&gt;0")+COUNTIFS(Input_Konektivitas!$A$3:$A$563,X$3,Input_Konektivitas!$B$3:$B$563,$A9,Input_Konektivitas!$D$3:$D$563,"&gt;0"))=0,"",SUMIFS(Input_Konektivitas!$C$3:$C$563,Input_Konektivitas!$A$3:$A$563,$A9,Input_Konektivitas!$B$3:$B$563,X$3)+SUMIFS(Input_Konektivitas!$C$3:$C$563,Input_Konektivitas!$A$3:$A$563,X$3,Input_Konektivitas!$B$3:$B$563,$A9))</f>
        <v>1</v>
      </c>
      <c r="Y9" s="29">
        <f>IF((COUNTIFS(Input_Konektivitas!$A$3:$A$563,$A9,Input_Konektivitas!$B$3:$B$563,Y$3,Input_Konektivitas!$D$3:$D$563,"&gt;0")+COUNTIFS(Input_Konektivitas!$A$3:$A$563,Y$3,Input_Konektivitas!$B$3:$B$563,$A9,Input_Konektivitas!$D$3:$D$563,"&gt;0"))=0,"",SUMIFS(Input_Konektivitas!$C$3:$C$563,Input_Konektivitas!$A$3:$A$563,$A9,Input_Konektivitas!$B$3:$B$563,Y$3)+SUMIFS(Input_Konektivitas!$C$3:$C$563,Input_Konektivitas!$A$3:$A$563,Y$3,Input_Konektivitas!$B$3:$B$563,$A9))</f>
        <v>1</v>
      </c>
      <c r="Z9" s="29">
        <f>IF((COUNTIFS(Input_Konektivitas!$A$3:$A$563,$A9,Input_Konektivitas!$B$3:$B$563,Z$3,Input_Konektivitas!$D$3:$D$563,"&gt;0")+COUNTIFS(Input_Konektivitas!$A$3:$A$563,Z$3,Input_Konektivitas!$B$3:$B$563,$A9,Input_Konektivitas!$D$3:$D$563,"&gt;0"))=0,"",SUMIFS(Input_Konektivitas!$C$3:$C$563,Input_Konektivitas!$A$3:$A$563,$A9,Input_Konektivitas!$B$3:$B$563,Z$3)+SUMIFS(Input_Konektivitas!$C$3:$C$563,Input_Konektivitas!$A$3:$A$563,Z$3,Input_Konektivitas!$B$3:$B$563,$A9))</f>
        <v>1</v>
      </c>
      <c r="AA9" s="29">
        <f>IF((COUNTIFS(Input_Konektivitas!$A$3:$A$563,$A9,Input_Konektivitas!$B$3:$B$563,AA$3,Input_Konektivitas!$D$3:$D$563,"&gt;0")+COUNTIFS(Input_Konektivitas!$A$3:$A$563,AA$3,Input_Konektivitas!$B$3:$B$563,$A9,Input_Konektivitas!$D$3:$D$563,"&gt;0"))=0,"",SUMIFS(Input_Konektivitas!$C$3:$C$563,Input_Konektivitas!$A$3:$A$563,$A9,Input_Konektivitas!$B$3:$B$563,AA$3)+SUMIFS(Input_Konektivitas!$C$3:$C$563,Input_Konektivitas!$A$3:$A$563,AA$3,Input_Konektivitas!$B$3:$B$563,$A9))</f>
        <v>2</v>
      </c>
      <c r="AB9" s="29">
        <f>IF((COUNTIFS(Input_Konektivitas!$A$3:$A$563,$A9,Input_Konektivitas!$B$3:$B$563,AB$3,Input_Konektivitas!$D$3:$D$563,"&gt;0")+COUNTIFS(Input_Konektivitas!$A$3:$A$563,AB$3,Input_Konektivitas!$B$3:$B$563,$A9,Input_Konektivitas!$D$3:$D$563,"&gt;0"))=0,"",SUMIFS(Input_Konektivitas!$C$3:$C$563,Input_Konektivitas!$A$3:$A$563,$A9,Input_Konektivitas!$B$3:$B$563,AB$3)+SUMIFS(Input_Konektivitas!$C$3:$C$563,Input_Konektivitas!$A$3:$A$563,AB$3,Input_Konektivitas!$B$3:$B$563,$A9))</f>
        <v>1</v>
      </c>
      <c r="AC9" s="29">
        <f>IF((COUNTIFS(Input_Konektivitas!$A$3:$A$563,$A9,Input_Konektivitas!$B$3:$B$563,AC$3,Input_Konektivitas!$D$3:$D$563,"&gt;0")+COUNTIFS(Input_Konektivitas!$A$3:$A$563,AC$3,Input_Konektivitas!$B$3:$B$563,$A9,Input_Konektivitas!$D$3:$D$563,"&gt;0"))=0,"",SUMIFS(Input_Konektivitas!$C$3:$C$563,Input_Konektivitas!$A$3:$A$563,$A9,Input_Konektivitas!$B$3:$B$563,AC$3)+SUMIFS(Input_Konektivitas!$C$3:$C$563,Input_Konektivitas!$A$3:$A$563,AC$3,Input_Konektivitas!$B$3:$B$563,$A9))</f>
        <v>1</v>
      </c>
      <c r="AD9" s="29">
        <f>IF((COUNTIFS(Input_Konektivitas!$A$3:$A$563,$A9,Input_Konektivitas!$B$3:$B$563,AD$3,Input_Konektivitas!$D$3:$D$563,"&gt;0")+COUNTIFS(Input_Konektivitas!$A$3:$A$563,AD$3,Input_Konektivitas!$B$3:$B$563,$A9,Input_Konektivitas!$D$3:$D$563,"&gt;0"))=0,"",SUMIFS(Input_Konektivitas!$C$3:$C$563,Input_Konektivitas!$A$3:$A$563,$A9,Input_Konektivitas!$B$3:$B$563,AD$3)+SUMIFS(Input_Konektivitas!$C$3:$C$563,Input_Konektivitas!$A$3:$A$563,AD$3,Input_Konektivitas!$B$3:$B$563,$A9))</f>
        <v>1</v>
      </c>
      <c r="AE9" s="29">
        <f>IF((COUNTIFS(Input_Konektivitas!$A$3:$A$563,$A9,Input_Konektivitas!$B$3:$B$563,AE$3,Input_Konektivitas!$D$3:$D$563,"&gt;0")+COUNTIFS(Input_Konektivitas!$A$3:$A$563,AE$3,Input_Konektivitas!$B$3:$B$563,$A9,Input_Konektivitas!$D$3:$D$563,"&gt;0"))=0,"",SUMIFS(Input_Konektivitas!$C$3:$C$563,Input_Konektivitas!$A$3:$A$563,$A9,Input_Konektivitas!$B$3:$B$563,AE$3)+SUMIFS(Input_Konektivitas!$C$3:$C$563,Input_Konektivitas!$A$3:$A$563,AE$3,Input_Konektivitas!$B$3:$B$563,$A9))</f>
        <v>1</v>
      </c>
      <c r="AF9" s="29">
        <f>IF((COUNTIFS(Input_Konektivitas!$A$3:$A$563,$A9,Input_Konektivitas!$B$3:$B$563,AF$3,Input_Konektivitas!$D$3:$D$563,"&gt;0")+COUNTIFS(Input_Konektivitas!$A$3:$A$563,AF$3,Input_Konektivitas!$B$3:$B$563,$A9,Input_Konektivitas!$D$3:$D$563,"&gt;0"))=0,"",SUMIFS(Input_Konektivitas!$C$3:$C$563,Input_Konektivitas!$A$3:$A$563,$A9,Input_Konektivitas!$B$3:$B$563,AF$3)+SUMIFS(Input_Konektivitas!$C$3:$C$563,Input_Konektivitas!$A$3:$A$563,AF$3,Input_Konektivitas!$B$3:$B$563,$A9))</f>
        <v>1</v>
      </c>
      <c r="AG9" s="29">
        <f>IF((COUNTIFS(Input_Konektivitas!$A$3:$A$563,$A9,Input_Konektivitas!$B$3:$B$563,AG$3,Input_Konektivitas!$D$3:$D$563,"&gt;0")+COUNTIFS(Input_Konektivitas!$A$3:$A$563,AG$3,Input_Konektivitas!$B$3:$B$563,$A9,Input_Konektivitas!$D$3:$D$563,"&gt;0"))=0,"",SUMIFS(Input_Konektivitas!$C$3:$C$563,Input_Konektivitas!$A$3:$A$563,$A9,Input_Konektivitas!$B$3:$B$563,AG$3)+SUMIFS(Input_Konektivitas!$C$3:$C$563,Input_Konektivitas!$A$3:$A$563,AG$3,Input_Konektivitas!$B$3:$B$563,$A9))</f>
        <v>1</v>
      </c>
      <c r="AH9" s="29">
        <f>IF((COUNTIFS(Input_Konektivitas!$A$3:$A$563,$A9,Input_Konektivitas!$B$3:$B$563,AH$3,Input_Konektivitas!$D$3:$D$563,"&gt;0")+COUNTIFS(Input_Konektivitas!$A$3:$A$563,AH$3,Input_Konektivitas!$B$3:$B$563,$A9,Input_Konektivitas!$D$3:$D$563,"&gt;0"))=0,"",SUMIFS(Input_Konektivitas!$C$3:$C$563,Input_Konektivitas!$A$3:$A$563,$A9,Input_Konektivitas!$B$3:$B$563,AH$3)+SUMIFS(Input_Konektivitas!$C$3:$C$563,Input_Konektivitas!$A$3:$A$563,AH$3,Input_Konektivitas!$B$3:$B$563,$A9))</f>
        <v>1</v>
      </c>
      <c r="AI9" s="29">
        <f>IF((COUNTIFS(Input_Konektivitas!$A$3:$A$563,$A9,Input_Konektivitas!$B$3:$B$563,AI$3,Input_Konektivitas!$D$3:$D$563,"&gt;0")+COUNTIFS(Input_Konektivitas!$A$3:$A$563,AI$3,Input_Konektivitas!$B$3:$B$563,$A9,Input_Konektivitas!$D$3:$D$563,"&gt;0"))=0,"",SUMIFS(Input_Konektivitas!$C$3:$C$563,Input_Konektivitas!$A$3:$A$563,$A9,Input_Konektivitas!$B$3:$B$563,AI$3)+SUMIFS(Input_Konektivitas!$C$3:$C$563,Input_Konektivitas!$A$3:$A$563,AI$3,Input_Konektivitas!$B$3:$B$563,$A9))</f>
        <v>1</v>
      </c>
    </row>
    <row r="10" ht="14.25" customHeight="1">
      <c r="A10" s="22" t="s">
        <v>20</v>
      </c>
      <c r="B10" s="29">
        <f>IF((COUNTIFS(Input_Konektivitas!$A$3:$A$563,$A10,Input_Konektivitas!$B$3:$B$563,B$3,Input_Konektivitas!$D$3:$D$563,"&gt;0")+COUNTIFS(Input_Konektivitas!$A$3:$A$563,B$3,Input_Konektivitas!$B$3:$B$563,$A10,Input_Konektivitas!$D$3:$D$563,"&gt;0"))=0,"",SUMIFS(Input_Konektivitas!$C$3:$C$563,Input_Konektivitas!$A$3:$A$563,$A10,Input_Konektivitas!$B$3:$B$563,B$3)+SUMIFS(Input_Konektivitas!$C$3:$C$563,Input_Konektivitas!$A$3:$A$563,B$3,Input_Konektivitas!$B$3:$B$563,$A10))</f>
        <v>1</v>
      </c>
      <c r="C10" s="29">
        <f>IF((COUNTIFS(Input_Konektivitas!$A$3:$A$563,$A10,Input_Konektivitas!$B$3:$B$563,C$3,Input_Konektivitas!$D$3:$D$563,"&gt;0")+COUNTIFS(Input_Konektivitas!$A$3:$A$563,C$3,Input_Konektivitas!$B$3:$B$563,$A10,Input_Konektivitas!$D$3:$D$563,"&gt;0"))=0,"",SUMIFS(Input_Konektivitas!$C$3:$C$563,Input_Konektivitas!$A$3:$A$563,$A10,Input_Konektivitas!$B$3:$B$563,C$3)+SUMIFS(Input_Konektivitas!$C$3:$C$563,Input_Konektivitas!$A$3:$A$563,C$3,Input_Konektivitas!$B$3:$B$563,$A10))</f>
        <v>1</v>
      </c>
      <c r="D10" s="29">
        <f>IF((COUNTIFS(Input_Konektivitas!$A$3:$A$563,$A10,Input_Konektivitas!$B$3:$B$563,D$3,Input_Konektivitas!$D$3:$D$563,"&gt;0")+COUNTIFS(Input_Konektivitas!$A$3:$A$563,D$3,Input_Konektivitas!$B$3:$B$563,$A10,Input_Konektivitas!$D$3:$D$563,"&gt;0"))=0,"",SUMIFS(Input_Konektivitas!$C$3:$C$563,Input_Konektivitas!$A$3:$A$563,$A10,Input_Konektivitas!$B$3:$B$563,D$3)+SUMIFS(Input_Konektivitas!$C$3:$C$563,Input_Konektivitas!$A$3:$A$563,D$3,Input_Konektivitas!$B$3:$B$563,$A10))</f>
        <v>1</v>
      </c>
      <c r="E10" s="29">
        <f>IF((COUNTIFS(Input_Konektivitas!$A$3:$A$563,$A10,Input_Konektivitas!$B$3:$B$563,E$3,Input_Konektivitas!$D$3:$D$563,"&gt;0")+COUNTIFS(Input_Konektivitas!$A$3:$A$563,E$3,Input_Konektivitas!$B$3:$B$563,$A10,Input_Konektivitas!$D$3:$D$563,"&gt;0"))=0,"",SUMIFS(Input_Konektivitas!$C$3:$C$563,Input_Konektivitas!$A$3:$A$563,$A10,Input_Konektivitas!$B$3:$B$563,E$3)+SUMIFS(Input_Konektivitas!$C$3:$C$563,Input_Konektivitas!$A$3:$A$563,E$3,Input_Konektivitas!$B$3:$B$563,$A10))</f>
        <v>1</v>
      </c>
      <c r="F10" s="29">
        <f>IF((COUNTIFS(Input_Konektivitas!$A$3:$A$563,$A10,Input_Konektivitas!$B$3:$B$563,F$3,Input_Konektivitas!$D$3:$D$563,"&gt;0")+COUNTIFS(Input_Konektivitas!$A$3:$A$563,F$3,Input_Konektivitas!$B$3:$B$563,$A10,Input_Konektivitas!$D$3:$D$563,"&gt;0"))=0,"",SUMIFS(Input_Konektivitas!$C$3:$C$563,Input_Konektivitas!$A$3:$A$563,$A10,Input_Konektivitas!$B$3:$B$563,F$3)+SUMIFS(Input_Konektivitas!$C$3:$C$563,Input_Konektivitas!$A$3:$A$563,F$3,Input_Konektivitas!$B$3:$B$563,$A10))</f>
        <v>1</v>
      </c>
      <c r="G10" s="29">
        <f>IF((COUNTIFS(Input_Konektivitas!$A$3:$A$563,$A10,Input_Konektivitas!$B$3:$B$563,G$3,Input_Konektivitas!$D$3:$D$563,"&gt;0")+COUNTIFS(Input_Konektivitas!$A$3:$A$563,G$3,Input_Konektivitas!$B$3:$B$563,$A10,Input_Konektivitas!$D$3:$D$563,"&gt;0"))=0,"",SUMIFS(Input_Konektivitas!$C$3:$C$563,Input_Konektivitas!$A$3:$A$563,$A10,Input_Konektivitas!$B$3:$B$563,G$3)+SUMIFS(Input_Konektivitas!$C$3:$C$563,Input_Konektivitas!$A$3:$A$563,G$3,Input_Konektivitas!$B$3:$B$563,$A10))</f>
        <v>1</v>
      </c>
      <c r="H10" s="26">
        <v>0.0</v>
      </c>
      <c r="I10" s="29">
        <f>IF((COUNTIFS(Input_Konektivitas!$A$3:$A$563,$A10,Input_Konektivitas!$B$3:$B$563,I$3,Input_Konektivitas!$D$3:$D$563,"&gt;0")+COUNTIFS(Input_Konektivitas!$A$3:$A$563,I$3,Input_Konektivitas!$B$3:$B$563,$A10,Input_Konektivitas!$D$3:$D$563,"&gt;0"))=0,"",SUMIFS(Input_Konektivitas!$C$3:$C$563,Input_Konektivitas!$A$3:$A$563,$A10,Input_Konektivitas!$B$3:$B$563,I$3)+SUMIFS(Input_Konektivitas!$C$3:$C$563,Input_Konektivitas!$A$3:$A$563,I$3,Input_Konektivitas!$B$3:$B$563,$A10))</f>
        <v>1</v>
      </c>
      <c r="J10" s="29">
        <f>IF((COUNTIFS(Input_Konektivitas!$A$3:$A$563,$A10,Input_Konektivitas!$B$3:$B$563,J$3,Input_Konektivitas!$D$3:$D$563,"&gt;0")+COUNTIFS(Input_Konektivitas!$A$3:$A$563,J$3,Input_Konektivitas!$B$3:$B$563,$A10,Input_Konektivitas!$D$3:$D$563,"&gt;0"))=0,"",SUMIFS(Input_Konektivitas!$C$3:$C$563,Input_Konektivitas!$A$3:$A$563,$A10,Input_Konektivitas!$B$3:$B$563,J$3)+SUMIFS(Input_Konektivitas!$C$3:$C$563,Input_Konektivitas!$A$3:$A$563,J$3,Input_Konektivitas!$B$3:$B$563,$A10))</f>
        <v>1</v>
      </c>
      <c r="K10" s="29">
        <f>IF((COUNTIFS(Input_Konektivitas!$A$3:$A$563,$A10,Input_Konektivitas!$B$3:$B$563,K$3,Input_Konektivitas!$D$3:$D$563,"&gt;0")+COUNTIFS(Input_Konektivitas!$A$3:$A$563,K$3,Input_Konektivitas!$B$3:$B$563,$A10,Input_Konektivitas!$D$3:$D$563,"&gt;0"))=0,"",SUMIFS(Input_Konektivitas!$C$3:$C$563,Input_Konektivitas!$A$3:$A$563,$A10,Input_Konektivitas!$B$3:$B$563,K$3)+SUMIFS(Input_Konektivitas!$C$3:$C$563,Input_Konektivitas!$A$3:$A$563,K$3,Input_Konektivitas!$B$3:$B$563,$A10))</f>
        <v>1</v>
      </c>
      <c r="L10" s="29">
        <f>IF((COUNTIFS(Input_Konektivitas!$A$3:$A$563,$A10,Input_Konektivitas!$B$3:$B$563,L$3,Input_Konektivitas!$D$3:$D$563,"&gt;0")+COUNTIFS(Input_Konektivitas!$A$3:$A$563,L$3,Input_Konektivitas!$B$3:$B$563,$A10,Input_Konektivitas!$D$3:$D$563,"&gt;0"))=0,"",SUMIFS(Input_Konektivitas!$C$3:$C$563,Input_Konektivitas!$A$3:$A$563,$A10,Input_Konektivitas!$B$3:$B$563,L$3)+SUMIFS(Input_Konektivitas!$C$3:$C$563,Input_Konektivitas!$A$3:$A$563,L$3,Input_Konektivitas!$B$3:$B$563,$A10))</f>
        <v>0</v>
      </c>
      <c r="M10" s="29" t="str">
        <f>IF((COUNTIFS(Input_Konektivitas!$A$3:$A$563,$A10,Input_Konektivitas!$B$3:$B$563,M$3,Input_Konektivitas!$D$3:$D$563,"&gt;0")+COUNTIFS(Input_Konektivitas!$A$3:$A$563,M$3,Input_Konektivitas!$B$3:$B$563,$A10,Input_Konektivitas!$D$3:$D$563,"&gt;0"))=0,"",SUMIFS(Input_Konektivitas!$C$3:$C$563,Input_Konektivitas!$A$3:$A$563,$A10,Input_Konektivitas!$B$3:$B$563,M$3)+SUMIFS(Input_Konektivitas!$C$3:$C$563,Input_Konektivitas!$A$3:$A$563,M$3,Input_Konektivitas!$B$3:$B$563,$A10))</f>
        <v/>
      </c>
      <c r="N10" s="29">
        <f>IF((COUNTIFS(Input_Konektivitas!$A$3:$A$563,$A10,Input_Konektivitas!$B$3:$B$563,N$3,Input_Konektivitas!$D$3:$D$563,"&gt;0")+COUNTIFS(Input_Konektivitas!$A$3:$A$563,N$3,Input_Konektivitas!$B$3:$B$563,$A10,Input_Konektivitas!$D$3:$D$563,"&gt;0"))=0,"",SUMIFS(Input_Konektivitas!$C$3:$C$563,Input_Konektivitas!$A$3:$A$563,$A10,Input_Konektivitas!$B$3:$B$563,N$3)+SUMIFS(Input_Konektivitas!$C$3:$C$563,Input_Konektivitas!$A$3:$A$563,N$3,Input_Konektivitas!$B$3:$B$563,$A10))</f>
        <v>1</v>
      </c>
      <c r="O10" s="29">
        <f>IF((COUNTIFS(Input_Konektivitas!$A$3:$A$563,$A10,Input_Konektivitas!$B$3:$B$563,O$3,Input_Konektivitas!$D$3:$D$563,"&gt;0")+COUNTIFS(Input_Konektivitas!$A$3:$A$563,O$3,Input_Konektivitas!$B$3:$B$563,$A10,Input_Konektivitas!$D$3:$D$563,"&gt;0"))=0,"",SUMIFS(Input_Konektivitas!$C$3:$C$563,Input_Konektivitas!$A$3:$A$563,$A10,Input_Konektivitas!$B$3:$B$563,O$3)+SUMIFS(Input_Konektivitas!$C$3:$C$563,Input_Konektivitas!$A$3:$A$563,O$3,Input_Konektivitas!$B$3:$B$563,$A10))</f>
        <v>1</v>
      </c>
      <c r="P10" s="29">
        <f>IF((COUNTIFS(Input_Konektivitas!$A$3:$A$563,$A10,Input_Konektivitas!$B$3:$B$563,P$3,Input_Konektivitas!$D$3:$D$563,"&gt;0")+COUNTIFS(Input_Konektivitas!$A$3:$A$563,P$3,Input_Konektivitas!$B$3:$B$563,$A10,Input_Konektivitas!$D$3:$D$563,"&gt;0"))=0,"",SUMIFS(Input_Konektivitas!$C$3:$C$563,Input_Konektivitas!$A$3:$A$563,$A10,Input_Konektivitas!$B$3:$B$563,P$3)+SUMIFS(Input_Konektivitas!$C$3:$C$563,Input_Konektivitas!$A$3:$A$563,P$3,Input_Konektivitas!$B$3:$B$563,$A10))</f>
        <v>1</v>
      </c>
      <c r="Q10" s="29" t="str">
        <f>IF((COUNTIFS(Input_Konektivitas!$A$3:$A$563,$A10,Input_Konektivitas!$B$3:$B$563,Q$3,Input_Konektivitas!$D$3:$D$563,"&gt;0")+COUNTIFS(Input_Konektivitas!$A$3:$A$563,Q$3,Input_Konektivitas!$B$3:$B$563,$A10,Input_Konektivitas!$D$3:$D$563,"&gt;0"))=0,"",SUMIFS(Input_Konektivitas!$C$3:$C$563,Input_Konektivitas!$A$3:$A$563,$A10,Input_Konektivitas!$B$3:$B$563,Q$3)+SUMIFS(Input_Konektivitas!$C$3:$C$563,Input_Konektivitas!$A$3:$A$563,Q$3,Input_Konektivitas!$B$3:$B$563,$A10))</f>
        <v/>
      </c>
      <c r="R10" s="29">
        <f>IF((COUNTIFS(Input_Konektivitas!$A$3:$A$563,$A10,Input_Konektivitas!$B$3:$B$563,R$3,Input_Konektivitas!$D$3:$D$563,"&gt;0")+COUNTIFS(Input_Konektivitas!$A$3:$A$563,R$3,Input_Konektivitas!$B$3:$B$563,$A10,Input_Konektivitas!$D$3:$D$563,"&gt;0"))=0,"",SUMIFS(Input_Konektivitas!$C$3:$C$563,Input_Konektivitas!$A$3:$A$563,$A10,Input_Konektivitas!$B$3:$B$563,R$3)+SUMIFS(Input_Konektivitas!$C$3:$C$563,Input_Konektivitas!$A$3:$A$563,R$3,Input_Konektivitas!$B$3:$B$563,$A10))</f>
        <v>1</v>
      </c>
      <c r="S10" s="29">
        <f>IF((COUNTIFS(Input_Konektivitas!$A$3:$A$563,$A10,Input_Konektivitas!$B$3:$B$563,S$3,Input_Konektivitas!$D$3:$D$563,"&gt;0")+COUNTIFS(Input_Konektivitas!$A$3:$A$563,S$3,Input_Konektivitas!$B$3:$B$563,$A10,Input_Konektivitas!$D$3:$D$563,"&gt;0"))=0,"",SUMIFS(Input_Konektivitas!$C$3:$C$563,Input_Konektivitas!$A$3:$A$563,$A10,Input_Konektivitas!$B$3:$B$563,S$3)+SUMIFS(Input_Konektivitas!$C$3:$C$563,Input_Konektivitas!$A$3:$A$563,S$3,Input_Konektivitas!$B$3:$B$563,$A10))</f>
        <v>1</v>
      </c>
      <c r="T10" s="29">
        <f>IF((COUNTIFS(Input_Konektivitas!$A$3:$A$563,$A10,Input_Konektivitas!$B$3:$B$563,T$3,Input_Konektivitas!$D$3:$D$563,"&gt;0")+COUNTIFS(Input_Konektivitas!$A$3:$A$563,T$3,Input_Konektivitas!$B$3:$B$563,$A10,Input_Konektivitas!$D$3:$D$563,"&gt;0"))=0,"",SUMIFS(Input_Konektivitas!$C$3:$C$563,Input_Konektivitas!$A$3:$A$563,$A10,Input_Konektivitas!$B$3:$B$563,T$3)+SUMIFS(Input_Konektivitas!$C$3:$C$563,Input_Konektivitas!$A$3:$A$563,T$3,Input_Konektivitas!$B$3:$B$563,$A10))</f>
        <v>2</v>
      </c>
      <c r="U10" s="29">
        <f>IF((COUNTIFS(Input_Konektivitas!$A$3:$A$563,$A10,Input_Konektivitas!$B$3:$B$563,U$3,Input_Konektivitas!$D$3:$D$563,"&gt;0")+COUNTIFS(Input_Konektivitas!$A$3:$A$563,U$3,Input_Konektivitas!$B$3:$B$563,$A10,Input_Konektivitas!$D$3:$D$563,"&gt;0"))=0,"",SUMIFS(Input_Konektivitas!$C$3:$C$563,Input_Konektivitas!$A$3:$A$563,$A10,Input_Konektivitas!$B$3:$B$563,U$3)+SUMIFS(Input_Konektivitas!$C$3:$C$563,Input_Konektivitas!$A$3:$A$563,U$3,Input_Konektivitas!$B$3:$B$563,$A10))</f>
        <v>1</v>
      </c>
      <c r="V10" s="29">
        <f>IF((COUNTIFS(Input_Konektivitas!$A$3:$A$563,$A10,Input_Konektivitas!$B$3:$B$563,V$3,Input_Konektivitas!$D$3:$D$563,"&gt;0")+COUNTIFS(Input_Konektivitas!$A$3:$A$563,V$3,Input_Konektivitas!$B$3:$B$563,$A10,Input_Konektivitas!$D$3:$D$563,"&gt;0"))=0,"",SUMIFS(Input_Konektivitas!$C$3:$C$563,Input_Konektivitas!$A$3:$A$563,$A10,Input_Konektivitas!$B$3:$B$563,V$3)+SUMIFS(Input_Konektivitas!$C$3:$C$563,Input_Konektivitas!$A$3:$A$563,V$3,Input_Konektivitas!$B$3:$B$563,$A10))</f>
        <v>1</v>
      </c>
      <c r="W10" s="29">
        <f>IF((COUNTIFS(Input_Konektivitas!$A$3:$A$563,$A10,Input_Konektivitas!$B$3:$B$563,W$3,Input_Konektivitas!$D$3:$D$563,"&gt;0")+COUNTIFS(Input_Konektivitas!$A$3:$A$563,W$3,Input_Konektivitas!$B$3:$B$563,$A10,Input_Konektivitas!$D$3:$D$563,"&gt;0"))=0,"",SUMIFS(Input_Konektivitas!$C$3:$C$563,Input_Konektivitas!$A$3:$A$563,$A10,Input_Konektivitas!$B$3:$B$563,W$3)+SUMIFS(Input_Konektivitas!$C$3:$C$563,Input_Konektivitas!$A$3:$A$563,W$3,Input_Konektivitas!$B$3:$B$563,$A10))</f>
        <v>1</v>
      </c>
      <c r="X10" s="29">
        <f>IF((COUNTIFS(Input_Konektivitas!$A$3:$A$563,$A10,Input_Konektivitas!$B$3:$B$563,X$3,Input_Konektivitas!$D$3:$D$563,"&gt;0")+COUNTIFS(Input_Konektivitas!$A$3:$A$563,X$3,Input_Konektivitas!$B$3:$B$563,$A10,Input_Konektivitas!$D$3:$D$563,"&gt;0"))=0,"",SUMIFS(Input_Konektivitas!$C$3:$C$563,Input_Konektivitas!$A$3:$A$563,$A10,Input_Konektivitas!$B$3:$B$563,X$3)+SUMIFS(Input_Konektivitas!$C$3:$C$563,Input_Konektivitas!$A$3:$A$563,X$3,Input_Konektivitas!$B$3:$B$563,$A10))</f>
        <v>1</v>
      </c>
      <c r="Y10" s="29">
        <f>IF((COUNTIFS(Input_Konektivitas!$A$3:$A$563,$A10,Input_Konektivitas!$B$3:$B$563,Y$3,Input_Konektivitas!$D$3:$D$563,"&gt;0")+COUNTIFS(Input_Konektivitas!$A$3:$A$563,Y$3,Input_Konektivitas!$B$3:$B$563,$A10,Input_Konektivitas!$D$3:$D$563,"&gt;0"))=0,"",SUMIFS(Input_Konektivitas!$C$3:$C$563,Input_Konektivitas!$A$3:$A$563,$A10,Input_Konektivitas!$B$3:$B$563,Y$3)+SUMIFS(Input_Konektivitas!$C$3:$C$563,Input_Konektivitas!$A$3:$A$563,Y$3,Input_Konektivitas!$B$3:$B$563,$A10))</f>
        <v>1</v>
      </c>
      <c r="Z10" s="29">
        <f>IF((COUNTIFS(Input_Konektivitas!$A$3:$A$563,$A10,Input_Konektivitas!$B$3:$B$563,Z$3,Input_Konektivitas!$D$3:$D$563,"&gt;0")+COUNTIFS(Input_Konektivitas!$A$3:$A$563,Z$3,Input_Konektivitas!$B$3:$B$563,$A10,Input_Konektivitas!$D$3:$D$563,"&gt;0"))=0,"",SUMIFS(Input_Konektivitas!$C$3:$C$563,Input_Konektivitas!$A$3:$A$563,$A10,Input_Konektivitas!$B$3:$B$563,Z$3)+SUMIFS(Input_Konektivitas!$C$3:$C$563,Input_Konektivitas!$A$3:$A$563,Z$3,Input_Konektivitas!$B$3:$B$563,$A10))</f>
        <v>1</v>
      </c>
      <c r="AA10" s="29">
        <f>IF((COUNTIFS(Input_Konektivitas!$A$3:$A$563,$A10,Input_Konektivitas!$B$3:$B$563,AA$3,Input_Konektivitas!$D$3:$D$563,"&gt;0")+COUNTIFS(Input_Konektivitas!$A$3:$A$563,AA$3,Input_Konektivitas!$B$3:$B$563,$A10,Input_Konektivitas!$D$3:$D$563,"&gt;0"))=0,"",SUMIFS(Input_Konektivitas!$C$3:$C$563,Input_Konektivitas!$A$3:$A$563,$A10,Input_Konektivitas!$B$3:$B$563,AA$3)+SUMIFS(Input_Konektivitas!$C$3:$C$563,Input_Konektivitas!$A$3:$A$563,AA$3,Input_Konektivitas!$B$3:$B$563,$A10))</f>
        <v>2</v>
      </c>
      <c r="AB10" s="29">
        <f>IF((COUNTIFS(Input_Konektivitas!$A$3:$A$563,$A10,Input_Konektivitas!$B$3:$B$563,AB$3,Input_Konektivitas!$D$3:$D$563,"&gt;0")+COUNTIFS(Input_Konektivitas!$A$3:$A$563,AB$3,Input_Konektivitas!$B$3:$B$563,$A10,Input_Konektivitas!$D$3:$D$563,"&gt;0"))=0,"",SUMIFS(Input_Konektivitas!$C$3:$C$563,Input_Konektivitas!$A$3:$A$563,$A10,Input_Konektivitas!$B$3:$B$563,AB$3)+SUMIFS(Input_Konektivitas!$C$3:$C$563,Input_Konektivitas!$A$3:$A$563,AB$3,Input_Konektivitas!$B$3:$B$563,$A10))</f>
        <v>1</v>
      </c>
      <c r="AC10" s="29">
        <f>IF((COUNTIFS(Input_Konektivitas!$A$3:$A$563,$A10,Input_Konektivitas!$B$3:$B$563,AC$3,Input_Konektivitas!$D$3:$D$563,"&gt;0")+COUNTIFS(Input_Konektivitas!$A$3:$A$563,AC$3,Input_Konektivitas!$B$3:$B$563,$A10,Input_Konektivitas!$D$3:$D$563,"&gt;0"))=0,"",SUMIFS(Input_Konektivitas!$C$3:$C$563,Input_Konektivitas!$A$3:$A$563,$A10,Input_Konektivitas!$B$3:$B$563,AC$3)+SUMIFS(Input_Konektivitas!$C$3:$C$563,Input_Konektivitas!$A$3:$A$563,AC$3,Input_Konektivitas!$B$3:$B$563,$A10))</f>
        <v>1</v>
      </c>
      <c r="AD10" s="29">
        <f>IF((COUNTIFS(Input_Konektivitas!$A$3:$A$563,$A10,Input_Konektivitas!$B$3:$B$563,AD$3,Input_Konektivitas!$D$3:$D$563,"&gt;0")+COUNTIFS(Input_Konektivitas!$A$3:$A$563,AD$3,Input_Konektivitas!$B$3:$B$563,$A10,Input_Konektivitas!$D$3:$D$563,"&gt;0"))=0,"",SUMIFS(Input_Konektivitas!$C$3:$C$563,Input_Konektivitas!$A$3:$A$563,$A10,Input_Konektivitas!$B$3:$B$563,AD$3)+SUMIFS(Input_Konektivitas!$C$3:$C$563,Input_Konektivitas!$A$3:$A$563,AD$3,Input_Konektivitas!$B$3:$B$563,$A10))</f>
        <v>2</v>
      </c>
      <c r="AE10" s="29">
        <f>IF((COUNTIFS(Input_Konektivitas!$A$3:$A$563,$A10,Input_Konektivitas!$B$3:$B$563,AE$3,Input_Konektivitas!$D$3:$D$563,"&gt;0")+COUNTIFS(Input_Konektivitas!$A$3:$A$563,AE$3,Input_Konektivitas!$B$3:$B$563,$A10,Input_Konektivitas!$D$3:$D$563,"&gt;0"))=0,"",SUMIFS(Input_Konektivitas!$C$3:$C$563,Input_Konektivitas!$A$3:$A$563,$A10,Input_Konektivitas!$B$3:$B$563,AE$3)+SUMIFS(Input_Konektivitas!$C$3:$C$563,Input_Konektivitas!$A$3:$A$563,AE$3,Input_Konektivitas!$B$3:$B$563,$A10))</f>
        <v>2</v>
      </c>
      <c r="AF10" s="29">
        <f>IF((COUNTIFS(Input_Konektivitas!$A$3:$A$563,$A10,Input_Konektivitas!$B$3:$B$563,AF$3,Input_Konektivitas!$D$3:$D$563,"&gt;0")+COUNTIFS(Input_Konektivitas!$A$3:$A$563,AF$3,Input_Konektivitas!$B$3:$B$563,$A10,Input_Konektivitas!$D$3:$D$563,"&gt;0"))=0,"",SUMIFS(Input_Konektivitas!$C$3:$C$563,Input_Konektivitas!$A$3:$A$563,$A10,Input_Konektivitas!$B$3:$B$563,AF$3)+SUMIFS(Input_Konektivitas!$C$3:$C$563,Input_Konektivitas!$A$3:$A$563,AF$3,Input_Konektivitas!$B$3:$B$563,$A10))</f>
        <v>1</v>
      </c>
      <c r="AG10" s="29">
        <f>IF((COUNTIFS(Input_Konektivitas!$A$3:$A$563,$A10,Input_Konektivitas!$B$3:$B$563,AG$3,Input_Konektivitas!$D$3:$D$563,"&gt;0")+COUNTIFS(Input_Konektivitas!$A$3:$A$563,AG$3,Input_Konektivitas!$B$3:$B$563,$A10,Input_Konektivitas!$D$3:$D$563,"&gt;0"))=0,"",SUMIFS(Input_Konektivitas!$C$3:$C$563,Input_Konektivitas!$A$3:$A$563,$A10,Input_Konektivitas!$B$3:$B$563,AG$3)+SUMIFS(Input_Konektivitas!$C$3:$C$563,Input_Konektivitas!$A$3:$A$563,AG$3,Input_Konektivitas!$B$3:$B$563,$A10))</f>
        <v>2</v>
      </c>
      <c r="AH10" s="29">
        <f>IF((COUNTIFS(Input_Konektivitas!$A$3:$A$563,$A10,Input_Konektivitas!$B$3:$B$563,AH$3,Input_Konektivitas!$D$3:$D$563,"&gt;0")+COUNTIFS(Input_Konektivitas!$A$3:$A$563,AH$3,Input_Konektivitas!$B$3:$B$563,$A10,Input_Konektivitas!$D$3:$D$563,"&gt;0"))=0,"",SUMIFS(Input_Konektivitas!$C$3:$C$563,Input_Konektivitas!$A$3:$A$563,$A10,Input_Konektivitas!$B$3:$B$563,AH$3)+SUMIFS(Input_Konektivitas!$C$3:$C$563,Input_Konektivitas!$A$3:$A$563,AH$3,Input_Konektivitas!$B$3:$B$563,$A10))</f>
        <v>1</v>
      </c>
      <c r="AI10" s="29">
        <f>IF((COUNTIFS(Input_Konektivitas!$A$3:$A$563,$A10,Input_Konektivitas!$B$3:$B$563,AI$3,Input_Konektivitas!$D$3:$D$563,"&gt;0")+COUNTIFS(Input_Konektivitas!$A$3:$A$563,AI$3,Input_Konektivitas!$B$3:$B$563,$A10,Input_Konektivitas!$D$3:$D$563,"&gt;0"))=0,"",SUMIFS(Input_Konektivitas!$C$3:$C$563,Input_Konektivitas!$A$3:$A$563,$A10,Input_Konektivitas!$B$3:$B$563,AI$3)+SUMIFS(Input_Konektivitas!$C$3:$C$563,Input_Konektivitas!$A$3:$A$563,AI$3,Input_Konektivitas!$B$3:$B$563,$A10))</f>
        <v>2</v>
      </c>
    </row>
    <row r="11" ht="14.25" customHeight="1">
      <c r="A11" s="22" t="s">
        <v>22</v>
      </c>
      <c r="B11" s="29">
        <f>IF((COUNTIFS(Input_Konektivitas!$A$3:$A$563,$A11,Input_Konektivitas!$B$3:$B$563,B$3,Input_Konektivitas!$D$3:$D$563,"&gt;0")+COUNTIFS(Input_Konektivitas!$A$3:$A$563,B$3,Input_Konektivitas!$B$3:$B$563,$A11,Input_Konektivitas!$D$3:$D$563,"&gt;0"))=0,"",SUMIFS(Input_Konektivitas!$C$3:$C$563,Input_Konektivitas!$A$3:$A$563,$A11,Input_Konektivitas!$B$3:$B$563,B$3)+SUMIFS(Input_Konektivitas!$C$3:$C$563,Input_Konektivitas!$A$3:$A$563,B$3,Input_Konektivitas!$B$3:$B$563,$A11))</f>
        <v>1</v>
      </c>
      <c r="C11" s="29">
        <f>IF((COUNTIFS(Input_Konektivitas!$A$3:$A$563,$A11,Input_Konektivitas!$B$3:$B$563,C$3,Input_Konektivitas!$D$3:$D$563,"&gt;0")+COUNTIFS(Input_Konektivitas!$A$3:$A$563,C$3,Input_Konektivitas!$B$3:$B$563,$A11,Input_Konektivitas!$D$3:$D$563,"&gt;0"))=0,"",SUMIFS(Input_Konektivitas!$C$3:$C$563,Input_Konektivitas!$A$3:$A$563,$A11,Input_Konektivitas!$B$3:$B$563,C$3)+SUMIFS(Input_Konektivitas!$C$3:$C$563,Input_Konektivitas!$A$3:$A$563,C$3,Input_Konektivitas!$B$3:$B$563,$A11))</f>
        <v>1</v>
      </c>
      <c r="D11" s="29">
        <f>IF((COUNTIFS(Input_Konektivitas!$A$3:$A$563,$A11,Input_Konektivitas!$B$3:$B$563,D$3,Input_Konektivitas!$D$3:$D$563,"&gt;0")+COUNTIFS(Input_Konektivitas!$A$3:$A$563,D$3,Input_Konektivitas!$B$3:$B$563,$A11,Input_Konektivitas!$D$3:$D$563,"&gt;0"))=0,"",SUMIFS(Input_Konektivitas!$C$3:$C$563,Input_Konektivitas!$A$3:$A$563,$A11,Input_Konektivitas!$B$3:$B$563,D$3)+SUMIFS(Input_Konektivitas!$C$3:$C$563,Input_Konektivitas!$A$3:$A$563,D$3,Input_Konektivitas!$B$3:$B$563,$A11))</f>
        <v>1</v>
      </c>
      <c r="E11" s="29">
        <f>IF((COUNTIFS(Input_Konektivitas!$A$3:$A$563,$A11,Input_Konektivitas!$B$3:$B$563,E$3,Input_Konektivitas!$D$3:$D$563,"&gt;0")+COUNTIFS(Input_Konektivitas!$A$3:$A$563,E$3,Input_Konektivitas!$B$3:$B$563,$A11,Input_Konektivitas!$D$3:$D$563,"&gt;0"))=0,"",SUMIFS(Input_Konektivitas!$C$3:$C$563,Input_Konektivitas!$A$3:$A$563,$A11,Input_Konektivitas!$B$3:$B$563,E$3)+SUMIFS(Input_Konektivitas!$C$3:$C$563,Input_Konektivitas!$A$3:$A$563,E$3,Input_Konektivitas!$B$3:$B$563,$A11))</f>
        <v>1</v>
      </c>
      <c r="F11" s="29">
        <f>IF((COUNTIFS(Input_Konektivitas!$A$3:$A$563,$A11,Input_Konektivitas!$B$3:$B$563,F$3,Input_Konektivitas!$D$3:$D$563,"&gt;0")+COUNTIFS(Input_Konektivitas!$A$3:$A$563,F$3,Input_Konektivitas!$B$3:$B$563,$A11,Input_Konektivitas!$D$3:$D$563,"&gt;0"))=0,"",SUMIFS(Input_Konektivitas!$C$3:$C$563,Input_Konektivitas!$A$3:$A$563,$A11,Input_Konektivitas!$B$3:$B$563,F$3)+SUMIFS(Input_Konektivitas!$C$3:$C$563,Input_Konektivitas!$A$3:$A$563,F$3,Input_Konektivitas!$B$3:$B$563,$A11))</f>
        <v>1</v>
      </c>
      <c r="G11" s="29">
        <f>IF((COUNTIFS(Input_Konektivitas!$A$3:$A$563,$A11,Input_Konektivitas!$B$3:$B$563,G$3,Input_Konektivitas!$D$3:$D$563,"&gt;0")+COUNTIFS(Input_Konektivitas!$A$3:$A$563,G$3,Input_Konektivitas!$B$3:$B$563,$A11,Input_Konektivitas!$D$3:$D$563,"&gt;0"))=0,"",SUMIFS(Input_Konektivitas!$C$3:$C$563,Input_Konektivitas!$A$3:$A$563,$A11,Input_Konektivitas!$B$3:$B$563,G$3)+SUMIFS(Input_Konektivitas!$C$3:$C$563,Input_Konektivitas!$A$3:$A$563,G$3,Input_Konektivitas!$B$3:$B$563,$A11))</f>
        <v>1</v>
      </c>
      <c r="H11" s="29">
        <f>IF((COUNTIFS(Input_Konektivitas!$A$3:$A$563,$A11,Input_Konektivitas!$B$3:$B$563,H$3,Input_Konektivitas!$D$3:$D$563,"&gt;0")+COUNTIFS(Input_Konektivitas!$A$3:$A$563,H$3,Input_Konektivitas!$B$3:$B$563,$A11,Input_Konektivitas!$D$3:$D$563,"&gt;0"))=0,"",SUMIFS(Input_Konektivitas!$C$3:$C$563,Input_Konektivitas!$A$3:$A$563,$A11,Input_Konektivitas!$B$3:$B$563,H$3)+SUMIFS(Input_Konektivitas!$C$3:$C$563,Input_Konektivitas!$A$3:$A$563,H$3,Input_Konektivitas!$B$3:$B$563,$A11))</f>
        <v>1</v>
      </c>
      <c r="I11" s="26">
        <v>0.0</v>
      </c>
      <c r="J11" s="29">
        <f>IF((COUNTIFS(Input_Konektivitas!$A$3:$A$563,$A11,Input_Konektivitas!$B$3:$B$563,J$3,Input_Konektivitas!$D$3:$D$563,"&gt;0")+COUNTIFS(Input_Konektivitas!$A$3:$A$563,J$3,Input_Konektivitas!$B$3:$B$563,$A11,Input_Konektivitas!$D$3:$D$563,"&gt;0"))=0,"",SUMIFS(Input_Konektivitas!$C$3:$C$563,Input_Konektivitas!$A$3:$A$563,$A11,Input_Konektivitas!$B$3:$B$563,J$3)+SUMIFS(Input_Konektivitas!$C$3:$C$563,Input_Konektivitas!$A$3:$A$563,J$3,Input_Konektivitas!$B$3:$B$563,$A11))</f>
        <v>1</v>
      </c>
      <c r="K11" s="29">
        <f>IF((COUNTIFS(Input_Konektivitas!$A$3:$A$563,$A11,Input_Konektivitas!$B$3:$B$563,K$3,Input_Konektivitas!$D$3:$D$563,"&gt;0")+COUNTIFS(Input_Konektivitas!$A$3:$A$563,K$3,Input_Konektivitas!$B$3:$B$563,$A11,Input_Konektivitas!$D$3:$D$563,"&gt;0"))=0,"",SUMIFS(Input_Konektivitas!$C$3:$C$563,Input_Konektivitas!$A$3:$A$563,$A11,Input_Konektivitas!$B$3:$B$563,K$3)+SUMIFS(Input_Konektivitas!$C$3:$C$563,Input_Konektivitas!$A$3:$A$563,K$3,Input_Konektivitas!$B$3:$B$563,$A11))</f>
        <v>1</v>
      </c>
      <c r="L11" s="29">
        <f>IF((COUNTIFS(Input_Konektivitas!$A$3:$A$563,$A11,Input_Konektivitas!$B$3:$B$563,L$3,Input_Konektivitas!$D$3:$D$563,"&gt;0")+COUNTIFS(Input_Konektivitas!$A$3:$A$563,L$3,Input_Konektivitas!$B$3:$B$563,$A11,Input_Konektivitas!$D$3:$D$563,"&gt;0"))=0,"",SUMIFS(Input_Konektivitas!$C$3:$C$563,Input_Konektivitas!$A$3:$A$563,$A11,Input_Konektivitas!$B$3:$B$563,L$3)+SUMIFS(Input_Konektivitas!$C$3:$C$563,Input_Konektivitas!$A$3:$A$563,L$3,Input_Konektivitas!$B$3:$B$563,$A11))</f>
        <v>0</v>
      </c>
      <c r="M11" s="29">
        <f>IF((COUNTIFS(Input_Konektivitas!$A$3:$A$563,$A11,Input_Konektivitas!$B$3:$B$563,M$3,Input_Konektivitas!$D$3:$D$563,"&gt;0")+COUNTIFS(Input_Konektivitas!$A$3:$A$563,M$3,Input_Konektivitas!$B$3:$B$563,$A11,Input_Konektivitas!$D$3:$D$563,"&gt;0"))=0,"",SUMIFS(Input_Konektivitas!$C$3:$C$563,Input_Konektivitas!$A$3:$A$563,$A11,Input_Konektivitas!$B$3:$B$563,M$3)+SUMIFS(Input_Konektivitas!$C$3:$C$563,Input_Konektivitas!$A$3:$A$563,M$3,Input_Konektivitas!$B$3:$B$563,$A11))</f>
        <v>2</v>
      </c>
      <c r="N11" s="29">
        <f>IF((COUNTIFS(Input_Konektivitas!$A$3:$A$563,$A11,Input_Konektivitas!$B$3:$B$563,N$3,Input_Konektivitas!$D$3:$D$563,"&gt;0")+COUNTIFS(Input_Konektivitas!$A$3:$A$563,N$3,Input_Konektivitas!$B$3:$B$563,$A11,Input_Konektivitas!$D$3:$D$563,"&gt;0"))=0,"",SUMIFS(Input_Konektivitas!$C$3:$C$563,Input_Konektivitas!$A$3:$A$563,$A11,Input_Konektivitas!$B$3:$B$563,N$3)+SUMIFS(Input_Konektivitas!$C$3:$C$563,Input_Konektivitas!$A$3:$A$563,N$3,Input_Konektivitas!$B$3:$B$563,$A11))</f>
        <v>1</v>
      </c>
      <c r="O11" s="29">
        <f>IF((COUNTIFS(Input_Konektivitas!$A$3:$A$563,$A11,Input_Konektivitas!$B$3:$B$563,O$3,Input_Konektivitas!$D$3:$D$563,"&gt;0")+COUNTIFS(Input_Konektivitas!$A$3:$A$563,O$3,Input_Konektivitas!$B$3:$B$563,$A11,Input_Konektivitas!$D$3:$D$563,"&gt;0"))=0,"",SUMIFS(Input_Konektivitas!$C$3:$C$563,Input_Konektivitas!$A$3:$A$563,$A11,Input_Konektivitas!$B$3:$B$563,O$3)+SUMIFS(Input_Konektivitas!$C$3:$C$563,Input_Konektivitas!$A$3:$A$563,O$3,Input_Konektivitas!$B$3:$B$563,$A11))</f>
        <v>1</v>
      </c>
      <c r="P11" s="29">
        <f>IF((COUNTIFS(Input_Konektivitas!$A$3:$A$563,$A11,Input_Konektivitas!$B$3:$B$563,P$3,Input_Konektivitas!$D$3:$D$563,"&gt;0")+COUNTIFS(Input_Konektivitas!$A$3:$A$563,P$3,Input_Konektivitas!$B$3:$B$563,$A11,Input_Konektivitas!$D$3:$D$563,"&gt;0"))=0,"",SUMIFS(Input_Konektivitas!$C$3:$C$563,Input_Konektivitas!$A$3:$A$563,$A11,Input_Konektivitas!$B$3:$B$563,P$3)+SUMIFS(Input_Konektivitas!$C$3:$C$563,Input_Konektivitas!$A$3:$A$563,P$3,Input_Konektivitas!$B$3:$B$563,$A11))</f>
        <v>1</v>
      </c>
      <c r="Q11" s="29" t="str">
        <f>IF((COUNTIFS(Input_Konektivitas!$A$3:$A$563,$A11,Input_Konektivitas!$B$3:$B$563,Q$3,Input_Konektivitas!$D$3:$D$563,"&gt;0")+COUNTIFS(Input_Konektivitas!$A$3:$A$563,Q$3,Input_Konektivitas!$B$3:$B$563,$A11,Input_Konektivitas!$D$3:$D$563,"&gt;0"))=0,"",SUMIFS(Input_Konektivitas!$C$3:$C$563,Input_Konektivitas!$A$3:$A$563,$A11,Input_Konektivitas!$B$3:$B$563,Q$3)+SUMIFS(Input_Konektivitas!$C$3:$C$563,Input_Konektivitas!$A$3:$A$563,Q$3,Input_Konektivitas!$B$3:$B$563,$A11))</f>
        <v/>
      </c>
      <c r="R11" s="29">
        <f>IF((COUNTIFS(Input_Konektivitas!$A$3:$A$563,$A11,Input_Konektivitas!$B$3:$B$563,R$3,Input_Konektivitas!$D$3:$D$563,"&gt;0")+COUNTIFS(Input_Konektivitas!$A$3:$A$563,R$3,Input_Konektivitas!$B$3:$B$563,$A11,Input_Konektivitas!$D$3:$D$563,"&gt;0"))=0,"",SUMIFS(Input_Konektivitas!$C$3:$C$563,Input_Konektivitas!$A$3:$A$563,$A11,Input_Konektivitas!$B$3:$B$563,R$3)+SUMIFS(Input_Konektivitas!$C$3:$C$563,Input_Konektivitas!$A$3:$A$563,R$3,Input_Konektivitas!$B$3:$B$563,$A11))</f>
        <v>1</v>
      </c>
      <c r="S11" s="29">
        <f>IF((COUNTIFS(Input_Konektivitas!$A$3:$A$563,$A11,Input_Konektivitas!$B$3:$B$563,S$3,Input_Konektivitas!$D$3:$D$563,"&gt;0")+COUNTIFS(Input_Konektivitas!$A$3:$A$563,S$3,Input_Konektivitas!$B$3:$B$563,$A11,Input_Konektivitas!$D$3:$D$563,"&gt;0"))=0,"",SUMIFS(Input_Konektivitas!$C$3:$C$563,Input_Konektivitas!$A$3:$A$563,$A11,Input_Konektivitas!$B$3:$B$563,S$3)+SUMIFS(Input_Konektivitas!$C$3:$C$563,Input_Konektivitas!$A$3:$A$563,S$3,Input_Konektivitas!$B$3:$B$563,$A11))</f>
        <v>1</v>
      </c>
      <c r="T11" s="29">
        <f>IF((COUNTIFS(Input_Konektivitas!$A$3:$A$563,$A11,Input_Konektivitas!$B$3:$B$563,T$3,Input_Konektivitas!$D$3:$D$563,"&gt;0")+COUNTIFS(Input_Konektivitas!$A$3:$A$563,T$3,Input_Konektivitas!$B$3:$B$563,$A11,Input_Konektivitas!$D$3:$D$563,"&gt;0"))=0,"",SUMIFS(Input_Konektivitas!$C$3:$C$563,Input_Konektivitas!$A$3:$A$563,$A11,Input_Konektivitas!$B$3:$B$563,T$3)+SUMIFS(Input_Konektivitas!$C$3:$C$563,Input_Konektivitas!$A$3:$A$563,T$3,Input_Konektivitas!$B$3:$B$563,$A11))</f>
        <v>1</v>
      </c>
      <c r="U11" s="29">
        <f>IF((COUNTIFS(Input_Konektivitas!$A$3:$A$563,$A11,Input_Konektivitas!$B$3:$B$563,U$3,Input_Konektivitas!$D$3:$D$563,"&gt;0")+COUNTIFS(Input_Konektivitas!$A$3:$A$563,U$3,Input_Konektivitas!$B$3:$B$563,$A11,Input_Konektivitas!$D$3:$D$563,"&gt;0"))=0,"",SUMIFS(Input_Konektivitas!$C$3:$C$563,Input_Konektivitas!$A$3:$A$563,$A11,Input_Konektivitas!$B$3:$B$563,U$3)+SUMIFS(Input_Konektivitas!$C$3:$C$563,Input_Konektivitas!$A$3:$A$563,U$3,Input_Konektivitas!$B$3:$B$563,$A11))</f>
        <v>1</v>
      </c>
      <c r="V11" s="29">
        <f>IF((COUNTIFS(Input_Konektivitas!$A$3:$A$563,$A11,Input_Konektivitas!$B$3:$B$563,V$3,Input_Konektivitas!$D$3:$D$563,"&gt;0")+COUNTIFS(Input_Konektivitas!$A$3:$A$563,V$3,Input_Konektivitas!$B$3:$B$563,$A11,Input_Konektivitas!$D$3:$D$563,"&gt;0"))=0,"",SUMIFS(Input_Konektivitas!$C$3:$C$563,Input_Konektivitas!$A$3:$A$563,$A11,Input_Konektivitas!$B$3:$B$563,V$3)+SUMIFS(Input_Konektivitas!$C$3:$C$563,Input_Konektivitas!$A$3:$A$563,V$3,Input_Konektivitas!$B$3:$B$563,$A11))</f>
        <v>1</v>
      </c>
      <c r="W11" s="29">
        <f>IF((COUNTIFS(Input_Konektivitas!$A$3:$A$563,$A11,Input_Konektivitas!$B$3:$B$563,W$3,Input_Konektivitas!$D$3:$D$563,"&gt;0")+COUNTIFS(Input_Konektivitas!$A$3:$A$563,W$3,Input_Konektivitas!$B$3:$B$563,$A11,Input_Konektivitas!$D$3:$D$563,"&gt;0"))=0,"",SUMIFS(Input_Konektivitas!$C$3:$C$563,Input_Konektivitas!$A$3:$A$563,$A11,Input_Konektivitas!$B$3:$B$563,W$3)+SUMIFS(Input_Konektivitas!$C$3:$C$563,Input_Konektivitas!$A$3:$A$563,W$3,Input_Konektivitas!$B$3:$B$563,$A11))</f>
        <v>1</v>
      </c>
      <c r="X11" s="29">
        <f>IF((COUNTIFS(Input_Konektivitas!$A$3:$A$563,$A11,Input_Konektivitas!$B$3:$B$563,X$3,Input_Konektivitas!$D$3:$D$563,"&gt;0")+COUNTIFS(Input_Konektivitas!$A$3:$A$563,X$3,Input_Konektivitas!$B$3:$B$563,$A11,Input_Konektivitas!$D$3:$D$563,"&gt;0"))=0,"",SUMIFS(Input_Konektivitas!$C$3:$C$563,Input_Konektivitas!$A$3:$A$563,$A11,Input_Konektivitas!$B$3:$B$563,X$3)+SUMIFS(Input_Konektivitas!$C$3:$C$563,Input_Konektivitas!$A$3:$A$563,X$3,Input_Konektivitas!$B$3:$B$563,$A11))</f>
        <v>1</v>
      </c>
      <c r="Y11" s="29">
        <f>IF((COUNTIFS(Input_Konektivitas!$A$3:$A$563,$A11,Input_Konektivitas!$B$3:$B$563,Y$3,Input_Konektivitas!$D$3:$D$563,"&gt;0")+COUNTIFS(Input_Konektivitas!$A$3:$A$563,Y$3,Input_Konektivitas!$B$3:$B$563,$A11,Input_Konektivitas!$D$3:$D$563,"&gt;0"))=0,"",SUMIFS(Input_Konektivitas!$C$3:$C$563,Input_Konektivitas!$A$3:$A$563,$A11,Input_Konektivitas!$B$3:$B$563,Y$3)+SUMIFS(Input_Konektivitas!$C$3:$C$563,Input_Konektivitas!$A$3:$A$563,Y$3,Input_Konektivitas!$B$3:$B$563,$A11))</f>
        <v>1</v>
      </c>
      <c r="Z11" s="29">
        <f>IF((COUNTIFS(Input_Konektivitas!$A$3:$A$563,$A11,Input_Konektivitas!$B$3:$B$563,Z$3,Input_Konektivitas!$D$3:$D$563,"&gt;0")+COUNTIFS(Input_Konektivitas!$A$3:$A$563,Z$3,Input_Konektivitas!$B$3:$B$563,$A11,Input_Konektivitas!$D$3:$D$563,"&gt;0"))=0,"",SUMIFS(Input_Konektivitas!$C$3:$C$563,Input_Konektivitas!$A$3:$A$563,$A11,Input_Konektivitas!$B$3:$B$563,Z$3)+SUMIFS(Input_Konektivitas!$C$3:$C$563,Input_Konektivitas!$A$3:$A$563,Z$3,Input_Konektivitas!$B$3:$B$563,$A11))</f>
        <v>1</v>
      </c>
      <c r="AA11" s="29">
        <f>IF((COUNTIFS(Input_Konektivitas!$A$3:$A$563,$A11,Input_Konektivitas!$B$3:$B$563,AA$3,Input_Konektivitas!$D$3:$D$563,"&gt;0")+COUNTIFS(Input_Konektivitas!$A$3:$A$563,AA$3,Input_Konektivitas!$B$3:$B$563,$A11,Input_Konektivitas!$D$3:$D$563,"&gt;0"))=0,"",SUMIFS(Input_Konektivitas!$C$3:$C$563,Input_Konektivitas!$A$3:$A$563,$A11,Input_Konektivitas!$B$3:$B$563,AA$3)+SUMIFS(Input_Konektivitas!$C$3:$C$563,Input_Konektivitas!$A$3:$A$563,AA$3,Input_Konektivitas!$B$3:$B$563,$A11))</f>
        <v>1</v>
      </c>
      <c r="AB11" s="29">
        <f>IF((COUNTIFS(Input_Konektivitas!$A$3:$A$563,$A11,Input_Konektivitas!$B$3:$B$563,AB$3,Input_Konektivitas!$D$3:$D$563,"&gt;0")+COUNTIFS(Input_Konektivitas!$A$3:$A$563,AB$3,Input_Konektivitas!$B$3:$B$563,$A11,Input_Konektivitas!$D$3:$D$563,"&gt;0"))=0,"",SUMIFS(Input_Konektivitas!$C$3:$C$563,Input_Konektivitas!$A$3:$A$563,$A11,Input_Konektivitas!$B$3:$B$563,AB$3)+SUMIFS(Input_Konektivitas!$C$3:$C$563,Input_Konektivitas!$A$3:$A$563,AB$3,Input_Konektivitas!$B$3:$B$563,$A11))</f>
        <v>1</v>
      </c>
      <c r="AC11" s="29">
        <f>IF((COUNTIFS(Input_Konektivitas!$A$3:$A$563,$A11,Input_Konektivitas!$B$3:$B$563,AC$3,Input_Konektivitas!$D$3:$D$563,"&gt;0")+COUNTIFS(Input_Konektivitas!$A$3:$A$563,AC$3,Input_Konektivitas!$B$3:$B$563,$A11,Input_Konektivitas!$D$3:$D$563,"&gt;0"))=0,"",SUMIFS(Input_Konektivitas!$C$3:$C$563,Input_Konektivitas!$A$3:$A$563,$A11,Input_Konektivitas!$B$3:$B$563,AC$3)+SUMIFS(Input_Konektivitas!$C$3:$C$563,Input_Konektivitas!$A$3:$A$563,AC$3,Input_Konektivitas!$B$3:$B$563,$A11))</f>
        <v>1</v>
      </c>
      <c r="AD11" s="29">
        <f>IF((COUNTIFS(Input_Konektivitas!$A$3:$A$563,$A11,Input_Konektivitas!$B$3:$B$563,AD$3,Input_Konektivitas!$D$3:$D$563,"&gt;0")+COUNTIFS(Input_Konektivitas!$A$3:$A$563,AD$3,Input_Konektivitas!$B$3:$B$563,$A11,Input_Konektivitas!$D$3:$D$563,"&gt;0"))=0,"",SUMIFS(Input_Konektivitas!$C$3:$C$563,Input_Konektivitas!$A$3:$A$563,$A11,Input_Konektivitas!$B$3:$B$563,AD$3)+SUMIFS(Input_Konektivitas!$C$3:$C$563,Input_Konektivitas!$A$3:$A$563,AD$3,Input_Konektivitas!$B$3:$B$563,$A11))</f>
        <v>1</v>
      </c>
      <c r="AE11" s="29">
        <f>IF((COUNTIFS(Input_Konektivitas!$A$3:$A$563,$A11,Input_Konektivitas!$B$3:$B$563,AE$3,Input_Konektivitas!$D$3:$D$563,"&gt;0")+COUNTIFS(Input_Konektivitas!$A$3:$A$563,AE$3,Input_Konektivitas!$B$3:$B$563,$A11,Input_Konektivitas!$D$3:$D$563,"&gt;0"))=0,"",SUMIFS(Input_Konektivitas!$C$3:$C$563,Input_Konektivitas!$A$3:$A$563,$A11,Input_Konektivitas!$B$3:$B$563,AE$3)+SUMIFS(Input_Konektivitas!$C$3:$C$563,Input_Konektivitas!$A$3:$A$563,AE$3,Input_Konektivitas!$B$3:$B$563,$A11))</f>
        <v>1</v>
      </c>
      <c r="AF11" s="29">
        <f>IF((COUNTIFS(Input_Konektivitas!$A$3:$A$563,$A11,Input_Konektivitas!$B$3:$B$563,AF$3,Input_Konektivitas!$D$3:$D$563,"&gt;0")+COUNTIFS(Input_Konektivitas!$A$3:$A$563,AF$3,Input_Konektivitas!$B$3:$B$563,$A11,Input_Konektivitas!$D$3:$D$563,"&gt;0"))=0,"",SUMIFS(Input_Konektivitas!$C$3:$C$563,Input_Konektivitas!$A$3:$A$563,$A11,Input_Konektivitas!$B$3:$B$563,AF$3)+SUMIFS(Input_Konektivitas!$C$3:$C$563,Input_Konektivitas!$A$3:$A$563,AF$3,Input_Konektivitas!$B$3:$B$563,$A11))</f>
        <v>1</v>
      </c>
      <c r="AG11" s="29">
        <f>IF((COUNTIFS(Input_Konektivitas!$A$3:$A$563,$A11,Input_Konektivitas!$B$3:$B$563,AG$3,Input_Konektivitas!$D$3:$D$563,"&gt;0")+COUNTIFS(Input_Konektivitas!$A$3:$A$563,AG$3,Input_Konektivitas!$B$3:$B$563,$A11,Input_Konektivitas!$D$3:$D$563,"&gt;0"))=0,"",SUMIFS(Input_Konektivitas!$C$3:$C$563,Input_Konektivitas!$A$3:$A$563,$A11,Input_Konektivitas!$B$3:$B$563,AG$3)+SUMIFS(Input_Konektivitas!$C$3:$C$563,Input_Konektivitas!$A$3:$A$563,AG$3,Input_Konektivitas!$B$3:$B$563,$A11))</f>
        <v>1</v>
      </c>
      <c r="AH11" s="29">
        <f>IF((COUNTIFS(Input_Konektivitas!$A$3:$A$563,$A11,Input_Konektivitas!$B$3:$B$563,AH$3,Input_Konektivitas!$D$3:$D$563,"&gt;0")+COUNTIFS(Input_Konektivitas!$A$3:$A$563,AH$3,Input_Konektivitas!$B$3:$B$563,$A11,Input_Konektivitas!$D$3:$D$563,"&gt;0"))=0,"",SUMIFS(Input_Konektivitas!$C$3:$C$563,Input_Konektivitas!$A$3:$A$563,$A11,Input_Konektivitas!$B$3:$B$563,AH$3)+SUMIFS(Input_Konektivitas!$C$3:$C$563,Input_Konektivitas!$A$3:$A$563,AH$3,Input_Konektivitas!$B$3:$B$563,$A11))</f>
        <v>1</v>
      </c>
      <c r="AI11" s="29">
        <f>IF((COUNTIFS(Input_Konektivitas!$A$3:$A$563,$A11,Input_Konektivitas!$B$3:$B$563,AI$3,Input_Konektivitas!$D$3:$D$563,"&gt;0")+COUNTIFS(Input_Konektivitas!$A$3:$A$563,AI$3,Input_Konektivitas!$B$3:$B$563,$A11,Input_Konektivitas!$D$3:$D$563,"&gt;0"))=0,"",SUMIFS(Input_Konektivitas!$C$3:$C$563,Input_Konektivitas!$A$3:$A$563,$A11,Input_Konektivitas!$B$3:$B$563,AI$3)+SUMIFS(Input_Konektivitas!$C$3:$C$563,Input_Konektivitas!$A$3:$A$563,AI$3,Input_Konektivitas!$B$3:$B$563,$A11))</f>
        <v>1</v>
      </c>
    </row>
    <row r="12" ht="14.25" customHeight="1">
      <c r="A12" s="22" t="s">
        <v>25</v>
      </c>
      <c r="B12" s="29">
        <f>IF((COUNTIFS(Input_Konektivitas!$A$3:$A$563,$A12,Input_Konektivitas!$B$3:$B$563,B$3,Input_Konektivitas!$D$3:$D$563,"&gt;0")+COUNTIFS(Input_Konektivitas!$A$3:$A$563,B$3,Input_Konektivitas!$B$3:$B$563,$A12,Input_Konektivitas!$D$3:$D$563,"&gt;0"))=0,"",SUMIFS(Input_Konektivitas!$C$3:$C$563,Input_Konektivitas!$A$3:$A$563,$A12,Input_Konektivitas!$B$3:$B$563,B$3)+SUMIFS(Input_Konektivitas!$C$3:$C$563,Input_Konektivitas!$A$3:$A$563,B$3,Input_Konektivitas!$B$3:$B$563,$A12))</f>
        <v>1</v>
      </c>
      <c r="C12" s="29">
        <f>IF((COUNTIFS(Input_Konektivitas!$A$3:$A$563,$A12,Input_Konektivitas!$B$3:$B$563,C$3,Input_Konektivitas!$D$3:$D$563,"&gt;0")+COUNTIFS(Input_Konektivitas!$A$3:$A$563,C$3,Input_Konektivitas!$B$3:$B$563,$A12,Input_Konektivitas!$D$3:$D$563,"&gt;0"))=0,"",SUMIFS(Input_Konektivitas!$C$3:$C$563,Input_Konektivitas!$A$3:$A$563,$A12,Input_Konektivitas!$B$3:$B$563,C$3)+SUMIFS(Input_Konektivitas!$C$3:$C$563,Input_Konektivitas!$A$3:$A$563,C$3,Input_Konektivitas!$B$3:$B$563,$A12))</f>
        <v>1</v>
      </c>
      <c r="D12" s="29">
        <f>IF((COUNTIFS(Input_Konektivitas!$A$3:$A$563,$A12,Input_Konektivitas!$B$3:$B$563,D$3,Input_Konektivitas!$D$3:$D$563,"&gt;0")+COUNTIFS(Input_Konektivitas!$A$3:$A$563,D$3,Input_Konektivitas!$B$3:$B$563,$A12,Input_Konektivitas!$D$3:$D$563,"&gt;0"))=0,"",SUMIFS(Input_Konektivitas!$C$3:$C$563,Input_Konektivitas!$A$3:$A$563,$A12,Input_Konektivitas!$B$3:$B$563,D$3)+SUMIFS(Input_Konektivitas!$C$3:$C$563,Input_Konektivitas!$A$3:$A$563,D$3,Input_Konektivitas!$B$3:$B$563,$A12))</f>
        <v>1</v>
      </c>
      <c r="E12" s="29">
        <f>IF((COUNTIFS(Input_Konektivitas!$A$3:$A$563,$A12,Input_Konektivitas!$B$3:$B$563,E$3,Input_Konektivitas!$D$3:$D$563,"&gt;0")+COUNTIFS(Input_Konektivitas!$A$3:$A$563,E$3,Input_Konektivitas!$B$3:$B$563,$A12,Input_Konektivitas!$D$3:$D$563,"&gt;0"))=0,"",SUMIFS(Input_Konektivitas!$C$3:$C$563,Input_Konektivitas!$A$3:$A$563,$A12,Input_Konektivitas!$B$3:$B$563,E$3)+SUMIFS(Input_Konektivitas!$C$3:$C$563,Input_Konektivitas!$A$3:$A$563,E$3,Input_Konektivitas!$B$3:$B$563,$A12))</f>
        <v>1</v>
      </c>
      <c r="F12" s="29">
        <f>IF((COUNTIFS(Input_Konektivitas!$A$3:$A$563,$A12,Input_Konektivitas!$B$3:$B$563,F$3,Input_Konektivitas!$D$3:$D$563,"&gt;0")+COUNTIFS(Input_Konektivitas!$A$3:$A$563,F$3,Input_Konektivitas!$B$3:$B$563,$A12,Input_Konektivitas!$D$3:$D$563,"&gt;0"))=0,"",SUMIFS(Input_Konektivitas!$C$3:$C$563,Input_Konektivitas!$A$3:$A$563,$A12,Input_Konektivitas!$B$3:$B$563,F$3)+SUMIFS(Input_Konektivitas!$C$3:$C$563,Input_Konektivitas!$A$3:$A$563,F$3,Input_Konektivitas!$B$3:$B$563,$A12))</f>
        <v>1</v>
      </c>
      <c r="G12" s="29">
        <f>IF((COUNTIFS(Input_Konektivitas!$A$3:$A$563,$A12,Input_Konektivitas!$B$3:$B$563,G$3,Input_Konektivitas!$D$3:$D$563,"&gt;0")+COUNTIFS(Input_Konektivitas!$A$3:$A$563,G$3,Input_Konektivitas!$B$3:$B$563,$A12,Input_Konektivitas!$D$3:$D$563,"&gt;0"))=0,"",SUMIFS(Input_Konektivitas!$C$3:$C$563,Input_Konektivitas!$A$3:$A$563,$A12,Input_Konektivitas!$B$3:$B$563,G$3)+SUMIFS(Input_Konektivitas!$C$3:$C$563,Input_Konektivitas!$A$3:$A$563,G$3,Input_Konektivitas!$B$3:$B$563,$A12))</f>
        <v>0</v>
      </c>
      <c r="H12" s="29">
        <f>IF((COUNTIFS(Input_Konektivitas!$A$3:$A$563,$A12,Input_Konektivitas!$B$3:$B$563,H$3,Input_Konektivitas!$D$3:$D$563,"&gt;0")+COUNTIFS(Input_Konektivitas!$A$3:$A$563,H$3,Input_Konektivitas!$B$3:$B$563,$A12,Input_Konektivitas!$D$3:$D$563,"&gt;0"))=0,"",SUMIFS(Input_Konektivitas!$C$3:$C$563,Input_Konektivitas!$A$3:$A$563,$A12,Input_Konektivitas!$B$3:$B$563,H$3)+SUMIFS(Input_Konektivitas!$C$3:$C$563,Input_Konektivitas!$A$3:$A$563,H$3,Input_Konektivitas!$B$3:$B$563,$A12))</f>
        <v>1</v>
      </c>
      <c r="I12" s="29">
        <f>IF((COUNTIFS(Input_Konektivitas!$A$3:$A$563,$A12,Input_Konektivitas!$B$3:$B$563,I$3,Input_Konektivitas!$D$3:$D$563,"&gt;0")+COUNTIFS(Input_Konektivitas!$A$3:$A$563,I$3,Input_Konektivitas!$B$3:$B$563,$A12,Input_Konektivitas!$D$3:$D$563,"&gt;0"))=0,"",SUMIFS(Input_Konektivitas!$C$3:$C$563,Input_Konektivitas!$A$3:$A$563,$A12,Input_Konektivitas!$B$3:$B$563,I$3)+SUMIFS(Input_Konektivitas!$C$3:$C$563,Input_Konektivitas!$A$3:$A$563,I$3,Input_Konektivitas!$B$3:$B$563,$A12))</f>
        <v>1</v>
      </c>
      <c r="J12" s="26">
        <v>0.0</v>
      </c>
      <c r="K12" s="29">
        <f>IF((COUNTIFS(Input_Konektivitas!$A$3:$A$563,$A12,Input_Konektivitas!$B$3:$B$563,K$3,Input_Konektivitas!$D$3:$D$563,"&gt;0")+COUNTIFS(Input_Konektivitas!$A$3:$A$563,K$3,Input_Konektivitas!$B$3:$B$563,$A12,Input_Konektivitas!$D$3:$D$563,"&gt;0"))=0,"",SUMIFS(Input_Konektivitas!$C$3:$C$563,Input_Konektivitas!$A$3:$A$563,$A12,Input_Konektivitas!$B$3:$B$563,K$3)+SUMIFS(Input_Konektivitas!$C$3:$C$563,Input_Konektivitas!$A$3:$A$563,K$3,Input_Konektivitas!$B$3:$B$563,$A12))</f>
        <v>1</v>
      </c>
      <c r="L12" s="29">
        <f>IF((COUNTIFS(Input_Konektivitas!$A$3:$A$563,$A12,Input_Konektivitas!$B$3:$B$563,L$3,Input_Konektivitas!$D$3:$D$563,"&gt;0")+COUNTIFS(Input_Konektivitas!$A$3:$A$563,L$3,Input_Konektivitas!$B$3:$B$563,$A12,Input_Konektivitas!$D$3:$D$563,"&gt;0"))=0,"",SUMIFS(Input_Konektivitas!$C$3:$C$563,Input_Konektivitas!$A$3:$A$563,$A12,Input_Konektivitas!$B$3:$B$563,L$3)+SUMIFS(Input_Konektivitas!$C$3:$C$563,Input_Konektivitas!$A$3:$A$563,L$3,Input_Konektivitas!$B$3:$B$563,$A12))</f>
        <v>1</v>
      </c>
      <c r="M12" s="29" t="str">
        <f>IF((COUNTIFS(Input_Konektivitas!$A$3:$A$563,$A12,Input_Konektivitas!$B$3:$B$563,M$3,Input_Konektivitas!$D$3:$D$563,"&gt;0")+COUNTIFS(Input_Konektivitas!$A$3:$A$563,M$3,Input_Konektivitas!$B$3:$B$563,$A12,Input_Konektivitas!$D$3:$D$563,"&gt;0"))=0,"",SUMIFS(Input_Konektivitas!$C$3:$C$563,Input_Konektivitas!$A$3:$A$563,$A12,Input_Konektivitas!$B$3:$B$563,M$3)+SUMIFS(Input_Konektivitas!$C$3:$C$563,Input_Konektivitas!$A$3:$A$563,M$3,Input_Konektivitas!$B$3:$B$563,$A12))</f>
        <v/>
      </c>
      <c r="N12" s="29">
        <f>IF((COUNTIFS(Input_Konektivitas!$A$3:$A$563,$A12,Input_Konektivitas!$B$3:$B$563,N$3,Input_Konektivitas!$D$3:$D$563,"&gt;0")+COUNTIFS(Input_Konektivitas!$A$3:$A$563,N$3,Input_Konektivitas!$B$3:$B$563,$A12,Input_Konektivitas!$D$3:$D$563,"&gt;0"))=0,"",SUMIFS(Input_Konektivitas!$C$3:$C$563,Input_Konektivitas!$A$3:$A$563,$A12,Input_Konektivitas!$B$3:$B$563,N$3)+SUMIFS(Input_Konektivitas!$C$3:$C$563,Input_Konektivitas!$A$3:$A$563,N$3,Input_Konektivitas!$B$3:$B$563,$A12))</f>
        <v>1</v>
      </c>
      <c r="O12" s="29">
        <f>IF((COUNTIFS(Input_Konektivitas!$A$3:$A$563,$A12,Input_Konektivitas!$B$3:$B$563,O$3,Input_Konektivitas!$D$3:$D$563,"&gt;0")+COUNTIFS(Input_Konektivitas!$A$3:$A$563,O$3,Input_Konektivitas!$B$3:$B$563,$A12,Input_Konektivitas!$D$3:$D$563,"&gt;0"))=0,"",SUMIFS(Input_Konektivitas!$C$3:$C$563,Input_Konektivitas!$A$3:$A$563,$A12,Input_Konektivitas!$B$3:$B$563,O$3)+SUMIFS(Input_Konektivitas!$C$3:$C$563,Input_Konektivitas!$A$3:$A$563,O$3,Input_Konektivitas!$B$3:$B$563,$A12))</f>
        <v>1</v>
      </c>
      <c r="P12" s="29">
        <f>IF((COUNTIFS(Input_Konektivitas!$A$3:$A$563,$A12,Input_Konektivitas!$B$3:$B$563,P$3,Input_Konektivitas!$D$3:$D$563,"&gt;0")+COUNTIFS(Input_Konektivitas!$A$3:$A$563,P$3,Input_Konektivitas!$B$3:$B$563,$A12,Input_Konektivitas!$D$3:$D$563,"&gt;0"))=0,"",SUMIFS(Input_Konektivitas!$C$3:$C$563,Input_Konektivitas!$A$3:$A$563,$A12,Input_Konektivitas!$B$3:$B$563,P$3)+SUMIFS(Input_Konektivitas!$C$3:$C$563,Input_Konektivitas!$A$3:$A$563,P$3,Input_Konektivitas!$B$3:$B$563,$A12))</f>
        <v>1</v>
      </c>
      <c r="Q12" s="29" t="str">
        <f>IF((COUNTIFS(Input_Konektivitas!$A$3:$A$563,$A12,Input_Konektivitas!$B$3:$B$563,Q$3,Input_Konektivitas!$D$3:$D$563,"&gt;0")+COUNTIFS(Input_Konektivitas!$A$3:$A$563,Q$3,Input_Konektivitas!$B$3:$B$563,$A12,Input_Konektivitas!$D$3:$D$563,"&gt;0"))=0,"",SUMIFS(Input_Konektivitas!$C$3:$C$563,Input_Konektivitas!$A$3:$A$563,$A12,Input_Konektivitas!$B$3:$B$563,Q$3)+SUMIFS(Input_Konektivitas!$C$3:$C$563,Input_Konektivitas!$A$3:$A$563,Q$3,Input_Konektivitas!$B$3:$B$563,$A12))</f>
        <v/>
      </c>
      <c r="R12" s="29">
        <f>IF((COUNTIFS(Input_Konektivitas!$A$3:$A$563,$A12,Input_Konektivitas!$B$3:$B$563,R$3,Input_Konektivitas!$D$3:$D$563,"&gt;0")+COUNTIFS(Input_Konektivitas!$A$3:$A$563,R$3,Input_Konektivitas!$B$3:$B$563,$A12,Input_Konektivitas!$D$3:$D$563,"&gt;0"))=0,"",SUMIFS(Input_Konektivitas!$C$3:$C$563,Input_Konektivitas!$A$3:$A$563,$A12,Input_Konektivitas!$B$3:$B$563,R$3)+SUMIFS(Input_Konektivitas!$C$3:$C$563,Input_Konektivitas!$A$3:$A$563,R$3,Input_Konektivitas!$B$3:$B$563,$A12))</f>
        <v>1</v>
      </c>
      <c r="S12" s="29">
        <f>IF((COUNTIFS(Input_Konektivitas!$A$3:$A$563,$A12,Input_Konektivitas!$B$3:$B$563,S$3,Input_Konektivitas!$D$3:$D$563,"&gt;0")+COUNTIFS(Input_Konektivitas!$A$3:$A$563,S$3,Input_Konektivitas!$B$3:$B$563,$A12,Input_Konektivitas!$D$3:$D$563,"&gt;0"))=0,"",SUMIFS(Input_Konektivitas!$C$3:$C$563,Input_Konektivitas!$A$3:$A$563,$A12,Input_Konektivitas!$B$3:$B$563,S$3)+SUMIFS(Input_Konektivitas!$C$3:$C$563,Input_Konektivitas!$A$3:$A$563,S$3,Input_Konektivitas!$B$3:$B$563,$A12))</f>
        <v>1</v>
      </c>
      <c r="T12" s="29">
        <f>IF((COUNTIFS(Input_Konektivitas!$A$3:$A$563,$A12,Input_Konektivitas!$B$3:$B$563,T$3,Input_Konektivitas!$D$3:$D$563,"&gt;0")+COUNTIFS(Input_Konektivitas!$A$3:$A$563,T$3,Input_Konektivitas!$B$3:$B$563,$A12,Input_Konektivitas!$D$3:$D$563,"&gt;0"))=0,"",SUMIFS(Input_Konektivitas!$C$3:$C$563,Input_Konektivitas!$A$3:$A$563,$A12,Input_Konektivitas!$B$3:$B$563,T$3)+SUMIFS(Input_Konektivitas!$C$3:$C$563,Input_Konektivitas!$A$3:$A$563,T$3,Input_Konektivitas!$B$3:$B$563,$A12))</f>
        <v>2</v>
      </c>
      <c r="U12" s="29">
        <f>IF((COUNTIFS(Input_Konektivitas!$A$3:$A$563,$A12,Input_Konektivitas!$B$3:$B$563,U$3,Input_Konektivitas!$D$3:$D$563,"&gt;0")+COUNTIFS(Input_Konektivitas!$A$3:$A$563,U$3,Input_Konektivitas!$B$3:$B$563,$A12,Input_Konektivitas!$D$3:$D$563,"&gt;0"))=0,"",SUMIFS(Input_Konektivitas!$C$3:$C$563,Input_Konektivitas!$A$3:$A$563,$A12,Input_Konektivitas!$B$3:$B$563,U$3)+SUMIFS(Input_Konektivitas!$C$3:$C$563,Input_Konektivitas!$A$3:$A$563,U$3,Input_Konektivitas!$B$3:$B$563,$A12))</f>
        <v>1</v>
      </c>
      <c r="V12" s="29">
        <f>IF((COUNTIFS(Input_Konektivitas!$A$3:$A$563,$A12,Input_Konektivitas!$B$3:$B$563,V$3,Input_Konektivitas!$D$3:$D$563,"&gt;0")+COUNTIFS(Input_Konektivitas!$A$3:$A$563,V$3,Input_Konektivitas!$B$3:$B$563,$A12,Input_Konektivitas!$D$3:$D$563,"&gt;0"))=0,"",SUMIFS(Input_Konektivitas!$C$3:$C$563,Input_Konektivitas!$A$3:$A$563,$A12,Input_Konektivitas!$B$3:$B$563,V$3)+SUMIFS(Input_Konektivitas!$C$3:$C$563,Input_Konektivitas!$A$3:$A$563,V$3,Input_Konektivitas!$B$3:$B$563,$A12))</f>
        <v>1</v>
      </c>
      <c r="W12" s="29">
        <f>IF((COUNTIFS(Input_Konektivitas!$A$3:$A$563,$A12,Input_Konektivitas!$B$3:$B$563,W$3,Input_Konektivitas!$D$3:$D$563,"&gt;0")+COUNTIFS(Input_Konektivitas!$A$3:$A$563,W$3,Input_Konektivitas!$B$3:$B$563,$A12,Input_Konektivitas!$D$3:$D$563,"&gt;0"))=0,"",SUMIFS(Input_Konektivitas!$C$3:$C$563,Input_Konektivitas!$A$3:$A$563,$A12,Input_Konektivitas!$B$3:$B$563,W$3)+SUMIFS(Input_Konektivitas!$C$3:$C$563,Input_Konektivitas!$A$3:$A$563,W$3,Input_Konektivitas!$B$3:$B$563,$A12))</f>
        <v>1</v>
      </c>
      <c r="X12" s="29">
        <f>IF((COUNTIFS(Input_Konektivitas!$A$3:$A$563,$A12,Input_Konektivitas!$B$3:$B$563,X$3,Input_Konektivitas!$D$3:$D$563,"&gt;0")+COUNTIFS(Input_Konektivitas!$A$3:$A$563,X$3,Input_Konektivitas!$B$3:$B$563,$A12,Input_Konektivitas!$D$3:$D$563,"&gt;0"))=0,"",SUMIFS(Input_Konektivitas!$C$3:$C$563,Input_Konektivitas!$A$3:$A$563,$A12,Input_Konektivitas!$B$3:$B$563,X$3)+SUMIFS(Input_Konektivitas!$C$3:$C$563,Input_Konektivitas!$A$3:$A$563,X$3,Input_Konektivitas!$B$3:$B$563,$A12))</f>
        <v>1</v>
      </c>
      <c r="Y12" s="29">
        <f>IF((COUNTIFS(Input_Konektivitas!$A$3:$A$563,$A12,Input_Konektivitas!$B$3:$B$563,Y$3,Input_Konektivitas!$D$3:$D$563,"&gt;0")+COUNTIFS(Input_Konektivitas!$A$3:$A$563,Y$3,Input_Konektivitas!$B$3:$B$563,$A12,Input_Konektivitas!$D$3:$D$563,"&gt;0"))=0,"",SUMIFS(Input_Konektivitas!$C$3:$C$563,Input_Konektivitas!$A$3:$A$563,$A12,Input_Konektivitas!$B$3:$B$563,Y$3)+SUMIFS(Input_Konektivitas!$C$3:$C$563,Input_Konektivitas!$A$3:$A$563,Y$3,Input_Konektivitas!$B$3:$B$563,$A12))</f>
        <v>3</v>
      </c>
      <c r="Z12" s="29">
        <f>IF((COUNTIFS(Input_Konektivitas!$A$3:$A$563,$A12,Input_Konektivitas!$B$3:$B$563,Z$3,Input_Konektivitas!$D$3:$D$563,"&gt;0")+COUNTIFS(Input_Konektivitas!$A$3:$A$563,Z$3,Input_Konektivitas!$B$3:$B$563,$A12,Input_Konektivitas!$D$3:$D$563,"&gt;0"))=0,"",SUMIFS(Input_Konektivitas!$C$3:$C$563,Input_Konektivitas!$A$3:$A$563,$A12,Input_Konektivitas!$B$3:$B$563,Z$3)+SUMIFS(Input_Konektivitas!$C$3:$C$563,Input_Konektivitas!$A$3:$A$563,Z$3,Input_Konektivitas!$B$3:$B$563,$A12))</f>
        <v>1</v>
      </c>
      <c r="AA12" s="29">
        <f>IF((COUNTIFS(Input_Konektivitas!$A$3:$A$563,$A12,Input_Konektivitas!$B$3:$B$563,AA$3,Input_Konektivitas!$D$3:$D$563,"&gt;0")+COUNTIFS(Input_Konektivitas!$A$3:$A$563,AA$3,Input_Konektivitas!$B$3:$B$563,$A12,Input_Konektivitas!$D$3:$D$563,"&gt;0"))=0,"",SUMIFS(Input_Konektivitas!$C$3:$C$563,Input_Konektivitas!$A$3:$A$563,$A12,Input_Konektivitas!$B$3:$B$563,AA$3)+SUMIFS(Input_Konektivitas!$C$3:$C$563,Input_Konektivitas!$A$3:$A$563,AA$3,Input_Konektivitas!$B$3:$B$563,$A12))</f>
        <v>1</v>
      </c>
      <c r="AB12" s="29">
        <f>IF((COUNTIFS(Input_Konektivitas!$A$3:$A$563,$A12,Input_Konektivitas!$B$3:$B$563,AB$3,Input_Konektivitas!$D$3:$D$563,"&gt;0")+COUNTIFS(Input_Konektivitas!$A$3:$A$563,AB$3,Input_Konektivitas!$B$3:$B$563,$A12,Input_Konektivitas!$D$3:$D$563,"&gt;0"))=0,"",SUMIFS(Input_Konektivitas!$C$3:$C$563,Input_Konektivitas!$A$3:$A$563,$A12,Input_Konektivitas!$B$3:$B$563,AB$3)+SUMIFS(Input_Konektivitas!$C$3:$C$563,Input_Konektivitas!$A$3:$A$563,AB$3,Input_Konektivitas!$B$3:$B$563,$A12))</f>
        <v>1</v>
      </c>
      <c r="AC12" s="29">
        <f>IF((COUNTIFS(Input_Konektivitas!$A$3:$A$563,$A12,Input_Konektivitas!$B$3:$B$563,AC$3,Input_Konektivitas!$D$3:$D$563,"&gt;0")+COUNTIFS(Input_Konektivitas!$A$3:$A$563,AC$3,Input_Konektivitas!$B$3:$B$563,$A12,Input_Konektivitas!$D$3:$D$563,"&gt;0"))=0,"",SUMIFS(Input_Konektivitas!$C$3:$C$563,Input_Konektivitas!$A$3:$A$563,$A12,Input_Konektivitas!$B$3:$B$563,AC$3)+SUMIFS(Input_Konektivitas!$C$3:$C$563,Input_Konektivitas!$A$3:$A$563,AC$3,Input_Konektivitas!$B$3:$B$563,$A12))</f>
        <v>1</v>
      </c>
      <c r="AD12" s="29">
        <f>IF((COUNTIFS(Input_Konektivitas!$A$3:$A$563,$A12,Input_Konektivitas!$B$3:$B$563,AD$3,Input_Konektivitas!$D$3:$D$563,"&gt;0")+COUNTIFS(Input_Konektivitas!$A$3:$A$563,AD$3,Input_Konektivitas!$B$3:$B$563,$A12,Input_Konektivitas!$D$3:$D$563,"&gt;0"))=0,"",SUMIFS(Input_Konektivitas!$C$3:$C$563,Input_Konektivitas!$A$3:$A$563,$A12,Input_Konektivitas!$B$3:$B$563,AD$3)+SUMIFS(Input_Konektivitas!$C$3:$C$563,Input_Konektivitas!$A$3:$A$563,AD$3,Input_Konektivitas!$B$3:$B$563,$A12))</f>
        <v>1</v>
      </c>
      <c r="AE12" s="29">
        <f>IF((COUNTIFS(Input_Konektivitas!$A$3:$A$563,$A12,Input_Konektivitas!$B$3:$B$563,AE$3,Input_Konektivitas!$D$3:$D$563,"&gt;0")+COUNTIFS(Input_Konektivitas!$A$3:$A$563,AE$3,Input_Konektivitas!$B$3:$B$563,$A12,Input_Konektivitas!$D$3:$D$563,"&gt;0"))=0,"",SUMIFS(Input_Konektivitas!$C$3:$C$563,Input_Konektivitas!$A$3:$A$563,$A12,Input_Konektivitas!$B$3:$B$563,AE$3)+SUMIFS(Input_Konektivitas!$C$3:$C$563,Input_Konektivitas!$A$3:$A$563,AE$3,Input_Konektivitas!$B$3:$B$563,$A12))</f>
        <v>1</v>
      </c>
      <c r="AF12" s="29">
        <f>IF((COUNTIFS(Input_Konektivitas!$A$3:$A$563,$A12,Input_Konektivitas!$B$3:$B$563,AF$3,Input_Konektivitas!$D$3:$D$563,"&gt;0")+COUNTIFS(Input_Konektivitas!$A$3:$A$563,AF$3,Input_Konektivitas!$B$3:$B$563,$A12,Input_Konektivitas!$D$3:$D$563,"&gt;0"))=0,"",SUMIFS(Input_Konektivitas!$C$3:$C$563,Input_Konektivitas!$A$3:$A$563,$A12,Input_Konektivitas!$B$3:$B$563,AF$3)+SUMIFS(Input_Konektivitas!$C$3:$C$563,Input_Konektivitas!$A$3:$A$563,AF$3,Input_Konektivitas!$B$3:$B$563,$A12))</f>
        <v>1</v>
      </c>
      <c r="AG12" s="29">
        <f>IF((COUNTIFS(Input_Konektivitas!$A$3:$A$563,$A12,Input_Konektivitas!$B$3:$B$563,AG$3,Input_Konektivitas!$D$3:$D$563,"&gt;0")+COUNTIFS(Input_Konektivitas!$A$3:$A$563,AG$3,Input_Konektivitas!$B$3:$B$563,$A12,Input_Konektivitas!$D$3:$D$563,"&gt;0"))=0,"",SUMIFS(Input_Konektivitas!$C$3:$C$563,Input_Konektivitas!$A$3:$A$563,$A12,Input_Konektivitas!$B$3:$B$563,AG$3)+SUMIFS(Input_Konektivitas!$C$3:$C$563,Input_Konektivitas!$A$3:$A$563,AG$3,Input_Konektivitas!$B$3:$B$563,$A12))</f>
        <v>1</v>
      </c>
      <c r="AH12" s="29">
        <f>IF((COUNTIFS(Input_Konektivitas!$A$3:$A$563,$A12,Input_Konektivitas!$B$3:$B$563,AH$3,Input_Konektivitas!$D$3:$D$563,"&gt;0")+COUNTIFS(Input_Konektivitas!$A$3:$A$563,AH$3,Input_Konektivitas!$B$3:$B$563,$A12,Input_Konektivitas!$D$3:$D$563,"&gt;0"))=0,"",SUMIFS(Input_Konektivitas!$C$3:$C$563,Input_Konektivitas!$A$3:$A$563,$A12,Input_Konektivitas!$B$3:$B$563,AH$3)+SUMIFS(Input_Konektivitas!$C$3:$C$563,Input_Konektivitas!$A$3:$A$563,AH$3,Input_Konektivitas!$B$3:$B$563,$A12))</f>
        <v>1</v>
      </c>
      <c r="AI12" s="29">
        <f>IF((COUNTIFS(Input_Konektivitas!$A$3:$A$563,$A12,Input_Konektivitas!$B$3:$B$563,AI$3,Input_Konektivitas!$D$3:$D$563,"&gt;0")+COUNTIFS(Input_Konektivitas!$A$3:$A$563,AI$3,Input_Konektivitas!$B$3:$B$563,$A12,Input_Konektivitas!$D$3:$D$563,"&gt;0"))=0,"",SUMIFS(Input_Konektivitas!$C$3:$C$563,Input_Konektivitas!$A$3:$A$563,$A12,Input_Konektivitas!$B$3:$B$563,AI$3)+SUMIFS(Input_Konektivitas!$C$3:$C$563,Input_Konektivitas!$A$3:$A$563,AI$3,Input_Konektivitas!$B$3:$B$563,$A12))</f>
        <v>2</v>
      </c>
    </row>
    <row r="13" ht="14.25" customHeight="1">
      <c r="A13" s="22" t="s">
        <v>28</v>
      </c>
      <c r="B13" s="29">
        <f>IF((COUNTIFS(Input_Konektivitas!$A$3:$A$563,$A13,Input_Konektivitas!$B$3:$B$563,B$3,Input_Konektivitas!$D$3:$D$563,"&gt;0")+COUNTIFS(Input_Konektivitas!$A$3:$A$563,B$3,Input_Konektivitas!$B$3:$B$563,$A13,Input_Konektivitas!$D$3:$D$563,"&gt;0"))=0,"",SUMIFS(Input_Konektivitas!$C$3:$C$563,Input_Konektivitas!$A$3:$A$563,$A13,Input_Konektivitas!$B$3:$B$563,B$3)+SUMIFS(Input_Konektivitas!$C$3:$C$563,Input_Konektivitas!$A$3:$A$563,B$3,Input_Konektivitas!$B$3:$B$563,$A13))</f>
        <v>3</v>
      </c>
      <c r="C13" s="29">
        <f>IF((COUNTIFS(Input_Konektivitas!$A$3:$A$563,$A13,Input_Konektivitas!$B$3:$B$563,C$3,Input_Konektivitas!$D$3:$D$563,"&gt;0")+COUNTIFS(Input_Konektivitas!$A$3:$A$563,C$3,Input_Konektivitas!$B$3:$B$563,$A13,Input_Konektivitas!$D$3:$D$563,"&gt;0"))=0,"",SUMIFS(Input_Konektivitas!$C$3:$C$563,Input_Konektivitas!$A$3:$A$563,$A13,Input_Konektivitas!$B$3:$B$563,C$3)+SUMIFS(Input_Konektivitas!$C$3:$C$563,Input_Konektivitas!$A$3:$A$563,C$3,Input_Konektivitas!$B$3:$B$563,$A13))</f>
        <v>1</v>
      </c>
      <c r="D13" s="29">
        <f>IF((COUNTIFS(Input_Konektivitas!$A$3:$A$563,$A13,Input_Konektivitas!$B$3:$B$563,D$3,Input_Konektivitas!$D$3:$D$563,"&gt;0")+COUNTIFS(Input_Konektivitas!$A$3:$A$563,D$3,Input_Konektivitas!$B$3:$B$563,$A13,Input_Konektivitas!$D$3:$D$563,"&gt;0"))=0,"",SUMIFS(Input_Konektivitas!$C$3:$C$563,Input_Konektivitas!$A$3:$A$563,$A13,Input_Konektivitas!$B$3:$B$563,D$3)+SUMIFS(Input_Konektivitas!$C$3:$C$563,Input_Konektivitas!$A$3:$A$563,D$3,Input_Konektivitas!$B$3:$B$563,$A13))</f>
        <v>1</v>
      </c>
      <c r="E13" s="29">
        <f>IF((COUNTIFS(Input_Konektivitas!$A$3:$A$563,$A13,Input_Konektivitas!$B$3:$B$563,E$3,Input_Konektivitas!$D$3:$D$563,"&gt;0")+COUNTIFS(Input_Konektivitas!$A$3:$A$563,E$3,Input_Konektivitas!$B$3:$B$563,$A13,Input_Konektivitas!$D$3:$D$563,"&gt;0"))=0,"",SUMIFS(Input_Konektivitas!$C$3:$C$563,Input_Konektivitas!$A$3:$A$563,$A13,Input_Konektivitas!$B$3:$B$563,E$3)+SUMIFS(Input_Konektivitas!$C$3:$C$563,Input_Konektivitas!$A$3:$A$563,E$3,Input_Konektivitas!$B$3:$B$563,$A13))</f>
        <v>1</v>
      </c>
      <c r="F13" s="29">
        <f>IF((COUNTIFS(Input_Konektivitas!$A$3:$A$563,$A13,Input_Konektivitas!$B$3:$B$563,F$3,Input_Konektivitas!$D$3:$D$563,"&gt;0")+COUNTIFS(Input_Konektivitas!$A$3:$A$563,F$3,Input_Konektivitas!$B$3:$B$563,$A13,Input_Konektivitas!$D$3:$D$563,"&gt;0"))=0,"",SUMIFS(Input_Konektivitas!$C$3:$C$563,Input_Konektivitas!$A$3:$A$563,$A13,Input_Konektivitas!$B$3:$B$563,F$3)+SUMIFS(Input_Konektivitas!$C$3:$C$563,Input_Konektivitas!$A$3:$A$563,F$3,Input_Konektivitas!$B$3:$B$563,$A13))</f>
        <v>1</v>
      </c>
      <c r="G13" s="29">
        <f>IF((COUNTIFS(Input_Konektivitas!$A$3:$A$563,$A13,Input_Konektivitas!$B$3:$B$563,G$3,Input_Konektivitas!$D$3:$D$563,"&gt;0")+COUNTIFS(Input_Konektivitas!$A$3:$A$563,G$3,Input_Konektivitas!$B$3:$B$563,$A13,Input_Konektivitas!$D$3:$D$563,"&gt;0"))=0,"",SUMIFS(Input_Konektivitas!$C$3:$C$563,Input_Konektivitas!$A$3:$A$563,$A13,Input_Konektivitas!$B$3:$B$563,G$3)+SUMIFS(Input_Konektivitas!$C$3:$C$563,Input_Konektivitas!$A$3:$A$563,G$3,Input_Konektivitas!$B$3:$B$563,$A13))</f>
        <v>1</v>
      </c>
      <c r="H13" s="29">
        <f>IF((COUNTIFS(Input_Konektivitas!$A$3:$A$563,$A13,Input_Konektivitas!$B$3:$B$563,H$3,Input_Konektivitas!$D$3:$D$563,"&gt;0")+COUNTIFS(Input_Konektivitas!$A$3:$A$563,H$3,Input_Konektivitas!$B$3:$B$563,$A13,Input_Konektivitas!$D$3:$D$563,"&gt;0"))=0,"",SUMIFS(Input_Konektivitas!$C$3:$C$563,Input_Konektivitas!$A$3:$A$563,$A13,Input_Konektivitas!$B$3:$B$563,H$3)+SUMIFS(Input_Konektivitas!$C$3:$C$563,Input_Konektivitas!$A$3:$A$563,H$3,Input_Konektivitas!$B$3:$B$563,$A13))</f>
        <v>1</v>
      </c>
      <c r="I13" s="29">
        <f>IF((COUNTIFS(Input_Konektivitas!$A$3:$A$563,$A13,Input_Konektivitas!$B$3:$B$563,I$3,Input_Konektivitas!$D$3:$D$563,"&gt;0")+COUNTIFS(Input_Konektivitas!$A$3:$A$563,I$3,Input_Konektivitas!$B$3:$B$563,$A13,Input_Konektivitas!$D$3:$D$563,"&gt;0"))=0,"",SUMIFS(Input_Konektivitas!$C$3:$C$563,Input_Konektivitas!$A$3:$A$563,$A13,Input_Konektivitas!$B$3:$B$563,I$3)+SUMIFS(Input_Konektivitas!$C$3:$C$563,Input_Konektivitas!$A$3:$A$563,I$3,Input_Konektivitas!$B$3:$B$563,$A13))</f>
        <v>1</v>
      </c>
      <c r="J13" s="29">
        <f>IF((COUNTIFS(Input_Konektivitas!$A$3:$A$563,$A13,Input_Konektivitas!$B$3:$B$563,J$3,Input_Konektivitas!$D$3:$D$563,"&gt;0")+COUNTIFS(Input_Konektivitas!$A$3:$A$563,J$3,Input_Konektivitas!$B$3:$B$563,$A13,Input_Konektivitas!$D$3:$D$563,"&gt;0"))=0,"",SUMIFS(Input_Konektivitas!$C$3:$C$563,Input_Konektivitas!$A$3:$A$563,$A13,Input_Konektivitas!$B$3:$B$563,J$3)+SUMIFS(Input_Konektivitas!$C$3:$C$563,Input_Konektivitas!$A$3:$A$563,J$3,Input_Konektivitas!$B$3:$B$563,$A13))</f>
        <v>1</v>
      </c>
      <c r="K13" s="26">
        <v>0.0</v>
      </c>
      <c r="L13" s="29">
        <f>IF((COUNTIFS(Input_Konektivitas!$A$3:$A$563,$A13,Input_Konektivitas!$B$3:$B$563,L$3,Input_Konektivitas!$D$3:$D$563,"&gt;0")+COUNTIFS(Input_Konektivitas!$A$3:$A$563,L$3,Input_Konektivitas!$B$3:$B$563,$A13,Input_Konektivitas!$D$3:$D$563,"&gt;0"))=0,"",SUMIFS(Input_Konektivitas!$C$3:$C$563,Input_Konektivitas!$A$3:$A$563,$A13,Input_Konektivitas!$B$3:$B$563,L$3)+SUMIFS(Input_Konektivitas!$C$3:$C$563,Input_Konektivitas!$A$3:$A$563,L$3,Input_Konektivitas!$B$3:$B$563,$A13))</f>
        <v>0</v>
      </c>
      <c r="M13" s="29" t="str">
        <f>IF((COUNTIFS(Input_Konektivitas!$A$3:$A$563,$A13,Input_Konektivitas!$B$3:$B$563,M$3,Input_Konektivitas!$D$3:$D$563,"&gt;0")+COUNTIFS(Input_Konektivitas!$A$3:$A$563,M$3,Input_Konektivitas!$B$3:$B$563,$A13,Input_Konektivitas!$D$3:$D$563,"&gt;0"))=0,"",SUMIFS(Input_Konektivitas!$C$3:$C$563,Input_Konektivitas!$A$3:$A$563,$A13,Input_Konektivitas!$B$3:$B$563,M$3)+SUMIFS(Input_Konektivitas!$C$3:$C$563,Input_Konektivitas!$A$3:$A$563,M$3,Input_Konektivitas!$B$3:$B$563,$A13))</f>
        <v/>
      </c>
      <c r="N13" s="29">
        <f>IF((COUNTIFS(Input_Konektivitas!$A$3:$A$563,$A13,Input_Konektivitas!$B$3:$B$563,N$3,Input_Konektivitas!$D$3:$D$563,"&gt;0")+COUNTIFS(Input_Konektivitas!$A$3:$A$563,N$3,Input_Konektivitas!$B$3:$B$563,$A13,Input_Konektivitas!$D$3:$D$563,"&gt;0"))=0,"",SUMIFS(Input_Konektivitas!$C$3:$C$563,Input_Konektivitas!$A$3:$A$563,$A13,Input_Konektivitas!$B$3:$B$563,N$3)+SUMIFS(Input_Konektivitas!$C$3:$C$563,Input_Konektivitas!$A$3:$A$563,N$3,Input_Konektivitas!$B$3:$B$563,$A13))</f>
        <v>0</v>
      </c>
      <c r="O13" s="29">
        <f>IF((COUNTIFS(Input_Konektivitas!$A$3:$A$563,$A13,Input_Konektivitas!$B$3:$B$563,O$3,Input_Konektivitas!$D$3:$D$563,"&gt;0")+COUNTIFS(Input_Konektivitas!$A$3:$A$563,O$3,Input_Konektivitas!$B$3:$B$563,$A13,Input_Konektivitas!$D$3:$D$563,"&gt;0"))=0,"",SUMIFS(Input_Konektivitas!$C$3:$C$563,Input_Konektivitas!$A$3:$A$563,$A13,Input_Konektivitas!$B$3:$B$563,O$3)+SUMIFS(Input_Konektivitas!$C$3:$C$563,Input_Konektivitas!$A$3:$A$563,O$3,Input_Konektivitas!$B$3:$B$563,$A13))</f>
        <v>0</v>
      </c>
      <c r="P13" s="29">
        <f>IF((COUNTIFS(Input_Konektivitas!$A$3:$A$563,$A13,Input_Konektivitas!$B$3:$B$563,P$3,Input_Konektivitas!$D$3:$D$563,"&gt;0")+COUNTIFS(Input_Konektivitas!$A$3:$A$563,P$3,Input_Konektivitas!$B$3:$B$563,$A13,Input_Konektivitas!$D$3:$D$563,"&gt;0"))=0,"",SUMIFS(Input_Konektivitas!$C$3:$C$563,Input_Konektivitas!$A$3:$A$563,$A13,Input_Konektivitas!$B$3:$B$563,P$3)+SUMIFS(Input_Konektivitas!$C$3:$C$563,Input_Konektivitas!$A$3:$A$563,P$3,Input_Konektivitas!$B$3:$B$563,$A13))</f>
        <v>1</v>
      </c>
      <c r="Q13" s="29" t="str">
        <f>IF((COUNTIFS(Input_Konektivitas!$A$3:$A$563,$A13,Input_Konektivitas!$B$3:$B$563,Q$3,Input_Konektivitas!$D$3:$D$563,"&gt;0")+COUNTIFS(Input_Konektivitas!$A$3:$A$563,Q$3,Input_Konektivitas!$B$3:$B$563,$A13,Input_Konektivitas!$D$3:$D$563,"&gt;0"))=0,"",SUMIFS(Input_Konektivitas!$C$3:$C$563,Input_Konektivitas!$A$3:$A$563,$A13,Input_Konektivitas!$B$3:$B$563,Q$3)+SUMIFS(Input_Konektivitas!$C$3:$C$563,Input_Konektivitas!$A$3:$A$563,Q$3,Input_Konektivitas!$B$3:$B$563,$A13))</f>
        <v/>
      </c>
      <c r="R13" s="29">
        <f>IF((COUNTIFS(Input_Konektivitas!$A$3:$A$563,$A13,Input_Konektivitas!$B$3:$B$563,R$3,Input_Konektivitas!$D$3:$D$563,"&gt;0")+COUNTIFS(Input_Konektivitas!$A$3:$A$563,R$3,Input_Konektivitas!$B$3:$B$563,$A13,Input_Konektivitas!$D$3:$D$563,"&gt;0"))=0,"",SUMIFS(Input_Konektivitas!$C$3:$C$563,Input_Konektivitas!$A$3:$A$563,$A13,Input_Konektivitas!$B$3:$B$563,R$3)+SUMIFS(Input_Konektivitas!$C$3:$C$563,Input_Konektivitas!$A$3:$A$563,R$3,Input_Konektivitas!$B$3:$B$563,$A13))</f>
        <v>1</v>
      </c>
      <c r="S13" s="29">
        <f>IF((COUNTIFS(Input_Konektivitas!$A$3:$A$563,$A13,Input_Konektivitas!$B$3:$B$563,S$3,Input_Konektivitas!$D$3:$D$563,"&gt;0")+COUNTIFS(Input_Konektivitas!$A$3:$A$563,S$3,Input_Konektivitas!$B$3:$B$563,$A13,Input_Konektivitas!$D$3:$D$563,"&gt;0"))=0,"",SUMIFS(Input_Konektivitas!$C$3:$C$563,Input_Konektivitas!$A$3:$A$563,$A13,Input_Konektivitas!$B$3:$B$563,S$3)+SUMIFS(Input_Konektivitas!$C$3:$C$563,Input_Konektivitas!$A$3:$A$563,S$3,Input_Konektivitas!$B$3:$B$563,$A13))</f>
        <v>1</v>
      </c>
      <c r="T13" s="29">
        <f>IF((COUNTIFS(Input_Konektivitas!$A$3:$A$563,$A13,Input_Konektivitas!$B$3:$B$563,T$3,Input_Konektivitas!$D$3:$D$563,"&gt;0")+COUNTIFS(Input_Konektivitas!$A$3:$A$563,T$3,Input_Konektivitas!$B$3:$B$563,$A13,Input_Konektivitas!$D$3:$D$563,"&gt;0"))=0,"",SUMIFS(Input_Konektivitas!$C$3:$C$563,Input_Konektivitas!$A$3:$A$563,$A13,Input_Konektivitas!$B$3:$B$563,T$3)+SUMIFS(Input_Konektivitas!$C$3:$C$563,Input_Konektivitas!$A$3:$A$563,T$3,Input_Konektivitas!$B$3:$B$563,$A13))</f>
        <v>1</v>
      </c>
      <c r="U13" s="29">
        <f>IF((COUNTIFS(Input_Konektivitas!$A$3:$A$563,$A13,Input_Konektivitas!$B$3:$B$563,U$3,Input_Konektivitas!$D$3:$D$563,"&gt;0")+COUNTIFS(Input_Konektivitas!$A$3:$A$563,U$3,Input_Konektivitas!$B$3:$B$563,$A13,Input_Konektivitas!$D$3:$D$563,"&gt;0"))=0,"",SUMIFS(Input_Konektivitas!$C$3:$C$563,Input_Konektivitas!$A$3:$A$563,$A13,Input_Konektivitas!$B$3:$B$563,U$3)+SUMIFS(Input_Konektivitas!$C$3:$C$563,Input_Konektivitas!$A$3:$A$563,U$3,Input_Konektivitas!$B$3:$B$563,$A13))</f>
        <v>0</v>
      </c>
      <c r="V13" s="29">
        <f>IF((COUNTIFS(Input_Konektivitas!$A$3:$A$563,$A13,Input_Konektivitas!$B$3:$B$563,V$3,Input_Konektivitas!$D$3:$D$563,"&gt;0")+COUNTIFS(Input_Konektivitas!$A$3:$A$563,V$3,Input_Konektivitas!$B$3:$B$563,$A13,Input_Konektivitas!$D$3:$D$563,"&gt;0"))=0,"",SUMIFS(Input_Konektivitas!$C$3:$C$563,Input_Konektivitas!$A$3:$A$563,$A13,Input_Konektivitas!$B$3:$B$563,V$3)+SUMIFS(Input_Konektivitas!$C$3:$C$563,Input_Konektivitas!$A$3:$A$563,V$3,Input_Konektivitas!$B$3:$B$563,$A13))</f>
        <v>1</v>
      </c>
      <c r="W13" s="29">
        <f>IF((COUNTIFS(Input_Konektivitas!$A$3:$A$563,$A13,Input_Konektivitas!$B$3:$B$563,W$3,Input_Konektivitas!$D$3:$D$563,"&gt;0")+COUNTIFS(Input_Konektivitas!$A$3:$A$563,W$3,Input_Konektivitas!$B$3:$B$563,$A13,Input_Konektivitas!$D$3:$D$563,"&gt;0"))=0,"",SUMIFS(Input_Konektivitas!$C$3:$C$563,Input_Konektivitas!$A$3:$A$563,$A13,Input_Konektivitas!$B$3:$B$563,W$3)+SUMIFS(Input_Konektivitas!$C$3:$C$563,Input_Konektivitas!$A$3:$A$563,W$3,Input_Konektivitas!$B$3:$B$563,$A13))</f>
        <v>0</v>
      </c>
      <c r="X13" s="29">
        <f>IF((COUNTIFS(Input_Konektivitas!$A$3:$A$563,$A13,Input_Konektivitas!$B$3:$B$563,X$3,Input_Konektivitas!$D$3:$D$563,"&gt;0")+COUNTIFS(Input_Konektivitas!$A$3:$A$563,X$3,Input_Konektivitas!$B$3:$B$563,$A13,Input_Konektivitas!$D$3:$D$563,"&gt;0"))=0,"",SUMIFS(Input_Konektivitas!$C$3:$C$563,Input_Konektivitas!$A$3:$A$563,$A13,Input_Konektivitas!$B$3:$B$563,X$3)+SUMIFS(Input_Konektivitas!$C$3:$C$563,Input_Konektivitas!$A$3:$A$563,X$3,Input_Konektivitas!$B$3:$B$563,$A13))</f>
        <v>1</v>
      </c>
      <c r="Y13" s="29">
        <f>IF((COUNTIFS(Input_Konektivitas!$A$3:$A$563,$A13,Input_Konektivitas!$B$3:$B$563,Y$3,Input_Konektivitas!$D$3:$D$563,"&gt;0")+COUNTIFS(Input_Konektivitas!$A$3:$A$563,Y$3,Input_Konektivitas!$B$3:$B$563,$A13,Input_Konektivitas!$D$3:$D$563,"&gt;0"))=0,"",SUMIFS(Input_Konektivitas!$C$3:$C$563,Input_Konektivitas!$A$3:$A$563,$A13,Input_Konektivitas!$B$3:$B$563,Y$3)+SUMIFS(Input_Konektivitas!$C$3:$C$563,Input_Konektivitas!$A$3:$A$563,Y$3,Input_Konektivitas!$B$3:$B$563,$A13))</f>
        <v>1</v>
      </c>
      <c r="Z13" s="29">
        <f>IF((COUNTIFS(Input_Konektivitas!$A$3:$A$563,$A13,Input_Konektivitas!$B$3:$B$563,Z$3,Input_Konektivitas!$D$3:$D$563,"&gt;0")+COUNTIFS(Input_Konektivitas!$A$3:$A$563,Z$3,Input_Konektivitas!$B$3:$B$563,$A13,Input_Konektivitas!$D$3:$D$563,"&gt;0"))=0,"",SUMIFS(Input_Konektivitas!$C$3:$C$563,Input_Konektivitas!$A$3:$A$563,$A13,Input_Konektivitas!$B$3:$B$563,Z$3)+SUMIFS(Input_Konektivitas!$C$3:$C$563,Input_Konektivitas!$A$3:$A$563,Z$3,Input_Konektivitas!$B$3:$B$563,$A13))</f>
        <v>1</v>
      </c>
      <c r="AA13" s="29">
        <f>IF((COUNTIFS(Input_Konektivitas!$A$3:$A$563,$A13,Input_Konektivitas!$B$3:$B$563,AA$3,Input_Konektivitas!$D$3:$D$563,"&gt;0")+COUNTIFS(Input_Konektivitas!$A$3:$A$563,AA$3,Input_Konektivitas!$B$3:$B$563,$A13,Input_Konektivitas!$D$3:$D$563,"&gt;0"))=0,"",SUMIFS(Input_Konektivitas!$C$3:$C$563,Input_Konektivitas!$A$3:$A$563,$A13,Input_Konektivitas!$B$3:$B$563,AA$3)+SUMIFS(Input_Konektivitas!$C$3:$C$563,Input_Konektivitas!$A$3:$A$563,AA$3,Input_Konektivitas!$B$3:$B$563,$A13))</f>
        <v>1</v>
      </c>
      <c r="AB13" s="29">
        <f>IF((COUNTIFS(Input_Konektivitas!$A$3:$A$563,$A13,Input_Konektivitas!$B$3:$B$563,AB$3,Input_Konektivitas!$D$3:$D$563,"&gt;0")+COUNTIFS(Input_Konektivitas!$A$3:$A$563,AB$3,Input_Konektivitas!$B$3:$B$563,$A13,Input_Konektivitas!$D$3:$D$563,"&gt;0"))=0,"",SUMIFS(Input_Konektivitas!$C$3:$C$563,Input_Konektivitas!$A$3:$A$563,$A13,Input_Konektivitas!$B$3:$B$563,AB$3)+SUMIFS(Input_Konektivitas!$C$3:$C$563,Input_Konektivitas!$A$3:$A$563,AB$3,Input_Konektivitas!$B$3:$B$563,$A13))</f>
        <v>1</v>
      </c>
      <c r="AC13" s="29">
        <f>IF((COUNTIFS(Input_Konektivitas!$A$3:$A$563,$A13,Input_Konektivitas!$B$3:$B$563,AC$3,Input_Konektivitas!$D$3:$D$563,"&gt;0")+COUNTIFS(Input_Konektivitas!$A$3:$A$563,AC$3,Input_Konektivitas!$B$3:$B$563,$A13,Input_Konektivitas!$D$3:$D$563,"&gt;0"))=0,"",SUMIFS(Input_Konektivitas!$C$3:$C$563,Input_Konektivitas!$A$3:$A$563,$A13,Input_Konektivitas!$B$3:$B$563,AC$3)+SUMIFS(Input_Konektivitas!$C$3:$C$563,Input_Konektivitas!$A$3:$A$563,AC$3,Input_Konektivitas!$B$3:$B$563,$A13))</f>
        <v>1</v>
      </c>
      <c r="AD13" s="29">
        <f>IF((COUNTIFS(Input_Konektivitas!$A$3:$A$563,$A13,Input_Konektivitas!$B$3:$B$563,AD$3,Input_Konektivitas!$D$3:$D$563,"&gt;0")+COUNTIFS(Input_Konektivitas!$A$3:$A$563,AD$3,Input_Konektivitas!$B$3:$B$563,$A13,Input_Konektivitas!$D$3:$D$563,"&gt;0"))=0,"",SUMIFS(Input_Konektivitas!$C$3:$C$563,Input_Konektivitas!$A$3:$A$563,$A13,Input_Konektivitas!$B$3:$B$563,AD$3)+SUMIFS(Input_Konektivitas!$C$3:$C$563,Input_Konektivitas!$A$3:$A$563,AD$3,Input_Konektivitas!$B$3:$B$563,$A13))</f>
        <v>1</v>
      </c>
      <c r="AE13" s="29">
        <f>IF((COUNTIFS(Input_Konektivitas!$A$3:$A$563,$A13,Input_Konektivitas!$B$3:$B$563,AE$3,Input_Konektivitas!$D$3:$D$563,"&gt;0")+COUNTIFS(Input_Konektivitas!$A$3:$A$563,AE$3,Input_Konektivitas!$B$3:$B$563,$A13,Input_Konektivitas!$D$3:$D$563,"&gt;0"))=0,"",SUMIFS(Input_Konektivitas!$C$3:$C$563,Input_Konektivitas!$A$3:$A$563,$A13,Input_Konektivitas!$B$3:$B$563,AE$3)+SUMIFS(Input_Konektivitas!$C$3:$C$563,Input_Konektivitas!$A$3:$A$563,AE$3,Input_Konektivitas!$B$3:$B$563,$A13))</f>
        <v>2</v>
      </c>
      <c r="AF13" s="29">
        <f>IF((COUNTIFS(Input_Konektivitas!$A$3:$A$563,$A13,Input_Konektivitas!$B$3:$B$563,AF$3,Input_Konektivitas!$D$3:$D$563,"&gt;0")+COUNTIFS(Input_Konektivitas!$A$3:$A$563,AF$3,Input_Konektivitas!$B$3:$B$563,$A13,Input_Konektivitas!$D$3:$D$563,"&gt;0"))=0,"",SUMIFS(Input_Konektivitas!$C$3:$C$563,Input_Konektivitas!$A$3:$A$563,$A13,Input_Konektivitas!$B$3:$B$563,AF$3)+SUMIFS(Input_Konektivitas!$C$3:$C$563,Input_Konektivitas!$A$3:$A$563,AF$3,Input_Konektivitas!$B$3:$B$563,$A13))</f>
        <v>1</v>
      </c>
      <c r="AG13" s="29">
        <f>IF((COUNTIFS(Input_Konektivitas!$A$3:$A$563,$A13,Input_Konektivitas!$B$3:$B$563,AG$3,Input_Konektivitas!$D$3:$D$563,"&gt;0")+COUNTIFS(Input_Konektivitas!$A$3:$A$563,AG$3,Input_Konektivitas!$B$3:$B$563,$A13,Input_Konektivitas!$D$3:$D$563,"&gt;0"))=0,"",SUMIFS(Input_Konektivitas!$C$3:$C$563,Input_Konektivitas!$A$3:$A$563,$A13,Input_Konektivitas!$B$3:$B$563,AG$3)+SUMIFS(Input_Konektivitas!$C$3:$C$563,Input_Konektivitas!$A$3:$A$563,AG$3,Input_Konektivitas!$B$3:$B$563,$A13))</f>
        <v>1</v>
      </c>
      <c r="AH13" s="29">
        <f>IF((COUNTIFS(Input_Konektivitas!$A$3:$A$563,$A13,Input_Konektivitas!$B$3:$B$563,AH$3,Input_Konektivitas!$D$3:$D$563,"&gt;0")+COUNTIFS(Input_Konektivitas!$A$3:$A$563,AH$3,Input_Konektivitas!$B$3:$B$563,$A13,Input_Konektivitas!$D$3:$D$563,"&gt;0"))=0,"",SUMIFS(Input_Konektivitas!$C$3:$C$563,Input_Konektivitas!$A$3:$A$563,$A13,Input_Konektivitas!$B$3:$B$563,AH$3)+SUMIFS(Input_Konektivitas!$C$3:$C$563,Input_Konektivitas!$A$3:$A$563,AH$3,Input_Konektivitas!$B$3:$B$563,$A13))</f>
        <v>1</v>
      </c>
      <c r="AI13" s="29">
        <f>IF((COUNTIFS(Input_Konektivitas!$A$3:$A$563,$A13,Input_Konektivitas!$B$3:$B$563,AI$3,Input_Konektivitas!$D$3:$D$563,"&gt;0")+COUNTIFS(Input_Konektivitas!$A$3:$A$563,AI$3,Input_Konektivitas!$B$3:$B$563,$A13,Input_Konektivitas!$D$3:$D$563,"&gt;0"))=0,"",SUMIFS(Input_Konektivitas!$C$3:$C$563,Input_Konektivitas!$A$3:$A$563,$A13,Input_Konektivitas!$B$3:$B$563,AI$3)+SUMIFS(Input_Konektivitas!$C$3:$C$563,Input_Konektivitas!$A$3:$A$563,AI$3,Input_Konektivitas!$B$3:$B$563,$A13))</f>
        <v>1</v>
      </c>
    </row>
    <row r="14" ht="14.25" customHeight="1">
      <c r="A14" s="22" t="s">
        <v>31</v>
      </c>
      <c r="B14" s="29">
        <f>IF((COUNTIFS(Input_Konektivitas!$A$3:$A$563,$A14,Input_Konektivitas!$B$3:$B$563,B$3,Input_Konektivitas!$D$3:$D$563,"&gt;0")+COUNTIFS(Input_Konektivitas!$A$3:$A$563,B$3,Input_Konektivitas!$B$3:$B$563,$A14,Input_Konektivitas!$D$3:$D$563,"&gt;0"))=0,"",SUMIFS(Input_Konektivitas!$C$3:$C$563,Input_Konektivitas!$A$3:$A$563,$A14,Input_Konektivitas!$B$3:$B$563,B$3)+SUMIFS(Input_Konektivitas!$C$3:$C$563,Input_Konektivitas!$A$3:$A$563,B$3,Input_Konektivitas!$B$3:$B$563,$A14))</f>
        <v>0</v>
      </c>
      <c r="C14" s="29">
        <f>IF((COUNTIFS(Input_Konektivitas!$A$3:$A$563,$A14,Input_Konektivitas!$B$3:$B$563,C$3,Input_Konektivitas!$D$3:$D$563,"&gt;0")+COUNTIFS(Input_Konektivitas!$A$3:$A$563,C$3,Input_Konektivitas!$B$3:$B$563,$A14,Input_Konektivitas!$D$3:$D$563,"&gt;0"))=0,"",SUMIFS(Input_Konektivitas!$C$3:$C$563,Input_Konektivitas!$A$3:$A$563,$A14,Input_Konektivitas!$B$3:$B$563,C$3)+SUMIFS(Input_Konektivitas!$C$3:$C$563,Input_Konektivitas!$A$3:$A$563,C$3,Input_Konektivitas!$B$3:$B$563,$A14))</f>
        <v>1</v>
      </c>
      <c r="D14" s="29">
        <f>IF((COUNTIFS(Input_Konektivitas!$A$3:$A$563,$A14,Input_Konektivitas!$B$3:$B$563,D$3,Input_Konektivitas!$D$3:$D$563,"&gt;0")+COUNTIFS(Input_Konektivitas!$A$3:$A$563,D$3,Input_Konektivitas!$B$3:$B$563,$A14,Input_Konektivitas!$D$3:$D$563,"&gt;0"))=0,"",SUMIFS(Input_Konektivitas!$C$3:$C$563,Input_Konektivitas!$A$3:$A$563,$A14,Input_Konektivitas!$B$3:$B$563,D$3)+SUMIFS(Input_Konektivitas!$C$3:$C$563,Input_Konektivitas!$A$3:$A$563,D$3,Input_Konektivitas!$B$3:$B$563,$A14))</f>
        <v>0</v>
      </c>
      <c r="E14" s="29">
        <f>IF((COUNTIFS(Input_Konektivitas!$A$3:$A$563,$A14,Input_Konektivitas!$B$3:$B$563,E$3,Input_Konektivitas!$D$3:$D$563,"&gt;0")+COUNTIFS(Input_Konektivitas!$A$3:$A$563,E$3,Input_Konektivitas!$B$3:$B$563,$A14,Input_Konektivitas!$D$3:$D$563,"&gt;0"))=0,"",SUMIFS(Input_Konektivitas!$C$3:$C$563,Input_Konektivitas!$A$3:$A$563,$A14,Input_Konektivitas!$B$3:$B$563,E$3)+SUMIFS(Input_Konektivitas!$C$3:$C$563,Input_Konektivitas!$A$3:$A$563,E$3,Input_Konektivitas!$B$3:$B$563,$A14))</f>
        <v>1</v>
      </c>
      <c r="F14" s="29">
        <f>IF((COUNTIFS(Input_Konektivitas!$A$3:$A$563,$A14,Input_Konektivitas!$B$3:$B$563,F$3,Input_Konektivitas!$D$3:$D$563,"&gt;0")+COUNTIFS(Input_Konektivitas!$A$3:$A$563,F$3,Input_Konektivitas!$B$3:$B$563,$A14,Input_Konektivitas!$D$3:$D$563,"&gt;0"))=0,"",SUMIFS(Input_Konektivitas!$C$3:$C$563,Input_Konektivitas!$A$3:$A$563,$A14,Input_Konektivitas!$B$3:$B$563,F$3)+SUMIFS(Input_Konektivitas!$C$3:$C$563,Input_Konektivitas!$A$3:$A$563,F$3,Input_Konektivitas!$B$3:$B$563,$A14))</f>
        <v>1</v>
      </c>
      <c r="G14" s="29">
        <f>IF((COUNTIFS(Input_Konektivitas!$A$3:$A$563,$A14,Input_Konektivitas!$B$3:$B$563,G$3,Input_Konektivitas!$D$3:$D$563,"&gt;0")+COUNTIFS(Input_Konektivitas!$A$3:$A$563,G$3,Input_Konektivitas!$B$3:$B$563,$A14,Input_Konektivitas!$D$3:$D$563,"&gt;0"))=0,"",SUMIFS(Input_Konektivitas!$C$3:$C$563,Input_Konektivitas!$A$3:$A$563,$A14,Input_Konektivitas!$B$3:$B$563,G$3)+SUMIFS(Input_Konektivitas!$C$3:$C$563,Input_Konektivitas!$A$3:$A$563,G$3,Input_Konektivitas!$B$3:$B$563,$A14))</f>
        <v>1</v>
      </c>
      <c r="H14" s="29">
        <f>IF((COUNTIFS(Input_Konektivitas!$A$3:$A$563,$A14,Input_Konektivitas!$B$3:$B$563,H$3,Input_Konektivitas!$D$3:$D$563,"&gt;0")+COUNTIFS(Input_Konektivitas!$A$3:$A$563,H$3,Input_Konektivitas!$B$3:$B$563,$A14,Input_Konektivitas!$D$3:$D$563,"&gt;0"))=0,"",SUMIFS(Input_Konektivitas!$C$3:$C$563,Input_Konektivitas!$A$3:$A$563,$A14,Input_Konektivitas!$B$3:$B$563,H$3)+SUMIFS(Input_Konektivitas!$C$3:$C$563,Input_Konektivitas!$A$3:$A$563,H$3,Input_Konektivitas!$B$3:$B$563,$A14))</f>
        <v>0</v>
      </c>
      <c r="I14" s="29">
        <f>IF((COUNTIFS(Input_Konektivitas!$A$3:$A$563,$A14,Input_Konektivitas!$B$3:$B$563,I$3,Input_Konektivitas!$D$3:$D$563,"&gt;0")+COUNTIFS(Input_Konektivitas!$A$3:$A$563,I$3,Input_Konektivitas!$B$3:$B$563,$A14,Input_Konektivitas!$D$3:$D$563,"&gt;0"))=0,"",SUMIFS(Input_Konektivitas!$C$3:$C$563,Input_Konektivitas!$A$3:$A$563,$A14,Input_Konektivitas!$B$3:$B$563,I$3)+SUMIFS(Input_Konektivitas!$C$3:$C$563,Input_Konektivitas!$A$3:$A$563,I$3,Input_Konektivitas!$B$3:$B$563,$A14))</f>
        <v>0</v>
      </c>
      <c r="J14" s="29">
        <f>IF((COUNTIFS(Input_Konektivitas!$A$3:$A$563,$A14,Input_Konektivitas!$B$3:$B$563,J$3,Input_Konektivitas!$D$3:$D$563,"&gt;0")+COUNTIFS(Input_Konektivitas!$A$3:$A$563,J$3,Input_Konektivitas!$B$3:$B$563,$A14,Input_Konektivitas!$D$3:$D$563,"&gt;0"))=0,"",SUMIFS(Input_Konektivitas!$C$3:$C$563,Input_Konektivitas!$A$3:$A$563,$A14,Input_Konektivitas!$B$3:$B$563,J$3)+SUMIFS(Input_Konektivitas!$C$3:$C$563,Input_Konektivitas!$A$3:$A$563,J$3,Input_Konektivitas!$B$3:$B$563,$A14))</f>
        <v>1</v>
      </c>
      <c r="K14" s="29">
        <f>IF((COUNTIFS(Input_Konektivitas!$A$3:$A$563,$A14,Input_Konektivitas!$B$3:$B$563,K$3,Input_Konektivitas!$D$3:$D$563,"&gt;0")+COUNTIFS(Input_Konektivitas!$A$3:$A$563,K$3,Input_Konektivitas!$B$3:$B$563,$A14,Input_Konektivitas!$D$3:$D$563,"&gt;0"))=0,"",SUMIFS(Input_Konektivitas!$C$3:$C$563,Input_Konektivitas!$A$3:$A$563,$A14,Input_Konektivitas!$B$3:$B$563,K$3)+SUMIFS(Input_Konektivitas!$C$3:$C$563,Input_Konektivitas!$A$3:$A$563,K$3,Input_Konektivitas!$B$3:$B$563,$A14))</f>
        <v>0</v>
      </c>
      <c r="L14" s="26">
        <v>0.0</v>
      </c>
      <c r="M14" s="29">
        <f>IF((COUNTIFS(Input_Konektivitas!$A$3:$A$563,$A14,Input_Konektivitas!$B$3:$B$563,M$3,Input_Konektivitas!$D$3:$D$563,"&gt;0")+COUNTIFS(Input_Konektivitas!$A$3:$A$563,M$3,Input_Konektivitas!$B$3:$B$563,$A14,Input_Konektivitas!$D$3:$D$563,"&gt;0"))=0,"",SUMIFS(Input_Konektivitas!$C$3:$C$563,Input_Konektivitas!$A$3:$A$563,$A14,Input_Konektivitas!$B$3:$B$563,M$3)+SUMIFS(Input_Konektivitas!$C$3:$C$563,Input_Konektivitas!$A$3:$A$563,M$3,Input_Konektivitas!$B$3:$B$563,$A14))</f>
        <v>1</v>
      </c>
      <c r="N14" s="29">
        <f>IF((COUNTIFS(Input_Konektivitas!$A$3:$A$563,$A14,Input_Konektivitas!$B$3:$B$563,N$3,Input_Konektivitas!$D$3:$D$563,"&gt;0")+COUNTIFS(Input_Konektivitas!$A$3:$A$563,N$3,Input_Konektivitas!$B$3:$B$563,$A14,Input_Konektivitas!$D$3:$D$563,"&gt;0"))=0,"",SUMIFS(Input_Konektivitas!$C$3:$C$563,Input_Konektivitas!$A$3:$A$563,$A14,Input_Konektivitas!$B$3:$B$563,N$3)+SUMIFS(Input_Konektivitas!$C$3:$C$563,Input_Konektivitas!$A$3:$A$563,N$3,Input_Konektivitas!$B$3:$B$563,$A14))</f>
        <v>0</v>
      </c>
      <c r="O14" s="29">
        <f>IF((COUNTIFS(Input_Konektivitas!$A$3:$A$563,$A14,Input_Konektivitas!$B$3:$B$563,O$3,Input_Konektivitas!$D$3:$D$563,"&gt;0")+COUNTIFS(Input_Konektivitas!$A$3:$A$563,O$3,Input_Konektivitas!$B$3:$B$563,$A14,Input_Konektivitas!$D$3:$D$563,"&gt;0"))=0,"",SUMIFS(Input_Konektivitas!$C$3:$C$563,Input_Konektivitas!$A$3:$A$563,$A14,Input_Konektivitas!$B$3:$B$563,O$3)+SUMIFS(Input_Konektivitas!$C$3:$C$563,Input_Konektivitas!$A$3:$A$563,O$3,Input_Konektivitas!$B$3:$B$563,$A14))</f>
        <v>0</v>
      </c>
      <c r="P14" s="29">
        <f>IF((COUNTIFS(Input_Konektivitas!$A$3:$A$563,$A14,Input_Konektivitas!$B$3:$B$563,P$3,Input_Konektivitas!$D$3:$D$563,"&gt;0")+COUNTIFS(Input_Konektivitas!$A$3:$A$563,P$3,Input_Konektivitas!$B$3:$B$563,$A14,Input_Konektivitas!$D$3:$D$563,"&gt;0"))=0,"",SUMIFS(Input_Konektivitas!$C$3:$C$563,Input_Konektivitas!$A$3:$A$563,$A14,Input_Konektivitas!$B$3:$B$563,P$3)+SUMIFS(Input_Konektivitas!$C$3:$C$563,Input_Konektivitas!$A$3:$A$563,P$3,Input_Konektivitas!$B$3:$B$563,$A14))</f>
        <v>0</v>
      </c>
      <c r="Q14" s="29" t="str">
        <f>IF((COUNTIFS(Input_Konektivitas!$A$3:$A$563,$A14,Input_Konektivitas!$B$3:$B$563,Q$3,Input_Konektivitas!$D$3:$D$563,"&gt;0")+COUNTIFS(Input_Konektivitas!$A$3:$A$563,Q$3,Input_Konektivitas!$B$3:$B$563,$A14,Input_Konektivitas!$D$3:$D$563,"&gt;0"))=0,"",SUMIFS(Input_Konektivitas!$C$3:$C$563,Input_Konektivitas!$A$3:$A$563,$A14,Input_Konektivitas!$B$3:$B$563,Q$3)+SUMIFS(Input_Konektivitas!$C$3:$C$563,Input_Konektivitas!$A$3:$A$563,Q$3,Input_Konektivitas!$B$3:$B$563,$A14))</f>
        <v/>
      </c>
      <c r="R14" s="29">
        <f>IF((COUNTIFS(Input_Konektivitas!$A$3:$A$563,$A14,Input_Konektivitas!$B$3:$B$563,R$3,Input_Konektivitas!$D$3:$D$563,"&gt;0")+COUNTIFS(Input_Konektivitas!$A$3:$A$563,R$3,Input_Konektivitas!$B$3:$B$563,$A14,Input_Konektivitas!$D$3:$D$563,"&gt;0"))=0,"",SUMIFS(Input_Konektivitas!$C$3:$C$563,Input_Konektivitas!$A$3:$A$563,$A14,Input_Konektivitas!$B$3:$B$563,R$3)+SUMIFS(Input_Konektivitas!$C$3:$C$563,Input_Konektivitas!$A$3:$A$563,R$3,Input_Konektivitas!$B$3:$B$563,$A14))</f>
        <v>0</v>
      </c>
      <c r="S14" s="29">
        <f>IF((COUNTIFS(Input_Konektivitas!$A$3:$A$563,$A14,Input_Konektivitas!$B$3:$B$563,S$3,Input_Konektivitas!$D$3:$D$563,"&gt;0")+COUNTIFS(Input_Konektivitas!$A$3:$A$563,S$3,Input_Konektivitas!$B$3:$B$563,$A14,Input_Konektivitas!$D$3:$D$563,"&gt;0"))=0,"",SUMIFS(Input_Konektivitas!$C$3:$C$563,Input_Konektivitas!$A$3:$A$563,$A14,Input_Konektivitas!$B$3:$B$563,S$3)+SUMIFS(Input_Konektivitas!$C$3:$C$563,Input_Konektivitas!$A$3:$A$563,S$3,Input_Konektivitas!$B$3:$B$563,$A14))</f>
        <v>0</v>
      </c>
      <c r="T14" s="29">
        <f>IF((COUNTIFS(Input_Konektivitas!$A$3:$A$563,$A14,Input_Konektivitas!$B$3:$B$563,T$3,Input_Konektivitas!$D$3:$D$563,"&gt;0")+COUNTIFS(Input_Konektivitas!$A$3:$A$563,T$3,Input_Konektivitas!$B$3:$B$563,$A14,Input_Konektivitas!$D$3:$D$563,"&gt;0"))=0,"",SUMIFS(Input_Konektivitas!$C$3:$C$563,Input_Konektivitas!$A$3:$A$563,$A14,Input_Konektivitas!$B$3:$B$563,T$3)+SUMIFS(Input_Konektivitas!$C$3:$C$563,Input_Konektivitas!$A$3:$A$563,T$3,Input_Konektivitas!$B$3:$B$563,$A14))</f>
        <v>0</v>
      </c>
      <c r="U14" s="29">
        <f>IF((COUNTIFS(Input_Konektivitas!$A$3:$A$563,$A14,Input_Konektivitas!$B$3:$B$563,U$3,Input_Konektivitas!$D$3:$D$563,"&gt;0")+COUNTIFS(Input_Konektivitas!$A$3:$A$563,U$3,Input_Konektivitas!$B$3:$B$563,$A14,Input_Konektivitas!$D$3:$D$563,"&gt;0"))=0,"",SUMIFS(Input_Konektivitas!$C$3:$C$563,Input_Konektivitas!$A$3:$A$563,$A14,Input_Konektivitas!$B$3:$B$563,U$3)+SUMIFS(Input_Konektivitas!$C$3:$C$563,Input_Konektivitas!$A$3:$A$563,U$3,Input_Konektivitas!$B$3:$B$563,$A14))</f>
        <v>0</v>
      </c>
      <c r="V14" s="29">
        <f>IF((COUNTIFS(Input_Konektivitas!$A$3:$A$563,$A14,Input_Konektivitas!$B$3:$B$563,V$3,Input_Konektivitas!$D$3:$D$563,"&gt;0")+COUNTIFS(Input_Konektivitas!$A$3:$A$563,V$3,Input_Konektivitas!$B$3:$B$563,$A14,Input_Konektivitas!$D$3:$D$563,"&gt;0"))=0,"",SUMIFS(Input_Konektivitas!$C$3:$C$563,Input_Konektivitas!$A$3:$A$563,$A14,Input_Konektivitas!$B$3:$B$563,V$3)+SUMIFS(Input_Konektivitas!$C$3:$C$563,Input_Konektivitas!$A$3:$A$563,V$3,Input_Konektivitas!$B$3:$B$563,$A14))</f>
        <v>0</v>
      </c>
      <c r="W14" s="29">
        <f>IF((COUNTIFS(Input_Konektivitas!$A$3:$A$563,$A14,Input_Konektivitas!$B$3:$B$563,W$3,Input_Konektivitas!$D$3:$D$563,"&gt;0")+COUNTIFS(Input_Konektivitas!$A$3:$A$563,W$3,Input_Konektivitas!$B$3:$B$563,$A14,Input_Konektivitas!$D$3:$D$563,"&gt;0"))=0,"",SUMIFS(Input_Konektivitas!$C$3:$C$563,Input_Konektivitas!$A$3:$A$563,$A14,Input_Konektivitas!$B$3:$B$563,W$3)+SUMIFS(Input_Konektivitas!$C$3:$C$563,Input_Konektivitas!$A$3:$A$563,W$3,Input_Konektivitas!$B$3:$B$563,$A14))</f>
        <v>0</v>
      </c>
      <c r="X14" s="29">
        <f>IF((COUNTIFS(Input_Konektivitas!$A$3:$A$563,$A14,Input_Konektivitas!$B$3:$B$563,X$3,Input_Konektivitas!$D$3:$D$563,"&gt;0")+COUNTIFS(Input_Konektivitas!$A$3:$A$563,X$3,Input_Konektivitas!$B$3:$B$563,$A14,Input_Konektivitas!$D$3:$D$563,"&gt;0"))=0,"",SUMIFS(Input_Konektivitas!$C$3:$C$563,Input_Konektivitas!$A$3:$A$563,$A14,Input_Konektivitas!$B$3:$B$563,X$3)+SUMIFS(Input_Konektivitas!$C$3:$C$563,Input_Konektivitas!$A$3:$A$563,X$3,Input_Konektivitas!$B$3:$B$563,$A14))</f>
        <v>0</v>
      </c>
      <c r="Y14" s="29">
        <f>IF((COUNTIFS(Input_Konektivitas!$A$3:$A$563,$A14,Input_Konektivitas!$B$3:$B$563,Y$3,Input_Konektivitas!$D$3:$D$563,"&gt;0")+COUNTIFS(Input_Konektivitas!$A$3:$A$563,Y$3,Input_Konektivitas!$B$3:$B$563,$A14,Input_Konektivitas!$D$3:$D$563,"&gt;0"))=0,"",SUMIFS(Input_Konektivitas!$C$3:$C$563,Input_Konektivitas!$A$3:$A$563,$A14,Input_Konektivitas!$B$3:$B$563,Y$3)+SUMIFS(Input_Konektivitas!$C$3:$C$563,Input_Konektivitas!$A$3:$A$563,Y$3,Input_Konektivitas!$B$3:$B$563,$A14))</f>
        <v>0</v>
      </c>
      <c r="Z14" s="29">
        <f>IF((COUNTIFS(Input_Konektivitas!$A$3:$A$563,$A14,Input_Konektivitas!$B$3:$B$563,Z$3,Input_Konektivitas!$D$3:$D$563,"&gt;0")+COUNTIFS(Input_Konektivitas!$A$3:$A$563,Z$3,Input_Konektivitas!$B$3:$B$563,$A14,Input_Konektivitas!$D$3:$D$563,"&gt;0"))=0,"",SUMIFS(Input_Konektivitas!$C$3:$C$563,Input_Konektivitas!$A$3:$A$563,$A14,Input_Konektivitas!$B$3:$B$563,Z$3)+SUMIFS(Input_Konektivitas!$C$3:$C$563,Input_Konektivitas!$A$3:$A$563,Z$3,Input_Konektivitas!$B$3:$B$563,$A14))</f>
        <v>0</v>
      </c>
      <c r="AA14" s="29">
        <f>IF((COUNTIFS(Input_Konektivitas!$A$3:$A$563,$A14,Input_Konektivitas!$B$3:$B$563,AA$3,Input_Konektivitas!$D$3:$D$563,"&gt;0")+COUNTIFS(Input_Konektivitas!$A$3:$A$563,AA$3,Input_Konektivitas!$B$3:$B$563,$A14,Input_Konektivitas!$D$3:$D$563,"&gt;0"))=0,"",SUMIFS(Input_Konektivitas!$C$3:$C$563,Input_Konektivitas!$A$3:$A$563,$A14,Input_Konektivitas!$B$3:$B$563,AA$3)+SUMIFS(Input_Konektivitas!$C$3:$C$563,Input_Konektivitas!$A$3:$A$563,AA$3,Input_Konektivitas!$B$3:$B$563,$A14))</f>
        <v>1</v>
      </c>
      <c r="AB14" s="29">
        <f>IF((COUNTIFS(Input_Konektivitas!$A$3:$A$563,$A14,Input_Konektivitas!$B$3:$B$563,AB$3,Input_Konektivitas!$D$3:$D$563,"&gt;0")+COUNTIFS(Input_Konektivitas!$A$3:$A$563,AB$3,Input_Konektivitas!$B$3:$B$563,$A14,Input_Konektivitas!$D$3:$D$563,"&gt;0"))=0,"",SUMIFS(Input_Konektivitas!$C$3:$C$563,Input_Konektivitas!$A$3:$A$563,$A14,Input_Konektivitas!$B$3:$B$563,AB$3)+SUMIFS(Input_Konektivitas!$C$3:$C$563,Input_Konektivitas!$A$3:$A$563,AB$3,Input_Konektivitas!$B$3:$B$563,$A14))</f>
        <v>0</v>
      </c>
      <c r="AC14" s="29">
        <f>IF((COUNTIFS(Input_Konektivitas!$A$3:$A$563,$A14,Input_Konektivitas!$B$3:$B$563,AC$3,Input_Konektivitas!$D$3:$D$563,"&gt;0")+COUNTIFS(Input_Konektivitas!$A$3:$A$563,AC$3,Input_Konektivitas!$B$3:$B$563,$A14,Input_Konektivitas!$D$3:$D$563,"&gt;0"))=0,"",SUMIFS(Input_Konektivitas!$C$3:$C$563,Input_Konektivitas!$A$3:$A$563,$A14,Input_Konektivitas!$B$3:$B$563,AC$3)+SUMIFS(Input_Konektivitas!$C$3:$C$563,Input_Konektivitas!$A$3:$A$563,AC$3,Input_Konektivitas!$B$3:$B$563,$A14))</f>
        <v>0</v>
      </c>
      <c r="AD14" s="29">
        <f>IF((COUNTIFS(Input_Konektivitas!$A$3:$A$563,$A14,Input_Konektivitas!$B$3:$B$563,AD$3,Input_Konektivitas!$D$3:$D$563,"&gt;0")+COUNTIFS(Input_Konektivitas!$A$3:$A$563,AD$3,Input_Konektivitas!$B$3:$B$563,$A14,Input_Konektivitas!$D$3:$D$563,"&gt;0"))=0,"",SUMIFS(Input_Konektivitas!$C$3:$C$563,Input_Konektivitas!$A$3:$A$563,$A14,Input_Konektivitas!$B$3:$B$563,AD$3)+SUMIFS(Input_Konektivitas!$C$3:$C$563,Input_Konektivitas!$A$3:$A$563,AD$3,Input_Konektivitas!$B$3:$B$563,$A14))</f>
        <v>0</v>
      </c>
      <c r="AE14" s="29">
        <f>IF((COUNTIFS(Input_Konektivitas!$A$3:$A$563,$A14,Input_Konektivitas!$B$3:$B$563,AE$3,Input_Konektivitas!$D$3:$D$563,"&gt;0")+COUNTIFS(Input_Konektivitas!$A$3:$A$563,AE$3,Input_Konektivitas!$B$3:$B$563,$A14,Input_Konektivitas!$D$3:$D$563,"&gt;0"))=0,"",SUMIFS(Input_Konektivitas!$C$3:$C$563,Input_Konektivitas!$A$3:$A$563,$A14,Input_Konektivitas!$B$3:$B$563,AE$3)+SUMIFS(Input_Konektivitas!$C$3:$C$563,Input_Konektivitas!$A$3:$A$563,AE$3,Input_Konektivitas!$B$3:$B$563,$A14))</f>
        <v>1</v>
      </c>
      <c r="AF14" s="29">
        <f>IF((COUNTIFS(Input_Konektivitas!$A$3:$A$563,$A14,Input_Konektivitas!$B$3:$B$563,AF$3,Input_Konektivitas!$D$3:$D$563,"&gt;0")+COUNTIFS(Input_Konektivitas!$A$3:$A$563,AF$3,Input_Konektivitas!$B$3:$B$563,$A14,Input_Konektivitas!$D$3:$D$563,"&gt;0"))=0,"",SUMIFS(Input_Konektivitas!$C$3:$C$563,Input_Konektivitas!$A$3:$A$563,$A14,Input_Konektivitas!$B$3:$B$563,AF$3)+SUMIFS(Input_Konektivitas!$C$3:$C$563,Input_Konektivitas!$A$3:$A$563,AF$3,Input_Konektivitas!$B$3:$B$563,$A14))</f>
        <v>0</v>
      </c>
      <c r="AG14" s="29">
        <f>IF((COUNTIFS(Input_Konektivitas!$A$3:$A$563,$A14,Input_Konektivitas!$B$3:$B$563,AG$3,Input_Konektivitas!$D$3:$D$563,"&gt;0")+COUNTIFS(Input_Konektivitas!$A$3:$A$563,AG$3,Input_Konektivitas!$B$3:$B$563,$A14,Input_Konektivitas!$D$3:$D$563,"&gt;0"))=0,"",SUMIFS(Input_Konektivitas!$C$3:$C$563,Input_Konektivitas!$A$3:$A$563,$A14,Input_Konektivitas!$B$3:$B$563,AG$3)+SUMIFS(Input_Konektivitas!$C$3:$C$563,Input_Konektivitas!$A$3:$A$563,AG$3,Input_Konektivitas!$B$3:$B$563,$A14))</f>
        <v>0</v>
      </c>
      <c r="AH14" s="29">
        <f>IF((COUNTIFS(Input_Konektivitas!$A$3:$A$563,$A14,Input_Konektivitas!$B$3:$B$563,AH$3,Input_Konektivitas!$D$3:$D$563,"&gt;0")+COUNTIFS(Input_Konektivitas!$A$3:$A$563,AH$3,Input_Konektivitas!$B$3:$B$563,$A14,Input_Konektivitas!$D$3:$D$563,"&gt;0"))=0,"",SUMIFS(Input_Konektivitas!$C$3:$C$563,Input_Konektivitas!$A$3:$A$563,$A14,Input_Konektivitas!$B$3:$B$563,AH$3)+SUMIFS(Input_Konektivitas!$C$3:$C$563,Input_Konektivitas!$A$3:$A$563,AH$3,Input_Konektivitas!$B$3:$B$563,$A14))</f>
        <v>0</v>
      </c>
      <c r="AI14" s="29">
        <f>IF((COUNTIFS(Input_Konektivitas!$A$3:$A$563,$A14,Input_Konektivitas!$B$3:$B$563,AI$3,Input_Konektivitas!$D$3:$D$563,"&gt;0")+COUNTIFS(Input_Konektivitas!$A$3:$A$563,AI$3,Input_Konektivitas!$B$3:$B$563,$A14,Input_Konektivitas!$D$3:$D$563,"&gt;0"))=0,"",SUMIFS(Input_Konektivitas!$C$3:$C$563,Input_Konektivitas!$A$3:$A$563,$A14,Input_Konektivitas!$B$3:$B$563,AI$3)+SUMIFS(Input_Konektivitas!$C$3:$C$563,Input_Konektivitas!$A$3:$A$563,AI$3,Input_Konektivitas!$B$3:$B$563,$A14))</f>
        <v>0</v>
      </c>
    </row>
    <row r="15" ht="14.25" customHeight="1">
      <c r="A15" s="22" t="s">
        <v>33</v>
      </c>
      <c r="B15" s="29">
        <f>IF((COUNTIFS(Input_Konektivitas!$A$3:$A$563,$A15,Input_Konektivitas!$B$3:$B$563,B$3,Input_Konektivitas!$D$3:$D$563,"&gt;0")+COUNTIFS(Input_Konektivitas!$A$3:$A$563,B$3,Input_Konektivitas!$B$3:$B$563,$A15,Input_Konektivitas!$D$3:$D$563,"&gt;0"))=0,"",SUMIFS(Input_Konektivitas!$C$3:$C$563,Input_Konektivitas!$A$3:$A$563,$A15,Input_Konektivitas!$B$3:$B$563,B$3)+SUMIFS(Input_Konektivitas!$C$3:$C$563,Input_Konektivitas!$A$3:$A$563,B$3,Input_Konektivitas!$B$3:$B$563,$A15))</f>
        <v>2</v>
      </c>
      <c r="C15" s="29">
        <f>IF((COUNTIFS(Input_Konektivitas!$A$3:$A$563,$A15,Input_Konektivitas!$B$3:$B$563,C$3,Input_Konektivitas!$D$3:$D$563,"&gt;0")+COUNTIFS(Input_Konektivitas!$A$3:$A$563,C$3,Input_Konektivitas!$B$3:$B$563,$A15,Input_Konektivitas!$D$3:$D$563,"&gt;0"))=0,"",SUMIFS(Input_Konektivitas!$C$3:$C$563,Input_Konektivitas!$A$3:$A$563,$A15,Input_Konektivitas!$B$3:$B$563,C$3)+SUMIFS(Input_Konektivitas!$C$3:$C$563,Input_Konektivitas!$A$3:$A$563,C$3,Input_Konektivitas!$B$3:$B$563,$A15))</f>
        <v>0</v>
      </c>
      <c r="D15" s="29">
        <f>IF((COUNTIFS(Input_Konektivitas!$A$3:$A$563,$A15,Input_Konektivitas!$B$3:$B$563,D$3,Input_Konektivitas!$D$3:$D$563,"&gt;0")+COUNTIFS(Input_Konektivitas!$A$3:$A$563,D$3,Input_Konektivitas!$B$3:$B$563,$A15,Input_Konektivitas!$D$3:$D$563,"&gt;0"))=0,"",SUMIFS(Input_Konektivitas!$C$3:$C$563,Input_Konektivitas!$A$3:$A$563,$A15,Input_Konektivitas!$B$3:$B$563,D$3)+SUMIFS(Input_Konektivitas!$C$3:$C$563,Input_Konektivitas!$A$3:$A$563,D$3,Input_Konektivitas!$B$3:$B$563,$A15))</f>
        <v>2</v>
      </c>
      <c r="E15" s="29">
        <f>IF((COUNTIFS(Input_Konektivitas!$A$3:$A$563,$A15,Input_Konektivitas!$B$3:$B$563,E$3,Input_Konektivitas!$D$3:$D$563,"&gt;0")+COUNTIFS(Input_Konektivitas!$A$3:$A$563,E$3,Input_Konektivitas!$B$3:$B$563,$A15,Input_Konektivitas!$D$3:$D$563,"&gt;0"))=0,"",SUMIFS(Input_Konektivitas!$C$3:$C$563,Input_Konektivitas!$A$3:$A$563,$A15,Input_Konektivitas!$B$3:$B$563,E$3)+SUMIFS(Input_Konektivitas!$C$3:$C$563,Input_Konektivitas!$A$3:$A$563,E$3,Input_Konektivitas!$B$3:$B$563,$A15))</f>
        <v>1</v>
      </c>
      <c r="F15" s="29" t="str">
        <f>IF((COUNTIFS(Input_Konektivitas!$A$3:$A$563,$A15,Input_Konektivitas!$B$3:$B$563,F$3,Input_Konektivitas!$D$3:$D$563,"&gt;0")+COUNTIFS(Input_Konektivitas!$A$3:$A$563,F$3,Input_Konektivitas!$B$3:$B$563,$A15,Input_Konektivitas!$D$3:$D$563,"&gt;0"))=0,"",SUMIFS(Input_Konektivitas!$C$3:$C$563,Input_Konektivitas!$A$3:$A$563,$A15,Input_Konektivitas!$B$3:$B$563,F$3)+SUMIFS(Input_Konektivitas!$C$3:$C$563,Input_Konektivitas!$A$3:$A$563,F$3,Input_Konektivitas!$B$3:$B$563,$A15))</f>
        <v/>
      </c>
      <c r="G15" s="29">
        <f>IF((COUNTIFS(Input_Konektivitas!$A$3:$A$563,$A15,Input_Konektivitas!$B$3:$B$563,G$3,Input_Konektivitas!$D$3:$D$563,"&gt;0")+COUNTIFS(Input_Konektivitas!$A$3:$A$563,G$3,Input_Konektivitas!$B$3:$B$563,$A15,Input_Konektivitas!$D$3:$D$563,"&gt;0"))=0,"",SUMIFS(Input_Konektivitas!$C$3:$C$563,Input_Konektivitas!$A$3:$A$563,$A15,Input_Konektivitas!$B$3:$B$563,G$3)+SUMIFS(Input_Konektivitas!$C$3:$C$563,Input_Konektivitas!$A$3:$A$563,G$3,Input_Konektivitas!$B$3:$B$563,$A15))</f>
        <v>1</v>
      </c>
      <c r="H15" s="29" t="str">
        <f>IF((COUNTIFS(Input_Konektivitas!$A$3:$A$563,$A15,Input_Konektivitas!$B$3:$B$563,H$3,Input_Konektivitas!$D$3:$D$563,"&gt;0")+COUNTIFS(Input_Konektivitas!$A$3:$A$563,H$3,Input_Konektivitas!$B$3:$B$563,$A15,Input_Konektivitas!$D$3:$D$563,"&gt;0"))=0,"",SUMIFS(Input_Konektivitas!$C$3:$C$563,Input_Konektivitas!$A$3:$A$563,$A15,Input_Konektivitas!$B$3:$B$563,H$3)+SUMIFS(Input_Konektivitas!$C$3:$C$563,Input_Konektivitas!$A$3:$A$563,H$3,Input_Konektivitas!$B$3:$B$563,$A15))</f>
        <v/>
      </c>
      <c r="I15" s="29">
        <f>IF((COUNTIFS(Input_Konektivitas!$A$3:$A$563,$A15,Input_Konektivitas!$B$3:$B$563,I$3,Input_Konektivitas!$D$3:$D$563,"&gt;0")+COUNTIFS(Input_Konektivitas!$A$3:$A$563,I$3,Input_Konektivitas!$B$3:$B$563,$A15,Input_Konektivitas!$D$3:$D$563,"&gt;0"))=0,"",SUMIFS(Input_Konektivitas!$C$3:$C$563,Input_Konektivitas!$A$3:$A$563,$A15,Input_Konektivitas!$B$3:$B$563,I$3)+SUMIFS(Input_Konektivitas!$C$3:$C$563,Input_Konektivitas!$A$3:$A$563,I$3,Input_Konektivitas!$B$3:$B$563,$A15))</f>
        <v>2</v>
      </c>
      <c r="J15" s="29" t="str">
        <f>IF((COUNTIFS(Input_Konektivitas!$A$3:$A$563,$A15,Input_Konektivitas!$B$3:$B$563,J$3,Input_Konektivitas!$D$3:$D$563,"&gt;0")+COUNTIFS(Input_Konektivitas!$A$3:$A$563,J$3,Input_Konektivitas!$B$3:$B$563,$A15,Input_Konektivitas!$D$3:$D$563,"&gt;0"))=0,"",SUMIFS(Input_Konektivitas!$C$3:$C$563,Input_Konektivitas!$A$3:$A$563,$A15,Input_Konektivitas!$B$3:$B$563,J$3)+SUMIFS(Input_Konektivitas!$C$3:$C$563,Input_Konektivitas!$A$3:$A$563,J$3,Input_Konektivitas!$B$3:$B$563,$A15))</f>
        <v/>
      </c>
      <c r="K15" s="29" t="str">
        <f>IF((COUNTIFS(Input_Konektivitas!$A$3:$A$563,$A15,Input_Konektivitas!$B$3:$B$563,K$3,Input_Konektivitas!$D$3:$D$563,"&gt;0")+COUNTIFS(Input_Konektivitas!$A$3:$A$563,K$3,Input_Konektivitas!$B$3:$B$563,$A15,Input_Konektivitas!$D$3:$D$563,"&gt;0"))=0,"",SUMIFS(Input_Konektivitas!$C$3:$C$563,Input_Konektivitas!$A$3:$A$563,$A15,Input_Konektivitas!$B$3:$B$563,K$3)+SUMIFS(Input_Konektivitas!$C$3:$C$563,Input_Konektivitas!$A$3:$A$563,K$3,Input_Konektivitas!$B$3:$B$563,$A15))</f>
        <v/>
      </c>
      <c r="L15" s="29">
        <f>IF((COUNTIFS(Input_Konektivitas!$A$3:$A$563,$A15,Input_Konektivitas!$B$3:$B$563,L$3,Input_Konektivitas!$D$3:$D$563,"&gt;0")+COUNTIFS(Input_Konektivitas!$A$3:$A$563,L$3,Input_Konektivitas!$B$3:$B$563,$A15,Input_Konektivitas!$D$3:$D$563,"&gt;0"))=0,"",SUMIFS(Input_Konektivitas!$C$3:$C$563,Input_Konektivitas!$A$3:$A$563,$A15,Input_Konektivitas!$B$3:$B$563,L$3)+SUMIFS(Input_Konektivitas!$C$3:$C$563,Input_Konektivitas!$A$3:$A$563,L$3,Input_Konektivitas!$B$3:$B$563,$A15))</f>
        <v>1</v>
      </c>
      <c r="M15" s="26">
        <v>0.0</v>
      </c>
      <c r="N15" s="29" t="str">
        <f>IF((COUNTIFS(Input_Konektivitas!$A$3:$A$563,$A15,Input_Konektivitas!$B$3:$B$563,N$3,Input_Konektivitas!$D$3:$D$563,"&gt;0")+COUNTIFS(Input_Konektivitas!$A$3:$A$563,N$3,Input_Konektivitas!$B$3:$B$563,$A15,Input_Konektivitas!$D$3:$D$563,"&gt;0"))=0,"",SUMIFS(Input_Konektivitas!$C$3:$C$563,Input_Konektivitas!$A$3:$A$563,$A15,Input_Konektivitas!$B$3:$B$563,N$3)+SUMIFS(Input_Konektivitas!$C$3:$C$563,Input_Konektivitas!$A$3:$A$563,N$3,Input_Konektivitas!$B$3:$B$563,$A15))</f>
        <v/>
      </c>
      <c r="O15" s="29" t="str">
        <f>IF((COUNTIFS(Input_Konektivitas!$A$3:$A$563,$A15,Input_Konektivitas!$B$3:$B$563,O$3,Input_Konektivitas!$D$3:$D$563,"&gt;0")+COUNTIFS(Input_Konektivitas!$A$3:$A$563,O$3,Input_Konektivitas!$B$3:$B$563,$A15,Input_Konektivitas!$D$3:$D$563,"&gt;0"))=0,"",SUMIFS(Input_Konektivitas!$C$3:$C$563,Input_Konektivitas!$A$3:$A$563,$A15,Input_Konektivitas!$B$3:$B$563,O$3)+SUMIFS(Input_Konektivitas!$C$3:$C$563,Input_Konektivitas!$A$3:$A$563,O$3,Input_Konektivitas!$B$3:$B$563,$A15))</f>
        <v/>
      </c>
      <c r="P15" s="29">
        <f>IF((COUNTIFS(Input_Konektivitas!$A$3:$A$563,$A15,Input_Konektivitas!$B$3:$B$563,P$3,Input_Konektivitas!$D$3:$D$563,"&gt;0")+COUNTIFS(Input_Konektivitas!$A$3:$A$563,P$3,Input_Konektivitas!$B$3:$B$563,$A15,Input_Konektivitas!$D$3:$D$563,"&gt;0"))=0,"",SUMIFS(Input_Konektivitas!$C$3:$C$563,Input_Konektivitas!$A$3:$A$563,$A15,Input_Konektivitas!$B$3:$B$563,P$3)+SUMIFS(Input_Konektivitas!$C$3:$C$563,Input_Konektivitas!$A$3:$A$563,P$3,Input_Konektivitas!$B$3:$B$563,$A15))</f>
        <v>0</v>
      </c>
      <c r="Q15" s="29" t="str">
        <f>IF((COUNTIFS(Input_Konektivitas!$A$3:$A$563,$A15,Input_Konektivitas!$B$3:$B$563,Q$3,Input_Konektivitas!$D$3:$D$563,"&gt;0")+COUNTIFS(Input_Konektivitas!$A$3:$A$563,Q$3,Input_Konektivitas!$B$3:$B$563,$A15,Input_Konektivitas!$D$3:$D$563,"&gt;0"))=0,"",SUMIFS(Input_Konektivitas!$C$3:$C$563,Input_Konektivitas!$A$3:$A$563,$A15,Input_Konektivitas!$B$3:$B$563,Q$3)+SUMIFS(Input_Konektivitas!$C$3:$C$563,Input_Konektivitas!$A$3:$A$563,Q$3,Input_Konektivitas!$B$3:$B$563,$A15))</f>
        <v/>
      </c>
      <c r="R15" s="29">
        <f>IF((COUNTIFS(Input_Konektivitas!$A$3:$A$563,$A15,Input_Konektivitas!$B$3:$B$563,R$3,Input_Konektivitas!$D$3:$D$563,"&gt;0")+COUNTIFS(Input_Konektivitas!$A$3:$A$563,R$3,Input_Konektivitas!$B$3:$B$563,$A15,Input_Konektivitas!$D$3:$D$563,"&gt;0"))=0,"",SUMIFS(Input_Konektivitas!$C$3:$C$563,Input_Konektivitas!$A$3:$A$563,$A15,Input_Konektivitas!$B$3:$B$563,R$3)+SUMIFS(Input_Konektivitas!$C$3:$C$563,Input_Konektivitas!$A$3:$A$563,R$3,Input_Konektivitas!$B$3:$B$563,$A15))</f>
        <v>0</v>
      </c>
      <c r="S15" s="29">
        <f>IF((COUNTIFS(Input_Konektivitas!$A$3:$A$563,$A15,Input_Konektivitas!$B$3:$B$563,S$3,Input_Konektivitas!$D$3:$D$563,"&gt;0")+COUNTIFS(Input_Konektivitas!$A$3:$A$563,S$3,Input_Konektivitas!$B$3:$B$563,$A15,Input_Konektivitas!$D$3:$D$563,"&gt;0"))=0,"",SUMIFS(Input_Konektivitas!$C$3:$C$563,Input_Konektivitas!$A$3:$A$563,$A15,Input_Konektivitas!$B$3:$B$563,S$3)+SUMIFS(Input_Konektivitas!$C$3:$C$563,Input_Konektivitas!$A$3:$A$563,S$3,Input_Konektivitas!$B$3:$B$563,$A15))</f>
        <v>1</v>
      </c>
      <c r="T15" s="29">
        <f>IF((COUNTIFS(Input_Konektivitas!$A$3:$A$563,$A15,Input_Konektivitas!$B$3:$B$563,T$3,Input_Konektivitas!$D$3:$D$563,"&gt;0")+COUNTIFS(Input_Konektivitas!$A$3:$A$563,T$3,Input_Konektivitas!$B$3:$B$563,$A15,Input_Konektivitas!$D$3:$D$563,"&gt;0"))=0,"",SUMIFS(Input_Konektivitas!$C$3:$C$563,Input_Konektivitas!$A$3:$A$563,$A15,Input_Konektivitas!$B$3:$B$563,T$3)+SUMIFS(Input_Konektivitas!$C$3:$C$563,Input_Konektivitas!$A$3:$A$563,T$3,Input_Konektivitas!$B$3:$B$563,$A15))</f>
        <v>1</v>
      </c>
      <c r="U15" s="29">
        <f>IF((COUNTIFS(Input_Konektivitas!$A$3:$A$563,$A15,Input_Konektivitas!$B$3:$B$563,U$3,Input_Konektivitas!$D$3:$D$563,"&gt;0")+COUNTIFS(Input_Konektivitas!$A$3:$A$563,U$3,Input_Konektivitas!$B$3:$B$563,$A15,Input_Konektivitas!$D$3:$D$563,"&gt;0"))=0,"",SUMIFS(Input_Konektivitas!$C$3:$C$563,Input_Konektivitas!$A$3:$A$563,$A15,Input_Konektivitas!$B$3:$B$563,U$3)+SUMIFS(Input_Konektivitas!$C$3:$C$563,Input_Konektivitas!$A$3:$A$563,U$3,Input_Konektivitas!$B$3:$B$563,$A15))</f>
        <v>2</v>
      </c>
      <c r="V15" s="29" t="str">
        <f>IF((COUNTIFS(Input_Konektivitas!$A$3:$A$563,$A15,Input_Konektivitas!$B$3:$B$563,V$3,Input_Konektivitas!$D$3:$D$563,"&gt;0")+COUNTIFS(Input_Konektivitas!$A$3:$A$563,V$3,Input_Konektivitas!$B$3:$B$563,$A15,Input_Konektivitas!$D$3:$D$563,"&gt;0"))=0,"",SUMIFS(Input_Konektivitas!$C$3:$C$563,Input_Konektivitas!$A$3:$A$563,$A15,Input_Konektivitas!$B$3:$B$563,V$3)+SUMIFS(Input_Konektivitas!$C$3:$C$563,Input_Konektivitas!$A$3:$A$563,V$3,Input_Konektivitas!$B$3:$B$563,$A15))</f>
        <v/>
      </c>
      <c r="W15" s="29">
        <f>IF((COUNTIFS(Input_Konektivitas!$A$3:$A$563,$A15,Input_Konektivitas!$B$3:$B$563,W$3,Input_Konektivitas!$D$3:$D$563,"&gt;0")+COUNTIFS(Input_Konektivitas!$A$3:$A$563,W$3,Input_Konektivitas!$B$3:$B$563,$A15,Input_Konektivitas!$D$3:$D$563,"&gt;0"))=0,"",SUMIFS(Input_Konektivitas!$C$3:$C$563,Input_Konektivitas!$A$3:$A$563,$A15,Input_Konektivitas!$B$3:$B$563,W$3)+SUMIFS(Input_Konektivitas!$C$3:$C$563,Input_Konektivitas!$A$3:$A$563,W$3,Input_Konektivitas!$B$3:$B$563,$A15))</f>
        <v>1</v>
      </c>
      <c r="X15" s="29">
        <f>IF((COUNTIFS(Input_Konektivitas!$A$3:$A$563,$A15,Input_Konektivitas!$B$3:$B$563,X$3,Input_Konektivitas!$D$3:$D$563,"&gt;0")+COUNTIFS(Input_Konektivitas!$A$3:$A$563,X$3,Input_Konektivitas!$B$3:$B$563,$A15,Input_Konektivitas!$D$3:$D$563,"&gt;0"))=0,"",SUMIFS(Input_Konektivitas!$C$3:$C$563,Input_Konektivitas!$A$3:$A$563,$A15,Input_Konektivitas!$B$3:$B$563,X$3)+SUMIFS(Input_Konektivitas!$C$3:$C$563,Input_Konektivitas!$A$3:$A$563,X$3,Input_Konektivitas!$B$3:$B$563,$A15))</f>
        <v>0</v>
      </c>
      <c r="Y15" s="29" t="str">
        <f>IF((COUNTIFS(Input_Konektivitas!$A$3:$A$563,$A15,Input_Konektivitas!$B$3:$B$563,Y$3,Input_Konektivitas!$D$3:$D$563,"&gt;0")+COUNTIFS(Input_Konektivitas!$A$3:$A$563,Y$3,Input_Konektivitas!$B$3:$B$563,$A15,Input_Konektivitas!$D$3:$D$563,"&gt;0"))=0,"",SUMIFS(Input_Konektivitas!$C$3:$C$563,Input_Konektivitas!$A$3:$A$563,$A15,Input_Konektivitas!$B$3:$B$563,Y$3)+SUMIFS(Input_Konektivitas!$C$3:$C$563,Input_Konektivitas!$A$3:$A$563,Y$3,Input_Konektivitas!$B$3:$B$563,$A15))</f>
        <v/>
      </c>
      <c r="Z15" s="29">
        <f>IF((COUNTIFS(Input_Konektivitas!$A$3:$A$563,$A15,Input_Konektivitas!$B$3:$B$563,Z$3,Input_Konektivitas!$D$3:$D$563,"&gt;0")+COUNTIFS(Input_Konektivitas!$A$3:$A$563,Z$3,Input_Konektivitas!$B$3:$B$563,$A15,Input_Konektivitas!$D$3:$D$563,"&gt;0"))=0,"",SUMIFS(Input_Konektivitas!$C$3:$C$563,Input_Konektivitas!$A$3:$A$563,$A15,Input_Konektivitas!$B$3:$B$563,Z$3)+SUMIFS(Input_Konektivitas!$C$3:$C$563,Input_Konektivitas!$A$3:$A$563,Z$3,Input_Konektivitas!$B$3:$B$563,$A15))</f>
        <v>2</v>
      </c>
      <c r="AA15" s="29" t="str">
        <f>IF((COUNTIFS(Input_Konektivitas!$A$3:$A$563,$A15,Input_Konektivitas!$B$3:$B$563,AA$3,Input_Konektivitas!$D$3:$D$563,"&gt;0")+COUNTIFS(Input_Konektivitas!$A$3:$A$563,AA$3,Input_Konektivitas!$B$3:$B$563,$A15,Input_Konektivitas!$D$3:$D$563,"&gt;0"))=0,"",SUMIFS(Input_Konektivitas!$C$3:$C$563,Input_Konektivitas!$A$3:$A$563,$A15,Input_Konektivitas!$B$3:$B$563,AA$3)+SUMIFS(Input_Konektivitas!$C$3:$C$563,Input_Konektivitas!$A$3:$A$563,AA$3,Input_Konektivitas!$B$3:$B$563,$A15))</f>
        <v/>
      </c>
      <c r="AB15" s="29">
        <f>IF((COUNTIFS(Input_Konektivitas!$A$3:$A$563,$A15,Input_Konektivitas!$B$3:$B$563,AB$3,Input_Konektivitas!$D$3:$D$563,"&gt;0")+COUNTIFS(Input_Konektivitas!$A$3:$A$563,AB$3,Input_Konektivitas!$B$3:$B$563,$A15,Input_Konektivitas!$D$3:$D$563,"&gt;0"))=0,"",SUMIFS(Input_Konektivitas!$C$3:$C$563,Input_Konektivitas!$A$3:$A$563,$A15,Input_Konektivitas!$B$3:$B$563,AB$3)+SUMIFS(Input_Konektivitas!$C$3:$C$563,Input_Konektivitas!$A$3:$A$563,AB$3,Input_Konektivitas!$B$3:$B$563,$A15))</f>
        <v>1</v>
      </c>
      <c r="AC15" s="29">
        <f>IF((COUNTIFS(Input_Konektivitas!$A$3:$A$563,$A15,Input_Konektivitas!$B$3:$B$563,AC$3,Input_Konektivitas!$D$3:$D$563,"&gt;0")+COUNTIFS(Input_Konektivitas!$A$3:$A$563,AC$3,Input_Konektivitas!$B$3:$B$563,$A15,Input_Konektivitas!$D$3:$D$563,"&gt;0"))=0,"",SUMIFS(Input_Konektivitas!$C$3:$C$563,Input_Konektivitas!$A$3:$A$563,$A15,Input_Konektivitas!$B$3:$B$563,AC$3)+SUMIFS(Input_Konektivitas!$C$3:$C$563,Input_Konektivitas!$A$3:$A$563,AC$3,Input_Konektivitas!$B$3:$B$563,$A15))</f>
        <v>3</v>
      </c>
      <c r="AD15" s="29">
        <f>IF((COUNTIFS(Input_Konektivitas!$A$3:$A$563,$A15,Input_Konektivitas!$B$3:$B$563,AD$3,Input_Konektivitas!$D$3:$D$563,"&gt;0")+COUNTIFS(Input_Konektivitas!$A$3:$A$563,AD$3,Input_Konektivitas!$B$3:$B$563,$A15,Input_Konektivitas!$D$3:$D$563,"&gt;0"))=0,"",SUMIFS(Input_Konektivitas!$C$3:$C$563,Input_Konektivitas!$A$3:$A$563,$A15,Input_Konektivitas!$B$3:$B$563,AD$3)+SUMIFS(Input_Konektivitas!$C$3:$C$563,Input_Konektivitas!$A$3:$A$563,AD$3,Input_Konektivitas!$B$3:$B$563,$A15))</f>
        <v>2</v>
      </c>
      <c r="AE15" s="29">
        <f>IF((COUNTIFS(Input_Konektivitas!$A$3:$A$563,$A15,Input_Konektivitas!$B$3:$B$563,AE$3,Input_Konektivitas!$D$3:$D$563,"&gt;0")+COUNTIFS(Input_Konektivitas!$A$3:$A$563,AE$3,Input_Konektivitas!$B$3:$B$563,$A15,Input_Konektivitas!$D$3:$D$563,"&gt;0"))=0,"",SUMIFS(Input_Konektivitas!$C$3:$C$563,Input_Konektivitas!$A$3:$A$563,$A15,Input_Konektivitas!$B$3:$B$563,AE$3)+SUMIFS(Input_Konektivitas!$C$3:$C$563,Input_Konektivitas!$A$3:$A$563,AE$3,Input_Konektivitas!$B$3:$B$563,$A15))</f>
        <v>3</v>
      </c>
      <c r="AF15" s="29">
        <f>IF((COUNTIFS(Input_Konektivitas!$A$3:$A$563,$A15,Input_Konektivitas!$B$3:$B$563,AF$3,Input_Konektivitas!$D$3:$D$563,"&gt;0")+COUNTIFS(Input_Konektivitas!$A$3:$A$563,AF$3,Input_Konektivitas!$B$3:$B$563,$A15,Input_Konektivitas!$D$3:$D$563,"&gt;0"))=0,"",SUMIFS(Input_Konektivitas!$C$3:$C$563,Input_Konektivitas!$A$3:$A$563,$A15,Input_Konektivitas!$B$3:$B$563,AF$3)+SUMIFS(Input_Konektivitas!$C$3:$C$563,Input_Konektivitas!$A$3:$A$563,AF$3,Input_Konektivitas!$B$3:$B$563,$A15))</f>
        <v>2</v>
      </c>
      <c r="AG15" s="29">
        <f>IF((COUNTIFS(Input_Konektivitas!$A$3:$A$563,$A15,Input_Konektivitas!$B$3:$B$563,AG$3,Input_Konektivitas!$D$3:$D$563,"&gt;0")+COUNTIFS(Input_Konektivitas!$A$3:$A$563,AG$3,Input_Konektivitas!$B$3:$B$563,$A15,Input_Konektivitas!$D$3:$D$563,"&gt;0"))=0,"",SUMIFS(Input_Konektivitas!$C$3:$C$563,Input_Konektivitas!$A$3:$A$563,$A15,Input_Konektivitas!$B$3:$B$563,AG$3)+SUMIFS(Input_Konektivitas!$C$3:$C$563,Input_Konektivitas!$A$3:$A$563,AG$3,Input_Konektivitas!$B$3:$B$563,$A15))</f>
        <v>2</v>
      </c>
      <c r="AH15" s="29">
        <f>IF((COUNTIFS(Input_Konektivitas!$A$3:$A$563,$A15,Input_Konektivitas!$B$3:$B$563,AH$3,Input_Konektivitas!$D$3:$D$563,"&gt;0")+COUNTIFS(Input_Konektivitas!$A$3:$A$563,AH$3,Input_Konektivitas!$B$3:$B$563,$A15,Input_Konektivitas!$D$3:$D$563,"&gt;0"))=0,"",SUMIFS(Input_Konektivitas!$C$3:$C$563,Input_Konektivitas!$A$3:$A$563,$A15,Input_Konektivitas!$B$3:$B$563,AH$3)+SUMIFS(Input_Konektivitas!$C$3:$C$563,Input_Konektivitas!$A$3:$A$563,AH$3,Input_Konektivitas!$B$3:$B$563,$A15))</f>
        <v>2</v>
      </c>
      <c r="AI15" s="29">
        <f>IF((COUNTIFS(Input_Konektivitas!$A$3:$A$563,$A15,Input_Konektivitas!$B$3:$B$563,AI$3,Input_Konektivitas!$D$3:$D$563,"&gt;0")+COUNTIFS(Input_Konektivitas!$A$3:$A$563,AI$3,Input_Konektivitas!$B$3:$B$563,$A15,Input_Konektivitas!$D$3:$D$563,"&gt;0"))=0,"",SUMIFS(Input_Konektivitas!$C$3:$C$563,Input_Konektivitas!$A$3:$A$563,$A15,Input_Konektivitas!$B$3:$B$563,AI$3)+SUMIFS(Input_Konektivitas!$C$3:$C$563,Input_Konektivitas!$A$3:$A$563,AI$3,Input_Konektivitas!$B$3:$B$563,$A15))</f>
        <v>2</v>
      </c>
    </row>
    <row r="16" ht="14.25" customHeight="1">
      <c r="A16" s="22" t="s">
        <v>37</v>
      </c>
      <c r="B16" s="29">
        <f>IF((COUNTIFS(Input_Konektivitas!$A$3:$A$563,$A16,Input_Konektivitas!$B$3:$B$563,B$3,Input_Konektivitas!$D$3:$D$563,"&gt;0")+COUNTIFS(Input_Konektivitas!$A$3:$A$563,B$3,Input_Konektivitas!$B$3:$B$563,$A16,Input_Konektivitas!$D$3:$D$563,"&gt;0"))=0,"",SUMIFS(Input_Konektivitas!$C$3:$C$563,Input_Konektivitas!$A$3:$A$563,$A16,Input_Konektivitas!$B$3:$B$563,B$3)+SUMIFS(Input_Konektivitas!$C$3:$C$563,Input_Konektivitas!$A$3:$A$563,B$3,Input_Konektivitas!$B$3:$B$563,$A16))</f>
        <v>1</v>
      </c>
      <c r="C16" s="29">
        <f>IF((COUNTIFS(Input_Konektivitas!$A$3:$A$563,$A16,Input_Konektivitas!$B$3:$B$563,C$3,Input_Konektivitas!$D$3:$D$563,"&gt;0")+COUNTIFS(Input_Konektivitas!$A$3:$A$563,C$3,Input_Konektivitas!$B$3:$B$563,$A16,Input_Konektivitas!$D$3:$D$563,"&gt;0"))=0,"",SUMIFS(Input_Konektivitas!$C$3:$C$563,Input_Konektivitas!$A$3:$A$563,$A16,Input_Konektivitas!$B$3:$B$563,C$3)+SUMIFS(Input_Konektivitas!$C$3:$C$563,Input_Konektivitas!$A$3:$A$563,C$3,Input_Konektivitas!$B$3:$B$563,$A16))</f>
        <v>1</v>
      </c>
      <c r="D16" s="29">
        <f>IF((COUNTIFS(Input_Konektivitas!$A$3:$A$563,$A16,Input_Konektivitas!$B$3:$B$563,D$3,Input_Konektivitas!$D$3:$D$563,"&gt;0")+COUNTIFS(Input_Konektivitas!$A$3:$A$563,D$3,Input_Konektivitas!$B$3:$B$563,$A16,Input_Konektivitas!$D$3:$D$563,"&gt;0"))=0,"",SUMIFS(Input_Konektivitas!$C$3:$C$563,Input_Konektivitas!$A$3:$A$563,$A16,Input_Konektivitas!$B$3:$B$563,D$3)+SUMIFS(Input_Konektivitas!$C$3:$C$563,Input_Konektivitas!$A$3:$A$563,D$3,Input_Konektivitas!$B$3:$B$563,$A16))</f>
        <v>1</v>
      </c>
      <c r="E16" s="29">
        <f>IF((COUNTIFS(Input_Konektivitas!$A$3:$A$563,$A16,Input_Konektivitas!$B$3:$B$563,E$3,Input_Konektivitas!$D$3:$D$563,"&gt;0")+COUNTIFS(Input_Konektivitas!$A$3:$A$563,E$3,Input_Konektivitas!$B$3:$B$563,$A16,Input_Konektivitas!$D$3:$D$563,"&gt;0"))=0,"",SUMIFS(Input_Konektivitas!$C$3:$C$563,Input_Konektivitas!$A$3:$A$563,$A16,Input_Konektivitas!$B$3:$B$563,E$3)+SUMIFS(Input_Konektivitas!$C$3:$C$563,Input_Konektivitas!$A$3:$A$563,E$3,Input_Konektivitas!$B$3:$B$563,$A16))</f>
        <v>1</v>
      </c>
      <c r="F16" s="29">
        <f>IF((COUNTIFS(Input_Konektivitas!$A$3:$A$563,$A16,Input_Konektivitas!$B$3:$B$563,F$3,Input_Konektivitas!$D$3:$D$563,"&gt;0")+COUNTIFS(Input_Konektivitas!$A$3:$A$563,F$3,Input_Konektivitas!$B$3:$B$563,$A16,Input_Konektivitas!$D$3:$D$563,"&gt;0"))=0,"",SUMIFS(Input_Konektivitas!$C$3:$C$563,Input_Konektivitas!$A$3:$A$563,$A16,Input_Konektivitas!$B$3:$B$563,F$3)+SUMIFS(Input_Konektivitas!$C$3:$C$563,Input_Konektivitas!$A$3:$A$563,F$3,Input_Konektivitas!$B$3:$B$563,$A16))</f>
        <v>1</v>
      </c>
      <c r="G16" s="29">
        <f>IF((COUNTIFS(Input_Konektivitas!$A$3:$A$563,$A16,Input_Konektivitas!$B$3:$B$563,G$3,Input_Konektivitas!$D$3:$D$563,"&gt;0")+COUNTIFS(Input_Konektivitas!$A$3:$A$563,G$3,Input_Konektivitas!$B$3:$B$563,$A16,Input_Konektivitas!$D$3:$D$563,"&gt;0"))=0,"",SUMIFS(Input_Konektivitas!$C$3:$C$563,Input_Konektivitas!$A$3:$A$563,$A16,Input_Konektivitas!$B$3:$B$563,G$3)+SUMIFS(Input_Konektivitas!$C$3:$C$563,Input_Konektivitas!$A$3:$A$563,G$3,Input_Konektivitas!$B$3:$B$563,$A16))</f>
        <v>1</v>
      </c>
      <c r="H16" s="29">
        <f>IF((COUNTIFS(Input_Konektivitas!$A$3:$A$563,$A16,Input_Konektivitas!$B$3:$B$563,H$3,Input_Konektivitas!$D$3:$D$563,"&gt;0")+COUNTIFS(Input_Konektivitas!$A$3:$A$563,H$3,Input_Konektivitas!$B$3:$B$563,$A16,Input_Konektivitas!$D$3:$D$563,"&gt;0"))=0,"",SUMIFS(Input_Konektivitas!$C$3:$C$563,Input_Konektivitas!$A$3:$A$563,$A16,Input_Konektivitas!$B$3:$B$563,H$3)+SUMIFS(Input_Konektivitas!$C$3:$C$563,Input_Konektivitas!$A$3:$A$563,H$3,Input_Konektivitas!$B$3:$B$563,$A16))</f>
        <v>1</v>
      </c>
      <c r="I16" s="29">
        <f>IF((COUNTIFS(Input_Konektivitas!$A$3:$A$563,$A16,Input_Konektivitas!$B$3:$B$563,I$3,Input_Konektivitas!$D$3:$D$563,"&gt;0")+COUNTIFS(Input_Konektivitas!$A$3:$A$563,I$3,Input_Konektivitas!$B$3:$B$563,$A16,Input_Konektivitas!$D$3:$D$563,"&gt;0"))=0,"",SUMIFS(Input_Konektivitas!$C$3:$C$563,Input_Konektivitas!$A$3:$A$563,$A16,Input_Konektivitas!$B$3:$B$563,I$3)+SUMIFS(Input_Konektivitas!$C$3:$C$563,Input_Konektivitas!$A$3:$A$563,I$3,Input_Konektivitas!$B$3:$B$563,$A16))</f>
        <v>1</v>
      </c>
      <c r="J16" s="29">
        <f>IF((COUNTIFS(Input_Konektivitas!$A$3:$A$563,$A16,Input_Konektivitas!$B$3:$B$563,J$3,Input_Konektivitas!$D$3:$D$563,"&gt;0")+COUNTIFS(Input_Konektivitas!$A$3:$A$563,J$3,Input_Konektivitas!$B$3:$B$563,$A16,Input_Konektivitas!$D$3:$D$563,"&gt;0"))=0,"",SUMIFS(Input_Konektivitas!$C$3:$C$563,Input_Konektivitas!$A$3:$A$563,$A16,Input_Konektivitas!$B$3:$B$563,J$3)+SUMIFS(Input_Konektivitas!$C$3:$C$563,Input_Konektivitas!$A$3:$A$563,J$3,Input_Konektivitas!$B$3:$B$563,$A16))</f>
        <v>1</v>
      </c>
      <c r="K16" s="29">
        <f>IF((COUNTIFS(Input_Konektivitas!$A$3:$A$563,$A16,Input_Konektivitas!$B$3:$B$563,K$3,Input_Konektivitas!$D$3:$D$563,"&gt;0")+COUNTIFS(Input_Konektivitas!$A$3:$A$563,K$3,Input_Konektivitas!$B$3:$B$563,$A16,Input_Konektivitas!$D$3:$D$563,"&gt;0"))=0,"",SUMIFS(Input_Konektivitas!$C$3:$C$563,Input_Konektivitas!$A$3:$A$563,$A16,Input_Konektivitas!$B$3:$B$563,K$3)+SUMIFS(Input_Konektivitas!$C$3:$C$563,Input_Konektivitas!$A$3:$A$563,K$3,Input_Konektivitas!$B$3:$B$563,$A16))</f>
        <v>0</v>
      </c>
      <c r="L16" s="29">
        <f>IF((COUNTIFS(Input_Konektivitas!$A$3:$A$563,$A16,Input_Konektivitas!$B$3:$B$563,L$3,Input_Konektivitas!$D$3:$D$563,"&gt;0")+COUNTIFS(Input_Konektivitas!$A$3:$A$563,L$3,Input_Konektivitas!$B$3:$B$563,$A16,Input_Konektivitas!$D$3:$D$563,"&gt;0"))=0,"",SUMIFS(Input_Konektivitas!$C$3:$C$563,Input_Konektivitas!$A$3:$A$563,$A16,Input_Konektivitas!$B$3:$B$563,L$3)+SUMIFS(Input_Konektivitas!$C$3:$C$563,Input_Konektivitas!$A$3:$A$563,L$3,Input_Konektivitas!$B$3:$B$563,$A16))</f>
        <v>0</v>
      </c>
      <c r="M16" s="29" t="str">
        <f>IF((COUNTIFS(Input_Konektivitas!$A$3:$A$563,$A16,Input_Konektivitas!$B$3:$B$563,M$3,Input_Konektivitas!$D$3:$D$563,"&gt;0")+COUNTIFS(Input_Konektivitas!$A$3:$A$563,M$3,Input_Konektivitas!$B$3:$B$563,$A16,Input_Konektivitas!$D$3:$D$563,"&gt;0"))=0,"",SUMIFS(Input_Konektivitas!$C$3:$C$563,Input_Konektivitas!$A$3:$A$563,$A16,Input_Konektivitas!$B$3:$B$563,M$3)+SUMIFS(Input_Konektivitas!$C$3:$C$563,Input_Konektivitas!$A$3:$A$563,M$3,Input_Konektivitas!$B$3:$B$563,$A16))</f>
        <v/>
      </c>
      <c r="N16" s="26">
        <v>0.0</v>
      </c>
      <c r="O16" s="29">
        <f>IF((COUNTIFS(Input_Konektivitas!$A$3:$A$563,$A16,Input_Konektivitas!$B$3:$B$563,O$3,Input_Konektivitas!$D$3:$D$563,"&gt;0")+COUNTIFS(Input_Konektivitas!$A$3:$A$563,O$3,Input_Konektivitas!$B$3:$B$563,$A16,Input_Konektivitas!$D$3:$D$563,"&gt;0"))=0,"",SUMIFS(Input_Konektivitas!$C$3:$C$563,Input_Konektivitas!$A$3:$A$563,$A16,Input_Konektivitas!$B$3:$B$563,O$3)+SUMIFS(Input_Konektivitas!$C$3:$C$563,Input_Konektivitas!$A$3:$A$563,O$3,Input_Konektivitas!$B$3:$B$563,$A16))</f>
        <v>1</v>
      </c>
      <c r="P16" s="29">
        <f>IF((COUNTIFS(Input_Konektivitas!$A$3:$A$563,$A16,Input_Konektivitas!$B$3:$B$563,P$3,Input_Konektivitas!$D$3:$D$563,"&gt;0")+COUNTIFS(Input_Konektivitas!$A$3:$A$563,P$3,Input_Konektivitas!$B$3:$B$563,$A16,Input_Konektivitas!$D$3:$D$563,"&gt;0"))=0,"",SUMIFS(Input_Konektivitas!$C$3:$C$563,Input_Konektivitas!$A$3:$A$563,$A16,Input_Konektivitas!$B$3:$B$563,P$3)+SUMIFS(Input_Konektivitas!$C$3:$C$563,Input_Konektivitas!$A$3:$A$563,P$3,Input_Konektivitas!$B$3:$B$563,$A16))</f>
        <v>0</v>
      </c>
      <c r="Q16" s="29" t="str">
        <f>IF((COUNTIFS(Input_Konektivitas!$A$3:$A$563,$A16,Input_Konektivitas!$B$3:$B$563,Q$3,Input_Konektivitas!$D$3:$D$563,"&gt;0")+COUNTIFS(Input_Konektivitas!$A$3:$A$563,Q$3,Input_Konektivitas!$B$3:$B$563,$A16,Input_Konektivitas!$D$3:$D$563,"&gt;0"))=0,"",SUMIFS(Input_Konektivitas!$C$3:$C$563,Input_Konektivitas!$A$3:$A$563,$A16,Input_Konektivitas!$B$3:$B$563,Q$3)+SUMIFS(Input_Konektivitas!$C$3:$C$563,Input_Konektivitas!$A$3:$A$563,Q$3,Input_Konektivitas!$B$3:$B$563,$A16))</f>
        <v/>
      </c>
      <c r="R16" s="29">
        <f>IF((COUNTIFS(Input_Konektivitas!$A$3:$A$563,$A16,Input_Konektivitas!$B$3:$B$563,R$3,Input_Konektivitas!$D$3:$D$563,"&gt;0")+COUNTIFS(Input_Konektivitas!$A$3:$A$563,R$3,Input_Konektivitas!$B$3:$B$563,$A16,Input_Konektivitas!$D$3:$D$563,"&gt;0"))=0,"",SUMIFS(Input_Konektivitas!$C$3:$C$563,Input_Konektivitas!$A$3:$A$563,$A16,Input_Konektivitas!$B$3:$B$563,R$3)+SUMIFS(Input_Konektivitas!$C$3:$C$563,Input_Konektivitas!$A$3:$A$563,R$3,Input_Konektivitas!$B$3:$B$563,$A16))</f>
        <v>0</v>
      </c>
      <c r="S16" s="29">
        <f>IF((COUNTIFS(Input_Konektivitas!$A$3:$A$563,$A16,Input_Konektivitas!$B$3:$B$563,S$3,Input_Konektivitas!$D$3:$D$563,"&gt;0")+COUNTIFS(Input_Konektivitas!$A$3:$A$563,S$3,Input_Konektivitas!$B$3:$B$563,$A16,Input_Konektivitas!$D$3:$D$563,"&gt;0"))=0,"",SUMIFS(Input_Konektivitas!$C$3:$C$563,Input_Konektivitas!$A$3:$A$563,$A16,Input_Konektivitas!$B$3:$B$563,S$3)+SUMIFS(Input_Konektivitas!$C$3:$C$563,Input_Konektivitas!$A$3:$A$563,S$3,Input_Konektivitas!$B$3:$B$563,$A16))</f>
        <v>1</v>
      </c>
      <c r="T16" s="29">
        <f>IF((COUNTIFS(Input_Konektivitas!$A$3:$A$563,$A16,Input_Konektivitas!$B$3:$B$563,T$3,Input_Konektivitas!$D$3:$D$563,"&gt;0")+COUNTIFS(Input_Konektivitas!$A$3:$A$563,T$3,Input_Konektivitas!$B$3:$B$563,$A16,Input_Konektivitas!$D$3:$D$563,"&gt;0"))=0,"",SUMIFS(Input_Konektivitas!$C$3:$C$563,Input_Konektivitas!$A$3:$A$563,$A16,Input_Konektivitas!$B$3:$B$563,T$3)+SUMIFS(Input_Konektivitas!$C$3:$C$563,Input_Konektivitas!$A$3:$A$563,T$3,Input_Konektivitas!$B$3:$B$563,$A16))</f>
        <v>1</v>
      </c>
      <c r="U16" s="29">
        <f>IF((COUNTIFS(Input_Konektivitas!$A$3:$A$563,$A16,Input_Konektivitas!$B$3:$B$563,U$3,Input_Konektivitas!$D$3:$D$563,"&gt;0")+COUNTIFS(Input_Konektivitas!$A$3:$A$563,U$3,Input_Konektivitas!$B$3:$B$563,$A16,Input_Konektivitas!$D$3:$D$563,"&gt;0"))=0,"",SUMIFS(Input_Konektivitas!$C$3:$C$563,Input_Konektivitas!$A$3:$A$563,$A16,Input_Konektivitas!$B$3:$B$563,U$3)+SUMIFS(Input_Konektivitas!$C$3:$C$563,Input_Konektivitas!$A$3:$A$563,U$3,Input_Konektivitas!$B$3:$B$563,$A16))</f>
        <v>0</v>
      </c>
      <c r="V16" s="29">
        <f>IF((COUNTIFS(Input_Konektivitas!$A$3:$A$563,$A16,Input_Konektivitas!$B$3:$B$563,V$3,Input_Konektivitas!$D$3:$D$563,"&gt;0")+COUNTIFS(Input_Konektivitas!$A$3:$A$563,V$3,Input_Konektivitas!$B$3:$B$563,$A16,Input_Konektivitas!$D$3:$D$563,"&gt;0"))=0,"",SUMIFS(Input_Konektivitas!$C$3:$C$563,Input_Konektivitas!$A$3:$A$563,$A16,Input_Konektivitas!$B$3:$B$563,V$3)+SUMIFS(Input_Konektivitas!$C$3:$C$563,Input_Konektivitas!$A$3:$A$563,V$3,Input_Konektivitas!$B$3:$B$563,$A16))</f>
        <v>0</v>
      </c>
      <c r="W16" s="29">
        <f>IF((COUNTIFS(Input_Konektivitas!$A$3:$A$563,$A16,Input_Konektivitas!$B$3:$B$563,W$3,Input_Konektivitas!$D$3:$D$563,"&gt;0")+COUNTIFS(Input_Konektivitas!$A$3:$A$563,W$3,Input_Konektivitas!$B$3:$B$563,$A16,Input_Konektivitas!$D$3:$D$563,"&gt;0"))=0,"",SUMIFS(Input_Konektivitas!$C$3:$C$563,Input_Konektivitas!$A$3:$A$563,$A16,Input_Konektivitas!$B$3:$B$563,W$3)+SUMIFS(Input_Konektivitas!$C$3:$C$563,Input_Konektivitas!$A$3:$A$563,W$3,Input_Konektivitas!$B$3:$B$563,$A16))</f>
        <v>0</v>
      </c>
      <c r="X16" s="29">
        <f>IF((COUNTIFS(Input_Konektivitas!$A$3:$A$563,$A16,Input_Konektivitas!$B$3:$B$563,X$3,Input_Konektivitas!$D$3:$D$563,"&gt;0")+COUNTIFS(Input_Konektivitas!$A$3:$A$563,X$3,Input_Konektivitas!$B$3:$B$563,$A16,Input_Konektivitas!$D$3:$D$563,"&gt;0"))=0,"",SUMIFS(Input_Konektivitas!$C$3:$C$563,Input_Konektivitas!$A$3:$A$563,$A16,Input_Konektivitas!$B$3:$B$563,X$3)+SUMIFS(Input_Konektivitas!$C$3:$C$563,Input_Konektivitas!$A$3:$A$563,X$3,Input_Konektivitas!$B$3:$B$563,$A16))</f>
        <v>0</v>
      </c>
      <c r="Y16" s="29">
        <f>IF((COUNTIFS(Input_Konektivitas!$A$3:$A$563,$A16,Input_Konektivitas!$B$3:$B$563,Y$3,Input_Konektivitas!$D$3:$D$563,"&gt;0")+COUNTIFS(Input_Konektivitas!$A$3:$A$563,Y$3,Input_Konektivitas!$B$3:$B$563,$A16,Input_Konektivitas!$D$3:$D$563,"&gt;0"))=0,"",SUMIFS(Input_Konektivitas!$C$3:$C$563,Input_Konektivitas!$A$3:$A$563,$A16,Input_Konektivitas!$B$3:$B$563,Y$3)+SUMIFS(Input_Konektivitas!$C$3:$C$563,Input_Konektivitas!$A$3:$A$563,Y$3,Input_Konektivitas!$B$3:$B$563,$A16))</f>
        <v>1</v>
      </c>
      <c r="Z16" s="29">
        <f>IF((COUNTIFS(Input_Konektivitas!$A$3:$A$563,$A16,Input_Konektivitas!$B$3:$B$563,Z$3,Input_Konektivitas!$D$3:$D$563,"&gt;0")+COUNTIFS(Input_Konektivitas!$A$3:$A$563,Z$3,Input_Konektivitas!$B$3:$B$563,$A16,Input_Konektivitas!$D$3:$D$563,"&gt;0"))=0,"",SUMIFS(Input_Konektivitas!$C$3:$C$563,Input_Konektivitas!$A$3:$A$563,$A16,Input_Konektivitas!$B$3:$B$563,Z$3)+SUMIFS(Input_Konektivitas!$C$3:$C$563,Input_Konektivitas!$A$3:$A$563,Z$3,Input_Konektivitas!$B$3:$B$563,$A16))</f>
        <v>1</v>
      </c>
      <c r="AA16" s="29">
        <f>IF((COUNTIFS(Input_Konektivitas!$A$3:$A$563,$A16,Input_Konektivitas!$B$3:$B$563,AA$3,Input_Konektivitas!$D$3:$D$563,"&gt;0")+COUNTIFS(Input_Konektivitas!$A$3:$A$563,AA$3,Input_Konektivitas!$B$3:$B$563,$A16,Input_Konektivitas!$D$3:$D$563,"&gt;0"))=0,"",SUMIFS(Input_Konektivitas!$C$3:$C$563,Input_Konektivitas!$A$3:$A$563,$A16,Input_Konektivitas!$B$3:$B$563,AA$3)+SUMIFS(Input_Konektivitas!$C$3:$C$563,Input_Konektivitas!$A$3:$A$563,AA$3,Input_Konektivitas!$B$3:$B$563,$A16))</f>
        <v>2</v>
      </c>
      <c r="AB16" s="29">
        <f>IF((COUNTIFS(Input_Konektivitas!$A$3:$A$563,$A16,Input_Konektivitas!$B$3:$B$563,AB$3,Input_Konektivitas!$D$3:$D$563,"&gt;0")+COUNTIFS(Input_Konektivitas!$A$3:$A$563,AB$3,Input_Konektivitas!$B$3:$B$563,$A16,Input_Konektivitas!$D$3:$D$563,"&gt;0"))=0,"",SUMIFS(Input_Konektivitas!$C$3:$C$563,Input_Konektivitas!$A$3:$A$563,$A16,Input_Konektivitas!$B$3:$B$563,AB$3)+SUMIFS(Input_Konektivitas!$C$3:$C$563,Input_Konektivitas!$A$3:$A$563,AB$3,Input_Konektivitas!$B$3:$B$563,$A16))</f>
        <v>0</v>
      </c>
      <c r="AC16" s="29">
        <f>IF((COUNTIFS(Input_Konektivitas!$A$3:$A$563,$A16,Input_Konektivitas!$B$3:$B$563,AC$3,Input_Konektivitas!$D$3:$D$563,"&gt;0")+COUNTIFS(Input_Konektivitas!$A$3:$A$563,AC$3,Input_Konektivitas!$B$3:$B$563,$A16,Input_Konektivitas!$D$3:$D$563,"&gt;0"))=0,"",SUMIFS(Input_Konektivitas!$C$3:$C$563,Input_Konektivitas!$A$3:$A$563,$A16,Input_Konektivitas!$B$3:$B$563,AC$3)+SUMIFS(Input_Konektivitas!$C$3:$C$563,Input_Konektivitas!$A$3:$A$563,AC$3,Input_Konektivitas!$B$3:$B$563,$A16))</f>
        <v>1</v>
      </c>
      <c r="AD16" s="29">
        <f>IF((COUNTIFS(Input_Konektivitas!$A$3:$A$563,$A16,Input_Konektivitas!$B$3:$B$563,AD$3,Input_Konektivitas!$D$3:$D$563,"&gt;0")+COUNTIFS(Input_Konektivitas!$A$3:$A$563,AD$3,Input_Konektivitas!$B$3:$B$563,$A16,Input_Konektivitas!$D$3:$D$563,"&gt;0"))=0,"",SUMIFS(Input_Konektivitas!$C$3:$C$563,Input_Konektivitas!$A$3:$A$563,$A16,Input_Konektivitas!$B$3:$B$563,AD$3)+SUMIFS(Input_Konektivitas!$C$3:$C$563,Input_Konektivitas!$A$3:$A$563,AD$3,Input_Konektivitas!$B$3:$B$563,$A16))</f>
        <v>1</v>
      </c>
      <c r="AE16" s="29">
        <f>IF((COUNTIFS(Input_Konektivitas!$A$3:$A$563,$A16,Input_Konektivitas!$B$3:$B$563,AE$3,Input_Konektivitas!$D$3:$D$563,"&gt;0")+COUNTIFS(Input_Konektivitas!$A$3:$A$563,AE$3,Input_Konektivitas!$B$3:$B$563,$A16,Input_Konektivitas!$D$3:$D$563,"&gt;0"))=0,"",SUMIFS(Input_Konektivitas!$C$3:$C$563,Input_Konektivitas!$A$3:$A$563,$A16,Input_Konektivitas!$B$3:$B$563,AE$3)+SUMIFS(Input_Konektivitas!$C$3:$C$563,Input_Konektivitas!$A$3:$A$563,AE$3,Input_Konektivitas!$B$3:$B$563,$A16))</f>
        <v>2</v>
      </c>
      <c r="AF16" s="29">
        <f>IF((COUNTIFS(Input_Konektivitas!$A$3:$A$563,$A16,Input_Konektivitas!$B$3:$B$563,AF$3,Input_Konektivitas!$D$3:$D$563,"&gt;0")+COUNTIFS(Input_Konektivitas!$A$3:$A$563,AF$3,Input_Konektivitas!$B$3:$B$563,$A16,Input_Konektivitas!$D$3:$D$563,"&gt;0"))=0,"",SUMIFS(Input_Konektivitas!$C$3:$C$563,Input_Konektivitas!$A$3:$A$563,$A16,Input_Konektivitas!$B$3:$B$563,AF$3)+SUMIFS(Input_Konektivitas!$C$3:$C$563,Input_Konektivitas!$A$3:$A$563,AF$3,Input_Konektivitas!$B$3:$B$563,$A16))</f>
        <v>1</v>
      </c>
      <c r="AG16" s="29">
        <f>IF((COUNTIFS(Input_Konektivitas!$A$3:$A$563,$A16,Input_Konektivitas!$B$3:$B$563,AG$3,Input_Konektivitas!$D$3:$D$563,"&gt;0")+COUNTIFS(Input_Konektivitas!$A$3:$A$563,AG$3,Input_Konektivitas!$B$3:$B$563,$A16,Input_Konektivitas!$D$3:$D$563,"&gt;0"))=0,"",SUMIFS(Input_Konektivitas!$C$3:$C$563,Input_Konektivitas!$A$3:$A$563,$A16,Input_Konektivitas!$B$3:$B$563,AG$3)+SUMIFS(Input_Konektivitas!$C$3:$C$563,Input_Konektivitas!$A$3:$A$563,AG$3,Input_Konektivitas!$B$3:$B$563,$A16))</f>
        <v>2</v>
      </c>
      <c r="AH16" s="29">
        <f>IF((COUNTIFS(Input_Konektivitas!$A$3:$A$563,$A16,Input_Konektivitas!$B$3:$B$563,AH$3,Input_Konektivitas!$D$3:$D$563,"&gt;0")+COUNTIFS(Input_Konektivitas!$A$3:$A$563,AH$3,Input_Konektivitas!$B$3:$B$563,$A16,Input_Konektivitas!$D$3:$D$563,"&gt;0"))=0,"",SUMIFS(Input_Konektivitas!$C$3:$C$563,Input_Konektivitas!$A$3:$A$563,$A16,Input_Konektivitas!$B$3:$B$563,AH$3)+SUMIFS(Input_Konektivitas!$C$3:$C$563,Input_Konektivitas!$A$3:$A$563,AH$3,Input_Konektivitas!$B$3:$B$563,$A16))</f>
        <v>1</v>
      </c>
      <c r="AI16" s="29">
        <f>IF((COUNTIFS(Input_Konektivitas!$A$3:$A$563,$A16,Input_Konektivitas!$B$3:$B$563,AI$3,Input_Konektivitas!$D$3:$D$563,"&gt;0")+COUNTIFS(Input_Konektivitas!$A$3:$A$563,AI$3,Input_Konektivitas!$B$3:$B$563,$A16,Input_Konektivitas!$D$3:$D$563,"&gt;0"))=0,"",SUMIFS(Input_Konektivitas!$C$3:$C$563,Input_Konektivitas!$A$3:$A$563,$A16,Input_Konektivitas!$B$3:$B$563,AI$3)+SUMIFS(Input_Konektivitas!$C$3:$C$563,Input_Konektivitas!$A$3:$A$563,AI$3,Input_Konektivitas!$B$3:$B$563,$A16))</f>
        <v>2</v>
      </c>
    </row>
    <row r="17" ht="14.25" customHeight="1">
      <c r="A17" s="22" t="s">
        <v>40</v>
      </c>
      <c r="B17" s="29">
        <f>IF((COUNTIFS(Input_Konektivitas!$A$3:$A$563,$A17,Input_Konektivitas!$B$3:$B$563,B$3,Input_Konektivitas!$D$3:$D$563,"&gt;0")+COUNTIFS(Input_Konektivitas!$A$3:$A$563,B$3,Input_Konektivitas!$B$3:$B$563,$A17,Input_Konektivitas!$D$3:$D$563,"&gt;0"))=0,"",SUMIFS(Input_Konektivitas!$C$3:$C$563,Input_Konektivitas!$A$3:$A$563,$A17,Input_Konektivitas!$B$3:$B$563,B$3)+SUMIFS(Input_Konektivitas!$C$3:$C$563,Input_Konektivitas!$A$3:$A$563,B$3,Input_Konektivitas!$B$3:$B$563,$A17))</f>
        <v>1</v>
      </c>
      <c r="C17" s="29">
        <f>IF((COUNTIFS(Input_Konektivitas!$A$3:$A$563,$A17,Input_Konektivitas!$B$3:$B$563,C$3,Input_Konektivitas!$D$3:$D$563,"&gt;0")+COUNTIFS(Input_Konektivitas!$A$3:$A$563,C$3,Input_Konektivitas!$B$3:$B$563,$A17,Input_Konektivitas!$D$3:$D$563,"&gt;0"))=0,"",SUMIFS(Input_Konektivitas!$C$3:$C$563,Input_Konektivitas!$A$3:$A$563,$A17,Input_Konektivitas!$B$3:$B$563,C$3)+SUMIFS(Input_Konektivitas!$C$3:$C$563,Input_Konektivitas!$A$3:$A$563,C$3,Input_Konektivitas!$B$3:$B$563,$A17))</f>
        <v>0</v>
      </c>
      <c r="D17" s="29">
        <f>IF((COUNTIFS(Input_Konektivitas!$A$3:$A$563,$A17,Input_Konektivitas!$B$3:$B$563,D$3,Input_Konektivitas!$D$3:$D$563,"&gt;0")+COUNTIFS(Input_Konektivitas!$A$3:$A$563,D$3,Input_Konektivitas!$B$3:$B$563,$A17,Input_Konektivitas!$D$3:$D$563,"&gt;0"))=0,"",SUMIFS(Input_Konektivitas!$C$3:$C$563,Input_Konektivitas!$A$3:$A$563,$A17,Input_Konektivitas!$B$3:$B$563,D$3)+SUMIFS(Input_Konektivitas!$C$3:$C$563,Input_Konektivitas!$A$3:$A$563,D$3,Input_Konektivitas!$B$3:$B$563,$A17))</f>
        <v>0</v>
      </c>
      <c r="E17" s="29">
        <f>IF((COUNTIFS(Input_Konektivitas!$A$3:$A$563,$A17,Input_Konektivitas!$B$3:$B$563,E$3,Input_Konektivitas!$D$3:$D$563,"&gt;0")+COUNTIFS(Input_Konektivitas!$A$3:$A$563,E$3,Input_Konektivitas!$B$3:$B$563,$A17,Input_Konektivitas!$D$3:$D$563,"&gt;0"))=0,"",SUMIFS(Input_Konektivitas!$C$3:$C$563,Input_Konektivitas!$A$3:$A$563,$A17,Input_Konektivitas!$B$3:$B$563,E$3)+SUMIFS(Input_Konektivitas!$C$3:$C$563,Input_Konektivitas!$A$3:$A$563,E$3,Input_Konektivitas!$B$3:$B$563,$A17))</f>
        <v>1</v>
      </c>
      <c r="F17" s="29">
        <f>IF((COUNTIFS(Input_Konektivitas!$A$3:$A$563,$A17,Input_Konektivitas!$B$3:$B$563,F$3,Input_Konektivitas!$D$3:$D$563,"&gt;0")+COUNTIFS(Input_Konektivitas!$A$3:$A$563,F$3,Input_Konektivitas!$B$3:$B$563,$A17,Input_Konektivitas!$D$3:$D$563,"&gt;0"))=0,"",SUMIFS(Input_Konektivitas!$C$3:$C$563,Input_Konektivitas!$A$3:$A$563,$A17,Input_Konektivitas!$B$3:$B$563,F$3)+SUMIFS(Input_Konektivitas!$C$3:$C$563,Input_Konektivitas!$A$3:$A$563,F$3,Input_Konektivitas!$B$3:$B$563,$A17))</f>
        <v>1</v>
      </c>
      <c r="G17" s="29">
        <f>IF((COUNTIFS(Input_Konektivitas!$A$3:$A$563,$A17,Input_Konektivitas!$B$3:$B$563,G$3,Input_Konektivitas!$D$3:$D$563,"&gt;0")+COUNTIFS(Input_Konektivitas!$A$3:$A$563,G$3,Input_Konektivitas!$B$3:$B$563,$A17,Input_Konektivitas!$D$3:$D$563,"&gt;0"))=0,"",SUMIFS(Input_Konektivitas!$C$3:$C$563,Input_Konektivitas!$A$3:$A$563,$A17,Input_Konektivitas!$B$3:$B$563,G$3)+SUMIFS(Input_Konektivitas!$C$3:$C$563,Input_Konektivitas!$A$3:$A$563,G$3,Input_Konektivitas!$B$3:$B$563,$A17))</f>
        <v>0</v>
      </c>
      <c r="H17" s="29">
        <f>IF((COUNTIFS(Input_Konektivitas!$A$3:$A$563,$A17,Input_Konektivitas!$B$3:$B$563,H$3,Input_Konektivitas!$D$3:$D$563,"&gt;0")+COUNTIFS(Input_Konektivitas!$A$3:$A$563,H$3,Input_Konektivitas!$B$3:$B$563,$A17,Input_Konektivitas!$D$3:$D$563,"&gt;0"))=0,"",SUMIFS(Input_Konektivitas!$C$3:$C$563,Input_Konektivitas!$A$3:$A$563,$A17,Input_Konektivitas!$B$3:$B$563,H$3)+SUMIFS(Input_Konektivitas!$C$3:$C$563,Input_Konektivitas!$A$3:$A$563,H$3,Input_Konektivitas!$B$3:$B$563,$A17))</f>
        <v>1</v>
      </c>
      <c r="I17" s="29">
        <f>IF((COUNTIFS(Input_Konektivitas!$A$3:$A$563,$A17,Input_Konektivitas!$B$3:$B$563,I$3,Input_Konektivitas!$D$3:$D$563,"&gt;0")+COUNTIFS(Input_Konektivitas!$A$3:$A$563,I$3,Input_Konektivitas!$B$3:$B$563,$A17,Input_Konektivitas!$D$3:$D$563,"&gt;0"))=0,"",SUMIFS(Input_Konektivitas!$C$3:$C$563,Input_Konektivitas!$A$3:$A$563,$A17,Input_Konektivitas!$B$3:$B$563,I$3)+SUMIFS(Input_Konektivitas!$C$3:$C$563,Input_Konektivitas!$A$3:$A$563,I$3,Input_Konektivitas!$B$3:$B$563,$A17))</f>
        <v>1</v>
      </c>
      <c r="J17" s="29">
        <f>IF((COUNTIFS(Input_Konektivitas!$A$3:$A$563,$A17,Input_Konektivitas!$B$3:$B$563,J$3,Input_Konektivitas!$D$3:$D$563,"&gt;0")+COUNTIFS(Input_Konektivitas!$A$3:$A$563,J$3,Input_Konektivitas!$B$3:$B$563,$A17,Input_Konektivitas!$D$3:$D$563,"&gt;0"))=0,"",SUMIFS(Input_Konektivitas!$C$3:$C$563,Input_Konektivitas!$A$3:$A$563,$A17,Input_Konektivitas!$B$3:$B$563,J$3)+SUMIFS(Input_Konektivitas!$C$3:$C$563,Input_Konektivitas!$A$3:$A$563,J$3,Input_Konektivitas!$B$3:$B$563,$A17))</f>
        <v>1</v>
      </c>
      <c r="K17" s="29">
        <f>IF((COUNTIFS(Input_Konektivitas!$A$3:$A$563,$A17,Input_Konektivitas!$B$3:$B$563,K$3,Input_Konektivitas!$D$3:$D$563,"&gt;0")+COUNTIFS(Input_Konektivitas!$A$3:$A$563,K$3,Input_Konektivitas!$B$3:$B$563,$A17,Input_Konektivitas!$D$3:$D$563,"&gt;0"))=0,"",SUMIFS(Input_Konektivitas!$C$3:$C$563,Input_Konektivitas!$A$3:$A$563,$A17,Input_Konektivitas!$B$3:$B$563,K$3)+SUMIFS(Input_Konektivitas!$C$3:$C$563,Input_Konektivitas!$A$3:$A$563,K$3,Input_Konektivitas!$B$3:$B$563,$A17))</f>
        <v>0</v>
      </c>
      <c r="L17" s="29">
        <f>IF((COUNTIFS(Input_Konektivitas!$A$3:$A$563,$A17,Input_Konektivitas!$B$3:$B$563,L$3,Input_Konektivitas!$D$3:$D$563,"&gt;0")+COUNTIFS(Input_Konektivitas!$A$3:$A$563,L$3,Input_Konektivitas!$B$3:$B$563,$A17,Input_Konektivitas!$D$3:$D$563,"&gt;0"))=0,"",SUMIFS(Input_Konektivitas!$C$3:$C$563,Input_Konektivitas!$A$3:$A$563,$A17,Input_Konektivitas!$B$3:$B$563,L$3)+SUMIFS(Input_Konektivitas!$C$3:$C$563,Input_Konektivitas!$A$3:$A$563,L$3,Input_Konektivitas!$B$3:$B$563,$A17))</f>
        <v>0</v>
      </c>
      <c r="M17" s="29" t="str">
        <f>IF((COUNTIFS(Input_Konektivitas!$A$3:$A$563,$A17,Input_Konektivitas!$B$3:$B$563,M$3,Input_Konektivitas!$D$3:$D$563,"&gt;0")+COUNTIFS(Input_Konektivitas!$A$3:$A$563,M$3,Input_Konektivitas!$B$3:$B$563,$A17,Input_Konektivitas!$D$3:$D$563,"&gt;0"))=0,"",SUMIFS(Input_Konektivitas!$C$3:$C$563,Input_Konektivitas!$A$3:$A$563,$A17,Input_Konektivitas!$B$3:$B$563,M$3)+SUMIFS(Input_Konektivitas!$C$3:$C$563,Input_Konektivitas!$A$3:$A$563,M$3,Input_Konektivitas!$B$3:$B$563,$A17))</f>
        <v/>
      </c>
      <c r="N17" s="29">
        <f>IF((COUNTIFS(Input_Konektivitas!$A$3:$A$563,$A17,Input_Konektivitas!$B$3:$B$563,N$3,Input_Konektivitas!$D$3:$D$563,"&gt;0")+COUNTIFS(Input_Konektivitas!$A$3:$A$563,N$3,Input_Konektivitas!$B$3:$B$563,$A17,Input_Konektivitas!$D$3:$D$563,"&gt;0"))=0,"",SUMIFS(Input_Konektivitas!$C$3:$C$563,Input_Konektivitas!$A$3:$A$563,$A17,Input_Konektivitas!$B$3:$B$563,N$3)+SUMIFS(Input_Konektivitas!$C$3:$C$563,Input_Konektivitas!$A$3:$A$563,N$3,Input_Konektivitas!$B$3:$B$563,$A17))</f>
        <v>1</v>
      </c>
      <c r="O17" s="26">
        <v>0.0</v>
      </c>
      <c r="P17" s="29">
        <f>IF((COUNTIFS(Input_Konektivitas!$A$3:$A$563,$A17,Input_Konektivitas!$B$3:$B$563,P$3,Input_Konektivitas!$D$3:$D$563,"&gt;0")+COUNTIFS(Input_Konektivitas!$A$3:$A$563,P$3,Input_Konektivitas!$B$3:$B$563,$A17,Input_Konektivitas!$D$3:$D$563,"&gt;0"))=0,"",SUMIFS(Input_Konektivitas!$C$3:$C$563,Input_Konektivitas!$A$3:$A$563,$A17,Input_Konektivitas!$B$3:$B$563,P$3)+SUMIFS(Input_Konektivitas!$C$3:$C$563,Input_Konektivitas!$A$3:$A$563,P$3,Input_Konektivitas!$B$3:$B$563,$A17))</f>
        <v>1</v>
      </c>
      <c r="Q17" s="29" t="str">
        <f>IF((COUNTIFS(Input_Konektivitas!$A$3:$A$563,$A17,Input_Konektivitas!$B$3:$B$563,Q$3,Input_Konektivitas!$D$3:$D$563,"&gt;0")+COUNTIFS(Input_Konektivitas!$A$3:$A$563,Q$3,Input_Konektivitas!$B$3:$B$563,$A17,Input_Konektivitas!$D$3:$D$563,"&gt;0"))=0,"",SUMIFS(Input_Konektivitas!$C$3:$C$563,Input_Konektivitas!$A$3:$A$563,$A17,Input_Konektivitas!$B$3:$B$563,Q$3)+SUMIFS(Input_Konektivitas!$C$3:$C$563,Input_Konektivitas!$A$3:$A$563,Q$3,Input_Konektivitas!$B$3:$B$563,$A17))</f>
        <v/>
      </c>
      <c r="R17" s="29">
        <f>IF((COUNTIFS(Input_Konektivitas!$A$3:$A$563,$A17,Input_Konektivitas!$B$3:$B$563,R$3,Input_Konektivitas!$D$3:$D$563,"&gt;0")+COUNTIFS(Input_Konektivitas!$A$3:$A$563,R$3,Input_Konektivitas!$B$3:$B$563,$A17,Input_Konektivitas!$D$3:$D$563,"&gt;0"))=0,"",SUMIFS(Input_Konektivitas!$C$3:$C$563,Input_Konektivitas!$A$3:$A$563,$A17,Input_Konektivitas!$B$3:$B$563,R$3)+SUMIFS(Input_Konektivitas!$C$3:$C$563,Input_Konektivitas!$A$3:$A$563,R$3,Input_Konektivitas!$B$3:$B$563,$A17))</f>
        <v>0</v>
      </c>
      <c r="S17" s="29">
        <f>IF((COUNTIFS(Input_Konektivitas!$A$3:$A$563,$A17,Input_Konektivitas!$B$3:$B$563,S$3,Input_Konektivitas!$D$3:$D$563,"&gt;0")+COUNTIFS(Input_Konektivitas!$A$3:$A$563,S$3,Input_Konektivitas!$B$3:$B$563,$A17,Input_Konektivitas!$D$3:$D$563,"&gt;0"))=0,"",SUMIFS(Input_Konektivitas!$C$3:$C$563,Input_Konektivitas!$A$3:$A$563,$A17,Input_Konektivitas!$B$3:$B$563,S$3)+SUMIFS(Input_Konektivitas!$C$3:$C$563,Input_Konektivitas!$A$3:$A$563,S$3,Input_Konektivitas!$B$3:$B$563,$A17))</f>
        <v>0</v>
      </c>
      <c r="T17" s="29">
        <f>IF((COUNTIFS(Input_Konektivitas!$A$3:$A$563,$A17,Input_Konektivitas!$B$3:$B$563,T$3,Input_Konektivitas!$D$3:$D$563,"&gt;0")+COUNTIFS(Input_Konektivitas!$A$3:$A$563,T$3,Input_Konektivitas!$B$3:$B$563,$A17,Input_Konektivitas!$D$3:$D$563,"&gt;0"))=0,"",SUMIFS(Input_Konektivitas!$C$3:$C$563,Input_Konektivitas!$A$3:$A$563,$A17,Input_Konektivitas!$B$3:$B$563,T$3)+SUMIFS(Input_Konektivitas!$C$3:$C$563,Input_Konektivitas!$A$3:$A$563,T$3,Input_Konektivitas!$B$3:$B$563,$A17))</f>
        <v>1</v>
      </c>
      <c r="U17" s="29">
        <f>IF((COUNTIFS(Input_Konektivitas!$A$3:$A$563,$A17,Input_Konektivitas!$B$3:$B$563,U$3,Input_Konektivitas!$D$3:$D$563,"&gt;0")+COUNTIFS(Input_Konektivitas!$A$3:$A$563,U$3,Input_Konektivitas!$B$3:$B$563,$A17,Input_Konektivitas!$D$3:$D$563,"&gt;0"))=0,"",SUMIFS(Input_Konektivitas!$C$3:$C$563,Input_Konektivitas!$A$3:$A$563,$A17,Input_Konektivitas!$B$3:$B$563,U$3)+SUMIFS(Input_Konektivitas!$C$3:$C$563,Input_Konektivitas!$A$3:$A$563,U$3,Input_Konektivitas!$B$3:$B$563,$A17))</f>
        <v>0</v>
      </c>
      <c r="V17" s="29">
        <f>IF((COUNTIFS(Input_Konektivitas!$A$3:$A$563,$A17,Input_Konektivitas!$B$3:$B$563,V$3,Input_Konektivitas!$D$3:$D$563,"&gt;0")+COUNTIFS(Input_Konektivitas!$A$3:$A$563,V$3,Input_Konektivitas!$B$3:$B$563,$A17,Input_Konektivitas!$D$3:$D$563,"&gt;0"))=0,"",SUMIFS(Input_Konektivitas!$C$3:$C$563,Input_Konektivitas!$A$3:$A$563,$A17,Input_Konektivitas!$B$3:$B$563,V$3)+SUMIFS(Input_Konektivitas!$C$3:$C$563,Input_Konektivitas!$A$3:$A$563,V$3,Input_Konektivitas!$B$3:$B$563,$A17))</f>
        <v>0</v>
      </c>
      <c r="W17" s="29">
        <f>IF((COUNTIFS(Input_Konektivitas!$A$3:$A$563,$A17,Input_Konektivitas!$B$3:$B$563,W$3,Input_Konektivitas!$D$3:$D$563,"&gt;0")+COUNTIFS(Input_Konektivitas!$A$3:$A$563,W$3,Input_Konektivitas!$B$3:$B$563,$A17,Input_Konektivitas!$D$3:$D$563,"&gt;0"))=0,"",SUMIFS(Input_Konektivitas!$C$3:$C$563,Input_Konektivitas!$A$3:$A$563,$A17,Input_Konektivitas!$B$3:$B$563,W$3)+SUMIFS(Input_Konektivitas!$C$3:$C$563,Input_Konektivitas!$A$3:$A$563,W$3,Input_Konektivitas!$B$3:$B$563,$A17))</f>
        <v>0</v>
      </c>
      <c r="X17" s="29">
        <f>IF((COUNTIFS(Input_Konektivitas!$A$3:$A$563,$A17,Input_Konektivitas!$B$3:$B$563,X$3,Input_Konektivitas!$D$3:$D$563,"&gt;0")+COUNTIFS(Input_Konektivitas!$A$3:$A$563,X$3,Input_Konektivitas!$B$3:$B$563,$A17,Input_Konektivitas!$D$3:$D$563,"&gt;0"))=0,"",SUMIFS(Input_Konektivitas!$C$3:$C$563,Input_Konektivitas!$A$3:$A$563,$A17,Input_Konektivitas!$B$3:$B$563,X$3)+SUMIFS(Input_Konektivitas!$C$3:$C$563,Input_Konektivitas!$A$3:$A$563,X$3,Input_Konektivitas!$B$3:$B$563,$A17))</f>
        <v>0</v>
      </c>
      <c r="Y17" s="29">
        <f>IF((COUNTIFS(Input_Konektivitas!$A$3:$A$563,$A17,Input_Konektivitas!$B$3:$B$563,Y$3,Input_Konektivitas!$D$3:$D$563,"&gt;0")+COUNTIFS(Input_Konektivitas!$A$3:$A$563,Y$3,Input_Konektivitas!$B$3:$B$563,$A17,Input_Konektivitas!$D$3:$D$563,"&gt;0"))=0,"",SUMIFS(Input_Konektivitas!$C$3:$C$563,Input_Konektivitas!$A$3:$A$563,$A17,Input_Konektivitas!$B$3:$B$563,Y$3)+SUMIFS(Input_Konektivitas!$C$3:$C$563,Input_Konektivitas!$A$3:$A$563,Y$3,Input_Konektivitas!$B$3:$B$563,$A17))</f>
        <v>1</v>
      </c>
      <c r="Z17" s="29">
        <f>IF((COUNTIFS(Input_Konektivitas!$A$3:$A$563,$A17,Input_Konektivitas!$B$3:$B$563,Z$3,Input_Konektivitas!$D$3:$D$563,"&gt;0")+COUNTIFS(Input_Konektivitas!$A$3:$A$563,Z$3,Input_Konektivitas!$B$3:$B$563,$A17,Input_Konektivitas!$D$3:$D$563,"&gt;0"))=0,"",SUMIFS(Input_Konektivitas!$C$3:$C$563,Input_Konektivitas!$A$3:$A$563,$A17,Input_Konektivitas!$B$3:$B$563,Z$3)+SUMIFS(Input_Konektivitas!$C$3:$C$563,Input_Konektivitas!$A$3:$A$563,Z$3,Input_Konektivitas!$B$3:$B$563,$A17))</f>
        <v>1</v>
      </c>
      <c r="AA17" s="29">
        <f>IF((COUNTIFS(Input_Konektivitas!$A$3:$A$563,$A17,Input_Konektivitas!$B$3:$B$563,AA$3,Input_Konektivitas!$D$3:$D$563,"&gt;0")+COUNTIFS(Input_Konektivitas!$A$3:$A$563,AA$3,Input_Konektivitas!$B$3:$B$563,$A17,Input_Konektivitas!$D$3:$D$563,"&gt;0"))=0,"",SUMIFS(Input_Konektivitas!$C$3:$C$563,Input_Konektivitas!$A$3:$A$563,$A17,Input_Konektivitas!$B$3:$B$563,AA$3)+SUMIFS(Input_Konektivitas!$C$3:$C$563,Input_Konektivitas!$A$3:$A$563,AA$3,Input_Konektivitas!$B$3:$B$563,$A17))</f>
        <v>1</v>
      </c>
      <c r="AB17" s="29">
        <f>IF((COUNTIFS(Input_Konektivitas!$A$3:$A$563,$A17,Input_Konektivitas!$B$3:$B$563,AB$3,Input_Konektivitas!$D$3:$D$563,"&gt;0")+COUNTIFS(Input_Konektivitas!$A$3:$A$563,AB$3,Input_Konektivitas!$B$3:$B$563,$A17,Input_Konektivitas!$D$3:$D$563,"&gt;0"))=0,"",SUMIFS(Input_Konektivitas!$C$3:$C$563,Input_Konektivitas!$A$3:$A$563,$A17,Input_Konektivitas!$B$3:$B$563,AB$3)+SUMIFS(Input_Konektivitas!$C$3:$C$563,Input_Konektivitas!$A$3:$A$563,AB$3,Input_Konektivitas!$B$3:$B$563,$A17))</f>
        <v>0</v>
      </c>
      <c r="AC17" s="29">
        <f>IF((COUNTIFS(Input_Konektivitas!$A$3:$A$563,$A17,Input_Konektivitas!$B$3:$B$563,AC$3,Input_Konektivitas!$D$3:$D$563,"&gt;0")+COUNTIFS(Input_Konektivitas!$A$3:$A$563,AC$3,Input_Konektivitas!$B$3:$B$563,$A17,Input_Konektivitas!$D$3:$D$563,"&gt;0"))=0,"",SUMIFS(Input_Konektivitas!$C$3:$C$563,Input_Konektivitas!$A$3:$A$563,$A17,Input_Konektivitas!$B$3:$B$563,AC$3)+SUMIFS(Input_Konektivitas!$C$3:$C$563,Input_Konektivitas!$A$3:$A$563,AC$3,Input_Konektivitas!$B$3:$B$563,$A17))</f>
        <v>1</v>
      </c>
      <c r="AD17" s="29">
        <f>IF((COUNTIFS(Input_Konektivitas!$A$3:$A$563,$A17,Input_Konektivitas!$B$3:$B$563,AD$3,Input_Konektivitas!$D$3:$D$563,"&gt;0")+COUNTIFS(Input_Konektivitas!$A$3:$A$563,AD$3,Input_Konektivitas!$B$3:$B$563,$A17,Input_Konektivitas!$D$3:$D$563,"&gt;0"))=0,"",SUMIFS(Input_Konektivitas!$C$3:$C$563,Input_Konektivitas!$A$3:$A$563,$A17,Input_Konektivitas!$B$3:$B$563,AD$3)+SUMIFS(Input_Konektivitas!$C$3:$C$563,Input_Konektivitas!$A$3:$A$563,AD$3,Input_Konektivitas!$B$3:$B$563,$A17))</f>
        <v>1</v>
      </c>
      <c r="AE17" s="29">
        <f>IF((COUNTIFS(Input_Konektivitas!$A$3:$A$563,$A17,Input_Konektivitas!$B$3:$B$563,AE$3,Input_Konektivitas!$D$3:$D$563,"&gt;0")+COUNTIFS(Input_Konektivitas!$A$3:$A$563,AE$3,Input_Konektivitas!$B$3:$B$563,$A17,Input_Konektivitas!$D$3:$D$563,"&gt;0"))=0,"",SUMIFS(Input_Konektivitas!$C$3:$C$563,Input_Konektivitas!$A$3:$A$563,$A17,Input_Konektivitas!$B$3:$B$563,AE$3)+SUMIFS(Input_Konektivitas!$C$3:$C$563,Input_Konektivitas!$A$3:$A$563,AE$3,Input_Konektivitas!$B$3:$B$563,$A17))</f>
        <v>1</v>
      </c>
      <c r="AF17" s="29">
        <f>IF((COUNTIFS(Input_Konektivitas!$A$3:$A$563,$A17,Input_Konektivitas!$B$3:$B$563,AF$3,Input_Konektivitas!$D$3:$D$563,"&gt;0")+COUNTIFS(Input_Konektivitas!$A$3:$A$563,AF$3,Input_Konektivitas!$B$3:$B$563,$A17,Input_Konektivitas!$D$3:$D$563,"&gt;0"))=0,"",SUMIFS(Input_Konektivitas!$C$3:$C$563,Input_Konektivitas!$A$3:$A$563,$A17,Input_Konektivitas!$B$3:$B$563,AF$3)+SUMIFS(Input_Konektivitas!$C$3:$C$563,Input_Konektivitas!$A$3:$A$563,AF$3,Input_Konektivitas!$B$3:$B$563,$A17))</f>
        <v>1</v>
      </c>
      <c r="AG17" s="29">
        <f>IF((COUNTIFS(Input_Konektivitas!$A$3:$A$563,$A17,Input_Konektivitas!$B$3:$B$563,AG$3,Input_Konektivitas!$D$3:$D$563,"&gt;0")+COUNTIFS(Input_Konektivitas!$A$3:$A$563,AG$3,Input_Konektivitas!$B$3:$B$563,$A17,Input_Konektivitas!$D$3:$D$563,"&gt;0"))=0,"",SUMIFS(Input_Konektivitas!$C$3:$C$563,Input_Konektivitas!$A$3:$A$563,$A17,Input_Konektivitas!$B$3:$B$563,AG$3)+SUMIFS(Input_Konektivitas!$C$3:$C$563,Input_Konektivitas!$A$3:$A$563,AG$3,Input_Konektivitas!$B$3:$B$563,$A17))</f>
        <v>1</v>
      </c>
      <c r="AH17" s="29">
        <f>IF((COUNTIFS(Input_Konektivitas!$A$3:$A$563,$A17,Input_Konektivitas!$B$3:$B$563,AH$3,Input_Konektivitas!$D$3:$D$563,"&gt;0")+COUNTIFS(Input_Konektivitas!$A$3:$A$563,AH$3,Input_Konektivitas!$B$3:$B$563,$A17,Input_Konektivitas!$D$3:$D$563,"&gt;0"))=0,"",SUMIFS(Input_Konektivitas!$C$3:$C$563,Input_Konektivitas!$A$3:$A$563,$A17,Input_Konektivitas!$B$3:$B$563,AH$3)+SUMIFS(Input_Konektivitas!$C$3:$C$563,Input_Konektivitas!$A$3:$A$563,AH$3,Input_Konektivitas!$B$3:$B$563,$A17))</f>
        <v>1</v>
      </c>
      <c r="AI17" s="29">
        <f>IF((COUNTIFS(Input_Konektivitas!$A$3:$A$563,$A17,Input_Konektivitas!$B$3:$B$563,AI$3,Input_Konektivitas!$D$3:$D$563,"&gt;0")+COUNTIFS(Input_Konektivitas!$A$3:$A$563,AI$3,Input_Konektivitas!$B$3:$B$563,$A17,Input_Konektivitas!$D$3:$D$563,"&gt;0"))=0,"",SUMIFS(Input_Konektivitas!$C$3:$C$563,Input_Konektivitas!$A$3:$A$563,$A17,Input_Konektivitas!$B$3:$B$563,AI$3)+SUMIFS(Input_Konektivitas!$C$3:$C$563,Input_Konektivitas!$A$3:$A$563,AI$3,Input_Konektivitas!$B$3:$B$563,$A17))</f>
        <v>1</v>
      </c>
    </row>
    <row r="18" ht="14.25" customHeight="1">
      <c r="A18" s="22" t="s">
        <v>43</v>
      </c>
      <c r="B18" s="29">
        <f>IF((COUNTIFS(Input_Konektivitas!$A$3:$A$563,$A18,Input_Konektivitas!$B$3:$B$563,B$3,Input_Konektivitas!$D$3:$D$563,"&gt;0")+COUNTIFS(Input_Konektivitas!$A$3:$A$563,B$3,Input_Konektivitas!$B$3:$B$563,$A18,Input_Konektivitas!$D$3:$D$563,"&gt;0"))=0,"",SUMIFS(Input_Konektivitas!$C$3:$C$563,Input_Konektivitas!$A$3:$A$563,$A18,Input_Konektivitas!$B$3:$B$563,B$3)+SUMIFS(Input_Konektivitas!$C$3:$C$563,Input_Konektivitas!$A$3:$A$563,B$3,Input_Konektivitas!$B$3:$B$563,$A18))</f>
        <v>1</v>
      </c>
      <c r="C18" s="29">
        <f>IF((COUNTIFS(Input_Konektivitas!$A$3:$A$563,$A18,Input_Konektivitas!$B$3:$B$563,C$3,Input_Konektivitas!$D$3:$D$563,"&gt;0")+COUNTIFS(Input_Konektivitas!$A$3:$A$563,C$3,Input_Konektivitas!$B$3:$B$563,$A18,Input_Konektivitas!$D$3:$D$563,"&gt;0"))=0,"",SUMIFS(Input_Konektivitas!$C$3:$C$563,Input_Konektivitas!$A$3:$A$563,$A18,Input_Konektivitas!$B$3:$B$563,C$3)+SUMIFS(Input_Konektivitas!$C$3:$C$563,Input_Konektivitas!$A$3:$A$563,C$3,Input_Konektivitas!$B$3:$B$563,$A18))</f>
        <v>0</v>
      </c>
      <c r="D18" s="29">
        <f>IF((COUNTIFS(Input_Konektivitas!$A$3:$A$563,$A18,Input_Konektivitas!$B$3:$B$563,D$3,Input_Konektivitas!$D$3:$D$563,"&gt;0")+COUNTIFS(Input_Konektivitas!$A$3:$A$563,D$3,Input_Konektivitas!$B$3:$B$563,$A18,Input_Konektivitas!$D$3:$D$563,"&gt;0"))=0,"",SUMIFS(Input_Konektivitas!$C$3:$C$563,Input_Konektivitas!$A$3:$A$563,$A18,Input_Konektivitas!$B$3:$B$563,D$3)+SUMIFS(Input_Konektivitas!$C$3:$C$563,Input_Konektivitas!$A$3:$A$563,D$3,Input_Konektivitas!$B$3:$B$563,$A18))</f>
        <v>1</v>
      </c>
      <c r="E18" s="29">
        <f>IF((COUNTIFS(Input_Konektivitas!$A$3:$A$563,$A18,Input_Konektivitas!$B$3:$B$563,E$3,Input_Konektivitas!$D$3:$D$563,"&gt;0")+COUNTIFS(Input_Konektivitas!$A$3:$A$563,E$3,Input_Konektivitas!$B$3:$B$563,$A18,Input_Konektivitas!$D$3:$D$563,"&gt;0"))=0,"",SUMIFS(Input_Konektivitas!$C$3:$C$563,Input_Konektivitas!$A$3:$A$563,$A18,Input_Konektivitas!$B$3:$B$563,E$3)+SUMIFS(Input_Konektivitas!$C$3:$C$563,Input_Konektivitas!$A$3:$A$563,E$3,Input_Konektivitas!$B$3:$B$563,$A18))</f>
        <v>1</v>
      </c>
      <c r="F18" s="29">
        <f>IF((COUNTIFS(Input_Konektivitas!$A$3:$A$563,$A18,Input_Konektivitas!$B$3:$B$563,F$3,Input_Konektivitas!$D$3:$D$563,"&gt;0")+COUNTIFS(Input_Konektivitas!$A$3:$A$563,F$3,Input_Konektivitas!$B$3:$B$563,$A18,Input_Konektivitas!$D$3:$D$563,"&gt;0"))=0,"",SUMIFS(Input_Konektivitas!$C$3:$C$563,Input_Konektivitas!$A$3:$A$563,$A18,Input_Konektivitas!$B$3:$B$563,F$3)+SUMIFS(Input_Konektivitas!$C$3:$C$563,Input_Konektivitas!$A$3:$A$563,F$3,Input_Konektivitas!$B$3:$B$563,$A18))</f>
        <v>1</v>
      </c>
      <c r="G18" s="29">
        <f>IF((COUNTIFS(Input_Konektivitas!$A$3:$A$563,$A18,Input_Konektivitas!$B$3:$B$563,G$3,Input_Konektivitas!$D$3:$D$563,"&gt;0")+COUNTIFS(Input_Konektivitas!$A$3:$A$563,G$3,Input_Konektivitas!$B$3:$B$563,$A18,Input_Konektivitas!$D$3:$D$563,"&gt;0"))=0,"",SUMIFS(Input_Konektivitas!$C$3:$C$563,Input_Konektivitas!$A$3:$A$563,$A18,Input_Konektivitas!$B$3:$B$563,G$3)+SUMIFS(Input_Konektivitas!$C$3:$C$563,Input_Konektivitas!$A$3:$A$563,G$3,Input_Konektivitas!$B$3:$B$563,$A18))</f>
        <v>0</v>
      </c>
      <c r="H18" s="29">
        <f>IF((COUNTIFS(Input_Konektivitas!$A$3:$A$563,$A18,Input_Konektivitas!$B$3:$B$563,H$3,Input_Konektivitas!$D$3:$D$563,"&gt;0")+COUNTIFS(Input_Konektivitas!$A$3:$A$563,H$3,Input_Konektivitas!$B$3:$B$563,$A18,Input_Konektivitas!$D$3:$D$563,"&gt;0"))=0,"",SUMIFS(Input_Konektivitas!$C$3:$C$563,Input_Konektivitas!$A$3:$A$563,$A18,Input_Konektivitas!$B$3:$B$563,H$3)+SUMIFS(Input_Konektivitas!$C$3:$C$563,Input_Konektivitas!$A$3:$A$563,H$3,Input_Konektivitas!$B$3:$B$563,$A18))</f>
        <v>1</v>
      </c>
      <c r="I18" s="29">
        <f>IF((COUNTIFS(Input_Konektivitas!$A$3:$A$563,$A18,Input_Konektivitas!$B$3:$B$563,I$3,Input_Konektivitas!$D$3:$D$563,"&gt;0")+COUNTIFS(Input_Konektivitas!$A$3:$A$563,I$3,Input_Konektivitas!$B$3:$B$563,$A18,Input_Konektivitas!$D$3:$D$563,"&gt;0"))=0,"",SUMIFS(Input_Konektivitas!$C$3:$C$563,Input_Konektivitas!$A$3:$A$563,$A18,Input_Konektivitas!$B$3:$B$563,I$3)+SUMIFS(Input_Konektivitas!$C$3:$C$563,Input_Konektivitas!$A$3:$A$563,I$3,Input_Konektivitas!$B$3:$B$563,$A18))</f>
        <v>1</v>
      </c>
      <c r="J18" s="29">
        <f>IF((COUNTIFS(Input_Konektivitas!$A$3:$A$563,$A18,Input_Konektivitas!$B$3:$B$563,J$3,Input_Konektivitas!$D$3:$D$563,"&gt;0")+COUNTIFS(Input_Konektivitas!$A$3:$A$563,J$3,Input_Konektivitas!$B$3:$B$563,$A18,Input_Konektivitas!$D$3:$D$563,"&gt;0"))=0,"",SUMIFS(Input_Konektivitas!$C$3:$C$563,Input_Konektivitas!$A$3:$A$563,$A18,Input_Konektivitas!$B$3:$B$563,J$3)+SUMIFS(Input_Konektivitas!$C$3:$C$563,Input_Konektivitas!$A$3:$A$563,J$3,Input_Konektivitas!$B$3:$B$563,$A18))</f>
        <v>1</v>
      </c>
      <c r="K18" s="29">
        <f>IF((COUNTIFS(Input_Konektivitas!$A$3:$A$563,$A18,Input_Konektivitas!$B$3:$B$563,K$3,Input_Konektivitas!$D$3:$D$563,"&gt;0")+COUNTIFS(Input_Konektivitas!$A$3:$A$563,K$3,Input_Konektivitas!$B$3:$B$563,$A18,Input_Konektivitas!$D$3:$D$563,"&gt;0"))=0,"",SUMIFS(Input_Konektivitas!$C$3:$C$563,Input_Konektivitas!$A$3:$A$563,$A18,Input_Konektivitas!$B$3:$B$563,K$3)+SUMIFS(Input_Konektivitas!$C$3:$C$563,Input_Konektivitas!$A$3:$A$563,K$3,Input_Konektivitas!$B$3:$B$563,$A18))</f>
        <v>1</v>
      </c>
      <c r="L18" s="29">
        <f>IF((COUNTIFS(Input_Konektivitas!$A$3:$A$563,$A18,Input_Konektivitas!$B$3:$B$563,L$3,Input_Konektivitas!$D$3:$D$563,"&gt;0")+COUNTIFS(Input_Konektivitas!$A$3:$A$563,L$3,Input_Konektivitas!$B$3:$B$563,$A18,Input_Konektivitas!$D$3:$D$563,"&gt;0"))=0,"",SUMIFS(Input_Konektivitas!$C$3:$C$563,Input_Konektivitas!$A$3:$A$563,$A18,Input_Konektivitas!$B$3:$B$563,L$3)+SUMIFS(Input_Konektivitas!$C$3:$C$563,Input_Konektivitas!$A$3:$A$563,L$3,Input_Konektivitas!$B$3:$B$563,$A18))</f>
        <v>0</v>
      </c>
      <c r="M18" s="29">
        <f>IF((COUNTIFS(Input_Konektivitas!$A$3:$A$563,$A18,Input_Konektivitas!$B$3:$B$563,M$3,Input_Konektivitas!$D$3:$D$563,"&gt;0")+COUNTIFS(Input_Konektivitas!$A$3:$A$563,M$3,Input_Konektivitas!$B$3:$B$563,$A18,Input_Konektivitas!$D$3:$D$563,"&gt;0"))=0,"",SUMIFS(Input_Konektivitas!$C$3:$C$563,Input_Konektivitas!$A$3:$A$563,$A18,Input_Konektivitas!$B$3:$B$563,M$3)+SUMIFS(Input_Konektivitas!$C$3:$C$563,Input_Konektivitas!$A$3:$A$563,M$3,Input_Konektivitas!$B$3:$B$563,$A18))</f>
        <v>0</v>
      </c>
      <c r="N18" s="29">
        <f>IF((COUNTIFS(Input_Konektivitas!$A$3:$A$563,$A18,Input_Konektivitas!$B$3:$B$563,N$3,Input_Konektivitas!$D$3:$D$563,"&gt;0")+COUNTIFS(Input_Konektivitas!$A$3:$A$563,N$3,Input_Konektivitas!$B$3:$B$563,$A18,Input_Konektivitas!$D$3:$D$563,"&gt;0"))=0,"",SUMIFS(Input_Konektivitas!$C$3:$C$563,Input_Konektivitas!$A$3:$A$563,$A18,Input_Konektivitas!$B$3:$B$563,N$3)+SUMIFS(Input_Konektivitas!$C$3:$C$563,Input_Konektivitas!$A$3:$A$563,N$3,Input_Konektivitas!$B$3:$B$563,$A18))</f>
        <v>0</v>
      </c>
      <c r="O18" s="29">
        <f>IF((COUNTIFS(Input_Konektivitas!$A$3:$A$563,$A18,Input_Konektivitas!$B$3:$B$563,O$3,Input_Konektivitas!$D$3:$D$563,"&gt;0")+COUNTIFS(Input_Konektivitas!$A$3:$A$563,O$3,Input_Konektivitas!$B$3:$B$563,$A18,Input_Konektivitas!$D$3:$D$563,"&gt;0"))=0,"",SUMIFS(Input_Konektivitas!$C$3:$C$563,Input_Konektivitas!$A$3:$A$563,$A18,Input_Konektivitas!$B$3:$B$563,O$3)+SUMIFS(Input_Konektivitas!$C$3:$C$563,Input_Konektivitas!$A$3:$A$563,O$3,Input_Konektivitas!$B$3:$B$563,$A18))</f>
        <v>1</v>
      </c>
      <c r="P18" s="26">
        <v>0.0</v>
      </c>
      <c r="Q18" s="29" t="str">
        <f>IF((COUNTIFS(Input_Konektivitas!$A$3:$A$563,$A18,Input_Konektivitas!$B$3:$B$563,Q$3,Input_Konektivitas!$D$3:$D$563,"&gt;0")+COUNTIFS(Input_Konektivitas!$A$3:$A$563,Q$3,Input_Konektivitas!$B$3:$B$563,$A18,Input_Konektivitas!$D$3:$D$563,"&gt;0"))=0,"",SUMIFS(Input_Konektivitas!$C$3:$C$563,Input_Konektivitas!$A$3:$A$563,$A18,Input_Konektivitas!$B$3:$B$563,Q$3)+SUMIFS(Input_Konektivitas!$C$3:$C$563,Input_Konektivitas!$A$3:$A$563,Q$3,Input_Konektivitas!$B$3:$B$563,$A18))</f>
        <v/>
      </c>
      <c r="R18" s="29">
        <f>IF((COUNTIFS(Input_Konektivitas!$A$3:$A$563,$A18,Input_Konektivitas!$B$3:$B$563,R$3,Input_Konektivitas!$D$3:$D$563,"&gt;0")+COUNTIFS(Input_Konektivitas!$A$3:$A$563,R$3,Input_Konektivitas!$B$3:$B$563,$A18,Input_Konektivitas!$D$3:$D$563,"&gt;0"))=0,"",SUMIFS(Input_Konektivitas!$C$3:$C$563,Input_Konektivitas!$A$3:$A$563,$A18,Input_Konektivitas!$B$3:$B$563,R$3)+SUMIFS(Input_Konektivitas!$C$3:$C$563,Input_Konektivitas!$A$3:$A$563,R$3,Input_Konektivitas!$B$3:$B$563,$A18))</f>
        <v>0</v>
      </c>
      <c r="S18" s="29">
        <f>IF((COUNTIFS(Input_Konektivitas!$A$3:$A$563,$A18,Input_Konektivitas!$B$3:$B$563,S$3,Input_Konektivitas!$D$3:$D$563,"&gt;0")+COUNTIFS(Input_Konektivitas!$A$3:$A$563,S$3,Input_Konektivitas!$B$3:$B$563,$A18,Input_Konektivitas!$D$3:$D$563,"&gt;0"))=0,"",SUMIFS(Input_Konektivitas!$C$3:$C$563,Input_Konektivitas!$A$3:$A$563,$A18,Input_Konektivitas!$B$3:$B$563,S$3)+SUMIFS(Input_Konektivitas!$C$3:$C$563,Input_Konektivitas!$A$3:$A$563,S$3,Input_Konektivitas!$B$3:$B$563,$A18))</f>
        <v>0</v>
      </c>
      <c r="T18" s="29">
        <f>IF((COUNTIFS(Input_Konektivitas!$A$3:$A$563,$A18,Input_Konektivitas!$B$3:$B$563,T$3,Input_Konektivitas!$D$3:$D$563,"&gt;0")+COUNTIFS(Input_Konektivitas!$A$3:$A$563,T$3,Input_Konektivitas!$B$3:$B$563,$A18,Input_Konektivitas!$D$3:$D$563,"&gt;0"))=0,"",SUMIFS(Input_Konektivitas!$C$3:$C$563,Input_Konektivitas!$A$3:$A$563,$A18,Input_Konektivitas!$B$3:$B$563,T$3)+SUMIFS(Input_Konektivitas!$C$3:$C$563,Input_Konektivitas!$A$3:$A$563,T$3,Input_Konektivitas!$B$3:$B$563,$A18))</f>
        <v>0</v>
      </c>
      <c r="U18" s="29">
        <f>IF((COUNTIFS(Input_Konektivitas!$A$3:$A$563,$A18,Input_Konektivitas!$B$3:$B$563,U$3,Input_Konektivitas!$D$3:$D$563,"&gt;0")+COUNTIFS(Input_Konektivitas!$A$3:$A$563,U$3,Input_Konektivitas!$B$3:$B$563,$A18,Input_Konektivitas!$D$3:$D$563,"&gt;0"))=0,"",SUMIFS(Input_Konektivitas!$C$3:$C$563,Input_Konektivitas!$A$3:$A$563,$A18,Input_Konektivitas!$B$3:$B$563,U$3)+SUMIFS(Input_Konektivitas!$C$3:$C$563,Input_Konektivitas!$A$3:$A$563,U$3,Input_Konektivitas!$B$3:$B$563,$A18))</f>
        <v>0</v>
      </c>
      <c r="V18" s="29">
        <f>IF((COUNTIFS(Input_Konektivitas!$A$3:$A$563,$A18,Input_Konektivitas!$B$3:$B$563,V$3,Input_Konektivitas!$D$3:$D$563,"&gt;0")+COUNTIFS(Input_Konektivitas!$A$3:$A$563,V$3,Input_Konektivitas!$B$3:$B$563,$A18,Input_Konektivitas!$D$3:$D$563,"&gt;0"))=0,"",SUMIFS(Input_Konektivitas!$C$3:$C$563,Input_Konektivitas!$A$3:$A$563,$A18,Input_Konektivitas!$B$3:$B$563,V$3)+SUMIFS(Input_Konektivitas!$C$3:$C$563,Input_Konektivitas!$A$3:$A$563,V$3,Input_Konektivitas!$B$3:$B$563,$A18))</f>
        <v>0</v>
      </c>
      <c r="W18" s="29">
        <f>IF((COUNTIFS(Input_Konektivitas!$A$3:$A$563,$A18,Input_Konektivitas!$B$3:$B$563,W$3,Input_Konektivitas!$D$3:$D$563,"&gt;0")+COUNTIFS(Input_Konektivitas!$A$3:$A$563,W$3,Input_Konektivitas!$B$3:$B$563,$A18,Input_Konektivitas!$D$3:$D$563,"&gt;0"))=0,"",SUMIFS(Input_Konektivitas!$C$3:$C$563,Input_Konektivitas!$A$3:$A$563,$A18,Input_Konektivitas!$B$3:$B$563,W$3)+SUMIFS(Input_Konektivitas!$C$3:$C$563,Input_Konektivitas!$A$3:$A$563,W$3,Input_Konektivitas!$B$3:$B$563,$A18))</f>
        <v>0</v>
      </c>
      <c r="X18" s="29">
        <f>IF((COUNTIFS(Input_Konektivitas!$A$3:$A$563,$A18,Input_Konektivitas!$B$3:$B$563,X$3,Input_Konektivitas!$D$3:$D$563,"&gt;0")+COUNTIFS(Input_Konektivitas!$A$3:$A$563,X$3,Input_Konektivitas!$B$3:$B$563,$A18,Input_Konektivitas!$D$3:$D$563,"&gt;0"))=0,"",SUMIFS(Input_Konektivitas!$C$3:$C$563,Input_Konektivitas!$A$3:$A$563,$A18,Input_Konektivitas!$B$3:$B$563,X$3)+SUMIFS(Input_Konektivitas!$C$3:$C$563,Input_Konektivitas!$A$3:$A$563,X$3,Input_Konektivitas!$B$3:$B$563,$A18))</f>
        <v>0</v>
      </c>
      <c r="Y18" s="29">
        <f>IF((COUNTIFS(Input_Konektivitas!$A$3:$A$563,$A18,Input_Konektivitas!$B$3:$B$563,Y$3,Input_Konektivitas!$D$3:$D$563,"&gt;0")+COUNTIFS(Input_Konektivitas!$A$3:$A$563,Y$3,Input_Konektivitas!$B$3:$B$563,$A18,Input_Konektivitas!$D$3:$D$563,"&gt;0"))=0,"",SUMIFS(Input_Konektivitas!$C$3:$C$563,Input_Konektivitas!$A$3:$A$563,$A18,Input_Konektivitas!$B$3:$B$563,Y$3)+SUMIFS(Input_Konektivitas!$C$3:$C$563,Input_Konektivitas!$A$3:$A$563,Y$3,Input_Konektivitas!$B$3:$B$563,$A18))</f>
        <v>0</v>
      </c>
      <c r="Z18" s="29">
        <f>IF((COUNTIFS(Input_Konektivitas!$A$3:$A$563,$A18,Input_Konektivitas!$B$3:$B$563,Z$3,Input_Konektivitas!$D$3:$D$563,"&gt;0")+COUNTIFS(Input_Konektivitas!$A$3:$A$563,Z$3,Input_Konektivitas!$B$3:$B$563,$A18,Input_Konektivitas!$D$3:$D$563,"&gt;0"))=0,"",SUMIFS(Input_Konektivitas!$C$3:$C$563,Input_Konektivitas!$A$3:$A$563,$A18,Input_Konektivitas!$B$3:$B$563,Z$3)+SUMIFS(Input_Konektivitas!$C$3:$C$563,Input_Konektivitas!$A$3:$A$563,Z$3,Input_Konektivitas!$B$3:$B$563,$A18))</f>
        <v>0</v>
      </c>
      <c r="AA18" s="29">
        <f>IF((COUNTIFS(Input_Konektivitas!$A$3:$A$563,$A18,Input_Konektivitas!$B$3:$B$563,AA$3,Input_Konektivitas!$D$3:$D$563,"&gt;0")+COUNTIFS(Input_Konektivitas!$A$3:$A$563,AA$3,Input_Konektivitas!$B$3:$B$563,$A18,Input_Konektivitas!$D$3:$D$563,"&gt;0"))=0,"",SUMIFS(Input_Konektivitas!$C$3:$C$563,Input_Konektivitas!$A$3:$A$563,$A18,Input_Konektivitas!$B$3:$B$563,AA$3)+SUMIFS(Input_Konektivitas!$C$3:$C$563,Input_Konektivitas!$A$3:$A$563,AA$3,Input_Konektivitas!$B$3:$B$563,$A18))</f>
        <v>1</v>
      </c>
      <c r="AB18" s="29">
        <f>IF((COUNTIFS(Input_Konektivitas!$A$3:$A$563,$A18,Input_Konektivitas!$B$3:$B$563,AB$3,Input_Konektivitas!$D$3:$D$563,"&gt;0")+COUNTIFS(Input_Konektivitas!$A$3:$A$563,AB$3,Input_Konektivitas!$B$3:$B$563,$A18,Input_Konektivitas!$D$3:$D$563,"&gt;0"))=0,"",SUMIFS(Input_Konektivitas!$C$3:$C$563,Input_Konektivitas!$A$3:$A$563,$A18,Input_Konektivitas!$B$3:$B$563,AB$3)+SUMIFS(Input_Konektivitas!$C$3:$C$563,Input_Konektivitas!$A$3:$A$563,AB$3,Input_Konektivitas!$B$3:$B$563,$A18))</f>
        <v>0</v>
      </c>
      <c r="AC18" s="29">
        <f>IF((COUNTIFS(Input_Konektivitas!$A$3:$A$563,$A18,Input_Konektivitas!$B$3:$B$563,AC$3,Input_Konektivitas!$D$3:$D$563,"&gt;0")+COUNTIFS(Input_Konektivitas!$A$3:$A$563,AC$3,Input_Konektivitas!$B$3:$B$563,$A18,Input_Konektivitas!$D$3:$D$563,"&gt;0"))=0,"",SUMIFS(Input_Konektivitas!$C$3:$C$563,Input_Konektivitas!$A$3:$A$563,$A18,Input_Konektivitas!$B$3:$B$563,AC$3)+SUMIFS(Input_Konektivitas!$C$3:$C$563,Input_Konektivitas!$A$3:$A$563,AC$3,Input_Konektivitas!$B$3:$B$563,$A18))</f>
        <v>0</v>
      </c>
      <c r="AD18" s="29">
        <f>IF((COUNTIFS(Input_Konektivitas!$A$3:$A$563,$A18,Input_Konektivitas!$B$3:$B$563,AD$3,Input_Konektivitas!$D$3:$D$563,"&gt;0")+COUNTIFS(Input_Konektivitas!$A$3:$A$563,AD$3,Input_Konektivitas!$B$3:$B$563,$A18,Input_Konektivitas!$D$3:$D$563,"&gt;0"))=0,"",SUMIFS(Input_Konektivitas!$C$3:$C$563,Input_Konektivitas!$A$3:$A$563,$A18,Input_Konektivitas!$B$3:$B$563,AD$3)+SUMIFS(Input_Konektivitas!$C$3:$C$563,Input_Konektivitas!$A$3:$A$563,AD$3,Input_Konektivitas!$B$3:$B$563,$A18))</f>
        <v>1</v>
      </c>
      <c r="AE18" s="29">
        <f>IF((COUNTIFS(Input_Konektivitas!$A$3:$A$563,$A18,Input_Konektivitas!$B$3:$B$563,AE$3,Input_Konektivitas!$D$3:$D$563,"&gt;0")+COUNTIFS(Input_Konektivitas!$A$3:$A$563,AE$3,Input_Konektivitas!$B$3:$B$563,$A18,Input_Konektivitas!$D$3:$D$563,"&gt;0"))=0,"",SUMIFS(Input_Konektivitas!$C$3:$C$563,Input_Konektivitas!$A$3:$A$563,$A18,Input_Konektivitas!$B$3:$B$563,AE$3)+SUMIFS(Input_Konektivitas!$C$3:$C$563,Input_Konektivitas!$A$3:$A$563,AE$3,Input_Konektivitas!$B$3:$B$563,$A18))</f>
        <v>1</v>
      </c>
      <c r="AF18" s="29">
        <f>IF((COUNTIFS(Input_Konektivitas!$A$3:$A$563,$A18,Input_Konektivitas!$B$3:$B$563,AF$3,Input_Konektivitas!$D$3:$D$563,"&gt;0")+COUNTIFS(Input_Konektivitas!$A$3:$A$563,AF$3,Input_Konektivitas!$B$3:$B$563,$A18,Input_Konektivitas!$D$3:$D$563,"&gt;0"))=0,"",SUMIFS(Input_Konektivitas!$C$3:$C$563,Input_Konektivitas!$A$3:$A$563,$A18,Input_Konektivitas!$B$3:$B$563,AF$3)+SUMIFS(Input_Konektivitas!$C$3:$C$563,Input_Konektivitas!$A$3:$A$563,AF$3,Input_Konektivitas!$B$3:$B$563,$A18))</f>
        <v>0</v>
      </c>
      <c r="AG18" s="29">
        <f>IF((COUNTIFS(Input_Konektivitas!$A$3:$A$563,$A18,Input_Konektivitas!$B$3:$B$563,AG$3,Input_Konektivitas!$D$3:$D$563,"&gt;0")+COUNTIFS(Input_Konektivitas!$A$3:$A$563,AG$3,Input_Konektivitas!$B$3:$B$563,$A18,Input_Konektivitas!$D$3:$D$563,"&gt;0"))=0,"",SUMIFS(Input_Konektivitas!$C$3:$C$563,Input_Konektivitas!$A$3:$A$563,$A18,Input_Konektivitas!$B$3:$B$563,AG$3)+SUMIFS(Input_Konektivitas!$C$3:$C$563,Input_Konektivitas!$A$3:$A$563,AG$3,Input_Konektivitas!$B$3:$B$563,$A18))</f>
        <v>0</v>
      </c>
      <c r="AH18" s="29">
        <f>IF((COUNTIFS(Input_Konektivitas!$A$3:$A$563,$A18,Input_Konektivitas!$B$3:$B$563,AH$3,Input_Konektivitas!$D$3:$D$563,"&gt;0")+COUNTIFS(Input_Konektivitas!$A$3:$A$563,AH$3,Input_Konektivitas!$B$3:$B$563,$A18,Input_Konektivitas!$D$3:$D$563,"&gt;0"))=0,"",SUMIFS(Input_Konektivitas!$C$3:$C$563,Input_Konektivitas!$A$3:$A$563,$A18,Input_Konektivitas!$B$3:$B$563,AH$3)+SUMIFS(Input_Konektivitas!$C$3:$C$563,Input_Konektivitas!$A$3:$A$563,AH$3,Input_Konektivitas!$B$3:$B$563,$A18))</f>
        <v>1</v>
      </c>
      <c r="AI18" s="29">
        <f>IF((COUNTIFS(Input_Konektivitas!$A$3:$A$563,$A18,Input_Konektivitas!$B$3:$B$563,AI$3,Input_Konektivitas!$D$3:$D$563,"&gt;0")+COUNTIFS(Input_Konektivitas!$A$3:$A$563,AI$3,Input_Konektivitas!$B$3:$B$563,$A18,Input_Konektivitas!$D$3:$D$563,"&gt;0"))=0,"",SUMIFS(Input_Konektivitas!$C$3:$C$563,Input_Konektivitas!$A$3:$A$563,$A18,Input_Konektivitas!$B$3:$B$563,AI$3)+SUMIFS(Input_Konektivitas!$C$3:$C$563,Input_Konektivitas!$A$3:$A$563,AI$3,Input_Konektivitas!$B$3:$B$563,$A18))</f>
        <v>1</v>
      </c>
    </row>
    <row r="19" ht="14.25" customHeight="1">
      <c r="A19" s="22" t="s">
        <v>46</v>
      </c>
      <c r="B19" s="29" t="str">
        <f>IF((COUNTIFS(Input_Konektivitas!$A$3:$A$563,$A19,Input_Konektivitas!$B$3:$B$563,B$3,Input_Konektivitas!$D$3:$D$563,"&gt;0")+COUNTIFS(Input_Konektivitas!$A$3:$A$563,B$3,Input_Konektivitas!$B$3:$B$563,$A19,Input_Konektivitas!$D$3:$D$563,"&gt;0"))=0,"",SUMIFS(Input_Konektivitas!$C$3:$C$563,Input_Konektivitas!$A$3:$A$563,$A19,Input_Konektivitas!$B$3:$B$563,B$3)+SUMIFS(Input_Konektivitas!$C$3:$C$563,Input_Konektivitas!$A$3:$A$563,B$3,Input_Konektivitas!$B$3:$B$563,$A19))</f>
        <v/>
      </c>
      <c r="C19" s="29" t="str">
        <f>IF((COUNTIFS(Input_Konektivitas!$A$3:$A$563,$A19,Input_Konektivitas!$B$3:$B$563,C$3,Input_Konektivitas!$D$3:$D$563,"&gt;0")+COUNTIFS(Input_Konektivitas!$A$3:$A$563,C$3,Input_Konektivitas!$B$3:$B$563,$A19,Input_Konektivitas!$D$3:$D$563,"&gt;0"))=0,"",SUMIFS(Input_Konektivitas!$C$3:$C$563,Input_Konektivitas!$A$3:$A$563,$A19,Input_Konektivitas!$B$3:$B$563,C$3)+SUMIFS(Input_Konektivitas!$C$3:$C$563,Input_Konektivitas!$A$3:$A$563,C$3,Input_Konektivitas!$B$3:$B$563,$A19))</f>
        <v/>
      </c>
      <c r="D19" s="29" t="str">
        <f>IF((COUNTIFS(Input_Konektivitas!$A$3:$A$563,$A19,Input_Konektivitas!$B$3:$B$563,D$3,Input_Konektivitas!$D$3:$D$563,"&gt;0")+COUNTIFS(Input_Konektivitas!$A$3:$A$563,D$3,Input_Konektivitas!$B$3:$B$563,$A19,Input_Konektivitas!$D$3:$D$563,"&gt;0"))=0,"",SUMIFS(Input_Konektivitas!$C$3:$C$563,Input_Konektivitas!$A$3:$A$563,$A19,Input_Konektivitas!$B$3:$B$563,D$3)+SUMIFS(Input_Konektivitas!$C$3:$C$563,Input_Konektivitas!$A$3:$A$563,D$3,Input_Konektivitas!$B$3:$B$563,$A19))</f>
        <v/>
      </c>
      <c r="E19" s="29" t="str">
        <f>IF((COUNTIFS(Input_Konektivitas!$A$3:$A$563,$A19,Input_Konektivitas!$B$3:$B$563,E$3,Input_Konektivitas!$D$3:$D$563,"&gt;0")+COUNTIFS(Input_Konektivitas!$A$3:$A$563,E$3,Input_Konektivitas!$B$3:$B$563,$A19,Input_Konektivitas!$D$3:$D$563,"&gt;0"))=0,"",SUMIFS(Input_Konektivitas!$C$3:$C$563,Input_Konektivitas!$A$3:$A$563,$A19,Input_Konektivitas!$B$3:$B$563,E$3)+SUMIFS(Input_Konektivitas!$C$3:$C$563,Input_Konektivitas!$A$3:$A$563,E$3,Input_Konektivitas!$B$3:$B$563,$A19))</f>
        <v/>
      </c>
      <c r="F19" s="29" t="str">
        <f>IF((COUNTIFS(Input_Konektivitas!$A$3:$A$563,$A19,Input_Konektivitas!$B$3:$B$563,F$3,Input_Konektivitas!$D$3:$D$563,"&gt;0")+COUNTIFS(Input_Konektivitas!$A$3:$A$563,F$3,Input_Konektivitas!$B$3:$B$563,$A19,Input_Konektivitas!$D$3:$D$563,"&gt;0"))=0,"",SUMIFS(Input_Konektivitas!$C$3:$C$563,Input_Konektivitas!$A$3:$A$563,$A19,Input_Konektivitas!$B$3:$B$563,F$3)+SUMIFS(Input_Konektivitas!$C$3:$C$563,Input_Konektivitas!$A$3:$A$563,F$3,Input_Konektivitas!$B$3:$B$563,$A19))</f>
        <v/>
      </c>
      <c r="G19" s="29" t="str">
        <f>IF((COUNTIFS(Input_Konektivitas!$A$3:$A$563,$A19,Input_Konektivitas!$B$3:$B$563,G$3,Input_Konektivitas!$D$3:$D$563,"&gt;0")+COUNTIFS(Input_Konektivitas!$A$3:$A$563,G$3,Input_Konektivitas!$B$3:$B$563,$A19,Input_Konektivitas!$D$3:$D$563,"&gt;0"))=0,"",SUMIFS(Input_Konektivitas!$C$3:$C$563,Input_Konektivitas!$A$3:$A$563,$A19,Input_Konektivitas!$B$3:$B$563,G$3)+SUMIFS(Input_Konektivitas!$C$3:$C$563,Input_Konektivitas!$A$3:$A$563,G$3,Input_Konektivitas!$B$3:$B$563,$A19))</f>
        <v/>
      </c>
      <c r="H19" s="29" t="str">
        <f>IF((COUNTIFS(Input_Konektivitas!$A$3:$A$563,$A19,Input_Konektivitas!$B$3:$B$563,H$3,Input_Konektivitas!$D$3:$D$563,"&gt;0")+COUNTIFS(Input_Konektivitas!$A$3:$A$563,H$3,Input_Konektivitas!$B$3:$B$563,$A19,Input_Konektivitas!$D$3:$D$563,"&gt;0"))=0,"",SUMIFS(Input_Konektivitas!$C$3:$C$563,Input_Konektivitas!$A$3:$A$563,$A19,Input_Konektivitas!$B$3:$B$563,H$3)+SUMIFS(Input_Konektivitas!$C$3:$C$563,Input_Konektivitas!$A$3:$A$563,H$3,Input_Konektivitas!$B$3:$B$563,$A19))</f>
        <v/>
      </c>
      <c r="I19" s="29" t="str">
        <f>IF((COUNTIFS(Input_Konektivitas!$A$3:$A$563,$A19,Input_Konektivitas!$B$3:$B$563,I$3,Input_Konektivitas!$D$3:$D$563,"&gt;0")+COUNTIFS(Input_Konektivitas!$A$3:$A$563,I$3,Input_Konektivitas!$B$3:$B$563,$A19,Input_Konektivitas!$D$3:$D$563,"&gt;0"))=0,"",SUMIFS(Input_Konektivitas!$C$3:$C$563,Input_Konektivitas!$A$3:$A$563,$A19,Input_Konektivitas!$B$3:$B$563,I$3)+SUMIFS(Input_Konektivitas!$C$3:$C$563,Input_Konektivitas!$A$3:$A$563,I$3,Input_Konektivitas!$B$3:$B$563,$A19))</f>
        <v/>
      </c>
      <c r="J19" s="29" t="str">
        <f>IF((COUNTIFS(Input_Konektivitas!$A$3:$A$563,$A19,Input_Konektivitas!$B$3:$B$563,J$3,Input_Konektivitas!$D$3:$D$563,"&gt;0")+COUNTIFS(Input_Konektivitas!$A$3:$A$563,J$3,Input_Konektivitas!$B$3:$B$563,$A19,Input_Konektivitas!$D$3:$D$563,"&gt;0"))=0,"",SUMIFS(Input_Konektivitas!$C$3:$C$563,Input_Konektivitas!$A$3:$A$563,$A19,Input_Konektivitas!$B$3:$B$563,J$3)+SUMIFS(Input_Konektivitas!$C$3:$C$563,Input_Konektivitas!$A$3:$A$563,J$3,Input_Konektivitas!$B$3:$B$563,$A19))</f>
        <v/>
      </c>
      <c r="K19" s="29" t="str">
        <f>IF((COUNTIFS(Input_Konektivitas!$A$3:$A$563,$A19,Input_Konektivitas!$B$3:$B$563,K$3,Input_Konektivitas!$D$3:$D$563,"&gt;0")+COUNTIFS(Input_Konektivitas!$A$3:$A$563,K$3,Input_Konektivitas!$B$3:$B$563,$A19,Input_Konektivitas!$D$3:$D$563,"&gt;0"))=0,"",SUMIFS(Input_Konektivitas!$C$3:$C$563,Input_Konektivitas!$A$3:$A$563,$A19,Input_Konektivitas!$B$3:$B$563,K$3)+SUMIFS(Input_Konektivitas!$C$3:$C$563,Input_Konektivitas!$A$3:$A$563,K$3,Input_Konektivitas!$B$3:$B$563,$A19))</f>
        <v/>
      </c>
      <c r="L19" s="29" t="str">
        <f>IF((COUNTIFS(Input_Konektivitas!$A$3:$A$563,$A19,Input_Konektivitas!$B$3:$B$563,L$3,Input_Konektivitas!$D$3:$D$563,"&gt;0")+COUNTIFS(Input_Konektivitas!$A$3:$A$563,L$3,Input_Konektivitas!$B$3:$B$563,$A19,Input_Konektivitas!$D$3:$D$563,"&gt;0"))=0,"",SUMIFS(Input_Konektivitas!$C$3:$C$563,Input_Konektivitas!$A$3:$A$563,$A19,Input_Konektivitas!$B$3:$B$563,L$3)+SUMIFS(Input_Konektivitas!$C$3:$C$563,Input_Konektivitas!$A$3:$A$563,L$3,Input_Konektivitas!$B$3:$B$563,$A19))</f>
        <v/>
      </c>
      <c r="M19" s="29" t="str">
        <f>IF((COUNTIFS(Input_Konektivitas!$A$3:$A$563,$A19,Input_Konektivitas!$B$3:$B$563,M$3,Input_Konektivitas!$D$3:$D$563,"&gt;0")+COUNTIFS(Input_Konektivitas!$A$3:$A$563,M$3,Input_Konektivitas!$B$3:$B$563,$A19,Input_Konektivitas!$D$3:$D$563,"&gt;0"))=0,"",SUMIFS(Input_Konektivitas!$C$3:$C$563,Input_Konektivitas!$A$3:$A$563,$A19,Input_Konektivitas!$B$3:$B$563,M$3)+SUMIFS(Input_Konektivitas!$C$3:$C$563,Input_Konektivitas!$A$3:$A$563,M$3,Input_Konektivitas!$B$3:$B$563,$A19))</f>
        <v/>
      </c>
      <c r="N19" s="29" t="str">
        <f>IF((COUNTIFS(Input_Konektivitas!$A$3:$A$563,$A19,Input_Konektivitas!$B$3:$B$563,N$3,Input_Konektivitas!$D$3:$D$563,"&gt;0")+COUNTIFS(Input_Konektivitas!$A$3:$A$563,N$3,Input_Konektivitas!$B$3:$B$563,$A19,Input_Konektivitas!$D$3:$D$563,"&gt;0"))=0,"",SUMIFS(Input_Konektivitas!$C$3:$C$563,Input_Konektivitas!$A$3:$A$563,$A19,Input_Konektivitas!$B$3:$B$563,N$3)+SUMIFS(Input_Konektivitas!$C$3:$C$563,Input_Konektivitas!$A$3:$A$563,N$3,Input_Konektivitas!$B$3:$B$563,$A19))</f>
        <v/>
      </c>
      <c r="O19" s="29" t="str">
        <f>IF((COUNTIFS(Input_Konektivitas!$A$3:$A$563,$A19,Input_Konektivitas!$B$3:$B$563,O$3,Input_Konektivitas!$D$3:$D$563,"&gt;0")+COUNTIFS(Input_Konektivitas!$A$3:$A$563,O$3,Input_Konektivitas!$B$3:$B$563,$A19,Input_Konektivitas!$D$3:$D$563,"&gt;0"))=0,"",SUMIFS(Input_Konektivitas!$C$3:$C$563,Input_Konektivitas!$A$3:$A$563,$A19,Input_Konektivitas!$B$3:$B$563,O$3)+SUMIFS(Input_Konektivitas!$C$3:$C$563,Input_Konektivitas!$A$3:$A$563,O$3,Input_Konektivitas!$B$3:$B$563,$A19))</f>
        <v/>
      </c>
      <c r="P19" s="29" t="str">
        <f>IF((COUNTIFS(Input_Konektivitas!$A$3:$A$563,$A19,Input_Konektivitas!$B$3:$B$563,P$3,Input_Konektivitas!$D$3:$D$563,"&gt;0")+COUNTIFS(Input_Konektivitas!$A$3:$A$563,P$3,Input_Konektivitas!$B$3:$B$563,$A19,Input_Konektivitas!$D$3:$D$563,"&gt;0"))=0,"",SUMIFS(Input_Konektivitas!$C$3:$C$563,Input_Konektivitas!$A$3:$A$563,$A19,Input_Konektivitas!$B$3:$B$563,P$3)+SUMIFS(Input_Konektivitas!$C$3:$C$563,Input_Konektivitas!$A$3:$A$563,P$3,Input_Konektivitas!$B$3:$B$563,$A19))</f>
        <v/>
      </c>
      <c r="Q19" s="26">
        <v>0.0</v>
      </c>
      <c r="R19" s="29" t="str">
        <f>IF((COUNTIFS(Input_Konektivitas!$A$3:$A$563,$A19,Input_Konektivitas!$B$3:$B$563,R$3,Input_Konektivitas!$D$3:$D$563,"&gt;0")+COUNTIFS(Input_Konektivitas!$A$3:$A$563,R$3,Input_Konektivitas!$B$3:$B$563,$A19,Input_Konektivitas!$D$3:$D$563,"&gt;0"))=0,"",SUMIFS(Input_Konektivitas!$C$3:$C$563,Input_Konektivitas!$A$3:$A$563,$A19,Input_Konektivitas!$B$3:$B$563,R$3)+SUMIFS(Input_Konektivitas!$C$3:$C$563,Input_Konektivitas!$A$3:$A$563,R$3,Input_Konektivitas!$B$3:$B$563,$A19))</f>
        <v/>
      </c>
      <c r="S19" s="29" t="str">
        <f>IF((COUNTIFS(Input_Konektivitas!$A$3:$A$563,$A19,Input_Konektivitas!$B$3:$B$563,S$3,Input_Konektivitas!$D$3:$D$563,"&gt;0")+COUNTIFS(Input_Konektivitas!$A$3:$A$563,S$3,Input_Konektivitas!$B$3:$B$563,$A19,Input_Konektivitas!$D$3:$D$563,"&gt;0"))=0,"",SUMIFS(Input_Konektivitas!$C$3:$C$563,Input_Konektivitas!$A$3:$A$563,$A19,Input_Konektivitas!$B$3:$B$563,S$3)+SUMIFS(Input_Konektivitas!$C$3:$C$563,Input_Konektivitas!$A$3:$A$563,S$3,Input_Konektivitas!$B$3:$B$563,$A19))</f>
        <v/>
      </c>
      <c r="T19" s="29" t="str">
        <f>IF((COUNTIFS(Input_Konektivitas!$A$3:$A$563,$A19,Input_Konektivitas!$B$3:$B$563,T$3,Input_Konektivitas!$D$3:$D$563,"&gt;0")+COUNTIFS(Input_Konektivitas!$A$3:$A$563,T$3,Input_Konektivitas!$B$3:$B$563,$A19,Input_Konektivitas!$D$3:$D$563,"&gt;0"))=0,"",SUMIFS(Input_Konektivitas!$C$3:$C$563,Input_Konektivitas!$A$3:$A$563,$A19,Input_Konektivitas!$B$3:$B$563,T$3)+SUMIFS(Input_Konektivitas!$C$3:$C$563,Input_Konektivitas!$A$3:$A$563,T$3,Input_Konektivitas!$B$3:$B$563,$A19))</f>
        <v/>
      </c>
      <c r="U19" s="29" t="str">
        <f>IF((COUNTIFS(Input_Konektivitas!$A$3:$A$563,$A19,Input_Konektivitas!$B$3:$B$563,U$3,Input_Konektivitas!$D$3:$D$563,"&gt;0")+COUNTIFS(Input_Konektivitas!$A$3:$A$563,U$3,Input_Konektivitas!$B$3:$B$563,$A19,Input_Konektivitas!$D$3:$D$563,"&gt;0"))=0,"",SUMIFS(Input_Konektivitas!$C$3:$C$563,Input_Konektivitas!$A$3:$A$563,$A19,Input_Konektivitas!$B$3:$B$563,U$3)+SUMIFS(Input_Konektivitas!$C$3:$C$563,Input_Konektivitas!$A$3:$A$563,U$3,Input_Konektivitas!$B$3:$B$563,$A19))</f>
        <v/>
      </c>
      <c r="V19" s="29" t="str">
        <f>IF((COUNTIFS(Input_Konektivitas!$A$3:$A$563,$A19,Input_Konektivitas!$B$3:$B$563,V$3,Input_Konektivitas!$D$3:$D$563,"&gt;0")+COUNTIFS(Input_Konektivitas!$A$3:$A$563,V$3,Input_Konektivitas!$B$3:$B$563,$A19,Input_Konektivitas!$D$3:$D$563,"&gt;0"))=0,"",SUMIFS(Input_Konektivitas!$C$3:$C$563,Input_Konektivitas!$A$3:$A$563,$A19,Input_Konektivitas!$B$3:$B$563,V$3)+SUMIFS(Input_Konektivitas!$C$3:$C$563,Input_Konektivitas!$A$3:$A$563,V$3,Input_Konektivitas!$B$3:$B$563,$A19))</f>
        <v/>
      </c>
      <c r="W19" s="29" t="str">
        <f>IF((COUNTIFS(Input_Konektivitas!$A$3:$A$563,$A19,Input_Konektivitas!$B$3:$B$563,W$3,Input_Konektivitas!$D$3:$D$563,"&gt;0")+COUNTIFS(Input_Konektivitas!$A$3:$A$563,W$3,Input_Konektivitas!$B$3:$B$563,$A19,Input_Konektivitas!$D$3:$D$563,"&gt;0"))=0,"",SUMIFS(Input_Konektivitas!$C$3:$C$563,Input_Konektivitas!$A$3:$A$563,$A19,Input_Konektivitas!$B$3:$B$563,W$3)+SUMIFS(Input_Konektivitas!$C$3:$C$563,Input_Konektivitas!$A$3:$A$563,W$3,Input_Konektivitas!$B$3:$B$563,$A19))</f>
        <v/>
      </c>
      <c r="X19" s="29" t="str">
        <f>IF((COUNTIFS(Input_Konektivitas!$A$3:$A$563,$A19,Input_Konektivitas!$B$3:$B$563,X$3,Input_Konektivitas!$D$3:$D$563,"&gt;0")+COUNTIFS(Input_Konektivitas!$A$3:$A$563,X$3,Input_Konektivitas!$B$3:$B$563,$A19,Input_Konektivitas!$D$3:$D$563,"&gt;0"))=0,"",SUMIFS(Input_Konektivitas!$C$3:$C$563,Input_Konektivitas!$A$3:$A$563,$A19,Input_Konektivitas!$B$3:$B$563,X$3)+SUMIFS(Input_Konektivitas!$C$3:$C$563,Input_Konektivitas!$A$3:$A$563,X$3,Input_Konektivitas!$B$3:$B$563,$A19))</f>
        <v/>
      </c>
      <c r="Y19" s="29" t="str">
        <f>IF((COUNTIFS(Input_Konektivitas!$A$3:$A$563,$A19,Input_Konektivitas!$B$3:$B$563,Y$3,Input_Konektivitas!$D$3:$D$563,"&gt;0")+COUNTIFS(Input_Konektivitas!$A$3:$A$563,Y$3,Input_Konektivitas!$B$3:$B$563,$A19,Input_Konektivitas!$D$3:$D$563,"&gt;0"))=0,"",SUMIFS(Input_Konektivitas!$C$3:$C$563,Input_Konektivitas!$A$3:$A$563,$A19,Input_Konektivitas!$B$3:$B$563,Y$3)+SUMIFS(Input_Konektivitas!$C$3:$C$563,Input_Konektivitas!$A$3:$A$563,Y$3,Input_Konektivitas!$B$3:$B$563,$A19))</f>
        <v/>
      </c>
      <c r="Z19" s="29" t="str">
        <f>IF((COUNTIFS(Input_Konektivitas!$A$3:$A$563,$A19,Input_Konektivitas!$B$3:$B$563,Z$3,Input_Konektivitas!$D$3:$D$563,"&gt;0")+COUNTIFS(Input_Konektivitas!$A$3:$A$563,Z$3,Input_Konektivitas!$B$3:$B$563,$A19,Input_Konektivitas!$D$3:$D$563,"&gt;0"))=0,"",SUMIFS(Input_Konektivitas!$C$3:$C$563,Input_Konektivitas!$A$3:$A$563,$A19,Input_Konektivitas!$B$3:$B$563,Z$3)+SUMIFS(Input_Konektivitas!$C$3:$C$563,Input_Konektivitas!$A$3:$A$563,Z$3,Input_Konektivitas!$B$3:$B$563,$A19))</f>
        <v/>
      </c>
      <c r="AA19" s="29" t="str">
        <f>IF((COUNTIFS(Input_Konektivitas!$A$3:$A$563,$A19,Input_Konektivitas!$B$3:$B$563,AA$3,Input_Konektivitas!$D$3:$D$563,"&gt;0")+COUNTIFS(Input_Konektivitas!$A$3:$A$563,AA$3,Input_Konektivitas!$B$3:$B$563,$A19,Input_Konektivitas!$D$3:$D$563,"&gt;0"))=0,"",SUMIFS(Input_Konektivitas!$C$3:$C$563,Input_Konektivitas!$A$3:$A$563,$A19,Input_Konektivitas!$B$3:$B$563,AA$3)+SUMIFS(Input_Konektivitas!$C$3:$C$563,Input_Konektivitas!$A$3:$A$563,AA$3,Input_Konektivitas!$B$3:$B$563,$A19))</f>
        <v/>
      </c>
      <c r="AB19" s="29" t="str">
        <f>IF((COUNTIFS(Input_Konektivitas!$A$3:$A$563,$A19,Input_Konektivitas!$B$3:$B$563,AB$3,Input_Konektivitas!$D$3:$D$563,"&gt;0")+COUNTIFS(Input_Konektivitas!$A$3:$A$563,AB$3,Input_Konektivitas!$B$3:$B$563,$A19,Input_Konektivitas!$D$3:$D$563,"&gt;0"))=0,"",SUMIFS(Input_Konektivitas!$C$3:$C$563,Input_Konektivitas!$A$3:$A$563,$A19,Input_Konektivitas!$B$3:$B$563,AB$3)+SUMIFS(Input_Konektivitas!$C$3:$C$563,Input_Konektivitas!$A$3:$A$563,AB$3,Input_Konektivitas!$B$3:$B$563,$A19))</f>
        <v/>
      </c>
      <c r="AC19" s="29" t="str">
        <f>IF((COUNTIFS(Input_Konektivitas!$A$3:$A$563,$A19,Input_Konektivitas!$B$3:$B$563,AC$3,Input_Konektivitas!$D$3:$D$563,"&gt;0")+COUNTIFS(Input_Konektivitas!$A$3:$A$563,AC$3,Input_Konektivitas!$B$3:$B$563,$A19,Input_Konektivitas!$D$3:$D$563,"&gt;0"))=0,"",SUMIFS(Input_Konektivitas!$C$3:$C$563,Input_Konektivitas!$A$3:$A$563,$A19,Input_Konektivitas!$B$3:$B$563,AC$3)+SUMIFS(Input_Konektivitas!$C$3:$C$563,Input_Konektivitas!$A$3:$A$563,AC$3,Input_Konektivitas!$B$3:$B$563,$A19))</f>
        <v/>
      </c>
      <c r="AD19" s="29" t="str">
        <f>IF((COUNTIFS(Input_Konektivitas!$A$3:$A$563,$A19,Input_Konektivitas!$B$3:$B$563,AD$3,Input_Konektivitas!$D$3:$D$563,"&gt;0")+COUNTIFS(Input_Konektivitas!$A$3:$A$563,AD$3,Input_Konektivitas!$B$3:$B$563,$A19,Input_Konektivitas!$D$3:$D$563,"&gt;0"))=0,"",SUMIFS(Input_Konektivitas!$C$3:$C$563,Input_Konektivitas!$A$3:$A$563,$A19,Input_Konektivitas!$B$3:$B$563,AD$3)+SUMIFS(Input_Konektivitas!$C$3:$C$563,Input_Konektivitas!$A$3:$A$563,AD$3,Input_Konektivitas!$B$3:$B$563,$A19))</f>
        <v/>
      </c>
      <c r="AE19" s="29" t="str">
        <f>IF((COUNTIFS(Input_Konektivitas!$A$3:$A$563,$A19,Input_Konektivitas!$B$3:$B$563,AE$3,Input_Konektivitas!$D$3:$D$563,"&gt;0")+COUNTIFS(Input_Konektivitas!$A$3:$A$563,AE$3,Input_Konektivitas!$B$3:$B$563,$A19,Input_Konektivitas!$D$3:$D$563,"&gt;0"))=0,"",SUMIFS(Input_Konektivitas!$C$3:$C$563,Input_Konektivitas!$A$3:$A$563,$A19,Input_Konektivitas!$B$3:$B$563,AE$3)+SUMIFS(Input_Konektivitas!$C$3:$C$563,Input_Konektivitas!$A$3:$A$563,AE$3,Input_Konektivitas!$B$3:$B$563,$A19))</f>
        <v/>
      </c>
      <c r="AF19" s="29" t="str">
        <f>IF((COUNTIFS(Input_Konektivitas!$A$3:$A$563,$A19,Input_Konektivitas!$B$3:$B$563,AF$3,Input_Konektivitas!$D$3:$D$563,"&gt;0")+COUNTIFS(Input_Konektivitas!$A$3:$A$563,AF$3,Input_Konektivitas!$B$3:$B$563,$A19,Input_Konektivitas!$D$3:$D$563,"&gt;0"))=0,"",SUMIFS(Input_Konektivitas!$C$3:$C$563,Input_Konektivitas!$A$3:$A$563,$A19,Input_Konektivitas!$B$3:$B$563,AF$3)+SUMIFS(Input_Konektivitas!$C$3:$C$563,Input_Konektivitas!$A$3:$A$563,AF$3,Input_Konektivitas!$B$3:$B$563,$A19))</f>
        <v/>
      </c>
      <c r="AG19" s="29" t="str">
        <f>IF((COUNTIFS(Input_Konektivitas!$A$3:$A$563,$A19,Input_Konektivitas!$B$3:$B$563,AG$3,Input_Konektivitas!$D$3:$D$563,"&gt;0")+COUNTIFS(Input_Konektivitas!$A$3:$A$563,AG$3,Input_Konektivitas!$B$3:$B$563,$A19,Input_Konektivitas!$D$3:$D$563,"&gt;0"))=0,"",SUMIFS(Input_Konektivitas!$C$3:$C$563,Input_Konektivitas!$A$3:$A$563,$A19,Input_Konektivitas!$B$3:$B$563,AG$3)+SUMIFS(Input_Konektivitas!$C$3:$C$563,Input_Konektivitas!$A$3:$A$563,AG$3,Input_Konektivitas!$B$3:$B$563,$A19))</f>
        <v/>
      </c>
      <c r="AH19" s="29" t="str">
        <f>IF((COUNTIFS(Input_Konektivitas!$A$3:$A$563,$A19,Input_Konektivitas!$B$3:$B$563,AH$3,Input_Konektivitas!$D$3:$D$563,"&gt;0")+COUNTIFS(Input_Konektivitas!$A$3:$A$563,AH$3,Input_Konektivitas!$B$3:$B$563,$A19,Input_Konektivitas!$D$3:$D$563,"&gt;0"))=0,"",SUMIFS(Input_Konektivitas!$C$3:$C$563,Input_Konektivitas!$A$3:$A$563,$A19,Input_Konektivitas!$B$3:$B$563,AH$3)+SUMIFS(Input_Konektivitas!$C$3:$C$563,Input_Konektivitas!$A$3:$A$563,AH$3,Input_Konektivitas!$B$3:$B$563,$A19))</f>
        <v/>
      </c>
      <c r="AI19" s="29" t="str">
        <f>IF((COUNTIFS(Input_Konektivitas!$A$3:$A$563,$A19,Input_Konektivitas!$B$3:$B$563,AI$3,Input_Konektivitas!$D$3:$D$563,"&gt;0")+COUNTIFS(Input_Konektivitas!$A$3:$A$563,AI$3,Input_Konektivitas!$B$3:$B$563,$A19,Input_Konektivitas!$D$3:$D$563,"&gt;0"))=0,"",SUMIFS(Input_Konektivitas!$C$3:$C$563,Input_Konektivitas!$A$3:$A$563,$A19,Input_Konektivitas!$B$3:$B$563,AI$3)+SUMIFS(Input_Konektivitas!$C$3:$C$563,Input_Konektivitas!$A$3:$A$563,AI$3,Input_Konektivitas!$B$3:$B$563,$A19))</f>
        <v/>
      </c>
    </row>
    <row r="20" ht="14.25" customHeight="1">
      <c r="A20" s="22" t="s">
        <v>49</v>
      </c>
      <c r="B20" s="29">
        <f>IF((COUNTIFS(Input_Konektivitas!$A$3:$A$563,$A20,Input_Konektivitas!$B$3:$B$563,B$3,Input_Konektivitas!$D$3:$D$563,"&gt;0")+COUNTIFS(Input_Konektivitas!$A$3:$A$563,B$3,Input_Konektivitas!$B$3:$B$563,$A20,Input_Konektivitas!$D$3:$D$563,"&gt;0"))=0,"",SUMIFS(Input_Konektivitas!$C$3:$C$563,Input_Konektivitas!$A$3:$A$563,$A20,Input_Konektivitas!$B$3:$B$563,B$3)+SUMIFS(Input_Konektivitas!$C$3:$C$563,Input_Konektivitas!$A$3:$A$563,B$3,Input_Konektivitas!$B$3:$B$563,$A20))</f>
        <v>1</v>
      </c>
      <c r="C20" s="29">
        <f>IF((COUNTIFS(Input_Konektivitas!$A$3:$A$563,$A20,Input_Konektivitas!$B$3:$B$563,C$3,Input_Konektivitas!$D$3:$D$563,"&gt;0")+COUNTIFS(Input_Konektivitas!$A$3:$A$563,C$3,Input_Konektivitas!$B$3:$B$563,$A20,Input_Konektivitas!$D$3:$D$563,"&gt;0"))=0,"",SUMIFS(Input_Konektivitas!$C$3:$C$563,Input_Konektivitas!$A$3:$A$563,$A20,Input_Konektivitas!$B$3:$B$563,C$3)+SUMIFS(Input_Konektivitas!$C$3:$C$563,Input_Konektivitas!$A$3:$A$563,C$3,Input_Konektivitas!$B$3:$B$563,$A20))</f>
        <v>1</v>
      </c>
      <c r="D20" s="29">
        <f>IF((COUNTIFS(Input_Konektivitas!$A$3:$A$563,$A20,Input_Konektivitas!$B$3:$B$563,D$3,Input_Konektivitas!$D$3:$D$563,"&gt;0")+COUNTIFS(Input_Konektivitas!$A$3:$A$563,D$3,Input_Konektivitas!$B$3:$B$563,$A20,Input_Konektivitas!$D$3:$D$563,"&gt;0"))=0,"",SUMIFS(Input_Konektivitas!$C$3:$C$563,Input_Konektivitas!$A$3:$A$563,$A20,Input_Konektivitas!$B$3:$B$563,D$3)+SUMIFS(Input_Konektivitas!$C$3:$C$563,Input_Konektivitas!$A$3:$A$563,D$3,Input_Konektivitas!$B$3:$B$563,$A20))</f>
        <v>1</v>
      </c>
      <c r="E20" s="29">
        <f>IF((COUNTIFS(Input_Konektivitas!$A$3:$A$563,$A20,Input_Konektivitas!$B$3:$B$563,E$3,Input_Konektivitas!$D$3:$D$563,"&gt;0")+COUNTIFS(Input_Konektivitas!$A$3:$A$563,E$3,Input_Konektivitas!$B$3:$B$563,$A20,Input_Konektivitas!$D$3:$D$563,"&gt;0"))=0,"",SUMIFS(Input_Konektivitas!$C$3:$C$563,Input_Konektivitas!$A$3:$A$563,$A20,Input_Konektivitas!$B$3:$B$563,E$3)+SUMIFS(Input_Konektivitas!$C$3:$C$563,Input_Konektivitas!$A$3:$A$563,E$3,Input_Konektivitas!$B$3:$B$563,$A20))</f>
        <v>1</v>
      </c>
      <c r="F20" s="29">
        <f>IF((COUNTIFS(Input_Konektivitas!$A$3:$A$563,$A20,Input_Konektivitas!$B$3:$B$563,F$3,Input_Konektivitas!$D$3:$D$563,"&gt;0")+COUNTIFS(Input_Konektivitas!$A$3:$A$563,F$3,Input_Konektivitas!$B$3:$B$563,$A20,Input_Konektivitas!$D$3:$D$563,"&gt;0"))=0,"",SUMIFS(Input_Konektivitas!$C$3:$C$563,Input_Konektivitas!$A$3:$A$563,$A20,Input_Konektivitas!$B$3:$B$563,F$3)+SUMIFS(Input_Konektivitas!$C$3:$C$563,Input_Konektivitas!$A$3:$A$563,F$3,Input_Konektivitas!$B$3:$B$563,$A20))</f>
        <v>1</v>
      </c>
      <c r="G20" s="29">
        <f>IF((COUNTIFS(Input_Konektivitas!$A$3:$A$563,$A20,Input_Konektivitas!$B$3:$B$563,G$3,Input_Konektivitas!$D$3:$D$563,"&gt;0")+COUNTIFS(Input_Konektivitas!$A$3:$A$563,G$3,Input_Konektivitas!$B$3:$B$563,$A20,Input_Konektivitas!$D$3:$D$563,"&gt;0"))=0,"",SUMIFS(Input_Konektivitas!$C$3:$C$563,Input_Konektivitas!$A$3:$A$563,$A20,Input_Konektivitas!$B$3:$B$563,G$3)+SUMIFS(Input_Konektivitas!$C$3:$C$563,Input_Konektivitas!$A$3:$A$563,G$3,Input_Konektivitas!$B$3:$B$563,$A20))</f>
        <v>1</v>
      </c>
      <c r="H20" s="29">
        <f>IF((COUNTIFS(Input_Konektivitas!$A$3:$A$563,$A20,Input_Konektivitas!$B$3:$B$563,H$3,Input_Konektivitas!$D$3:$D$563,"&gt;0")+COUNTIFS(Input_Konektivitas!$A$3:$A$563,H$3,Input_Konektivitas!$B$3:$B$563,$A20,Input_Konektivitas!$D$3:$D$563,"&gt;0"))=0,"",SUMIFS(Input_Konektivitas!$C$3:$C$563,Input_Konektivitas!$A$3:$A$563,$A20,Input_Konektivitas!$B$3:$B$563,H$3)+SUMIFS(Input_Konektivitas!$C$3:$C$563,Input_Konektivitas!$A$3:$A$563,H$3,Input_Konektivitas!$B$3:$B$563,$A20))</f>
        <v>1</v>
      </c>
      <c r="I20" s="29">
        <f>IF((COUNTIFS(Input_Konektivitas!$A$3:$A$563,$A20,Input_Konektivitas!$B$3:$B$563,I$3,Input_Konektivitas!$D$3:$D$563,"&gt;0")+COUNTIFS(Input_Konektivitas!$A$3:$A$563,I$3,Input_Konektivitas!$B$3:$B$563,$A20,Input_Konektivitas!$D$3:$D$563,"&gt;0"))=0,"",SUMIFS(Input_Konektivitas!$C$3:$C$563,Input_Konektivitas!$A$3:$A$563,$A20,Input_Konektivitas!$B$3:$B$563,I$3)+SUMIFS(Input_Konektivitas!$C$3:$C$563,Input_Konektivitas!$A$3:$A$563,I$3,Input_Konektivitas!$B$3:$B$563,$A20))</f>
        <v>1</v>
      </c>
      <c r="J20" s="29">
        <f>IF((COUNTIFS(Input_Konektivitas!$A$3:$A$563,$A20,Input_Konektivitas!$B$3:$B$563,J$3,Input_Konektivitas!$D$3:$D$563,"&gt;0")+COUNTIFS(Input_Konektivitas!$A$3:$A$563,J$3,Input_Konektivitas!$B$3:$B$563,$A20,Input_Konektivitas!$D$3:$D$563,"&gt;0"))=0,"",SUMIFS(Input_Konektivitas!$C$3:$C$563,Input_Konektivitas!$A$3:$A$563,$A20,Input_Konektivitas!$B$3:$B$563,J$3)+SUMIFS(Input_Konektivitas!$C$3:$C$563,Input_Konektivitas!$A$3:$A$563,J$3,Input_Konektivitas!$B$3:$B$563,$A20))</f>
        <v>1</v>
      </c>
      <c r="K20" s="29">
        <f>IF((COUNTIFS(Input_Konektivitas!$A$3:$A$563,$A20,Input_Konektivitas!$B$3:$B$563,K$3,Input_Konektivitas!$D$3:$D$563,"&gt;0")+COUNTIFS(Input_Konektivitas!$A$3:$A$563,K$3,Input_Konektivitas!$B$3:$B$563,$A20,Input_Konektivitas!$D$3:$D$563,"&gt;0"))=0,"",SUMIFS(Input_Konektivitas!$C$3:$C$563,Input_Konektivitas!$A$3:$A$563,$A20,Input_Konektivitas!$B$3:$B$563,K$3)+SUMIFS(Input_Konektivitas!$C$3:$C$563,Input_Konektivitas!$A$3:$A$563,K$3,Input_Konektivitas!$B$3:$B$563,$A20))</f>
        <v>1</v>
      </c>
      <c r="L20" s="29">
        <f>IF((COUNTIFS(Input_Konektivitas!$A$3:$A$563,$A20,Input_Konektivitas!$B$3:$B$563,L$3,Input_Konektivitas!$D$3:$D$563,"&gt;0")+COUNTIFS(Input_Konektivitas!$A$3:$A$563,L$3,Input_Konektivitas!$B$3:$B$563,$A20,Input_Konektivitas!$D$3:$D$563,"&gt;0"))=0,"",SUMIFS(Input_Konektivitas!$C$3:$C$563,Input_Konektivitas!$A$3:$A$563,$A20,Input_Konektivitas!$B$3:$B$563,L$3)+SUMIFS(Input_Konektivitas!$C$3:$C$563,Input_Konektivitas!$A$3:$A$563,L$3,Input_Konektivitas!$B$3:$B$563,$A20))</f>
        <v>0</v>
      </c>
      <c r="M20" s="29">
        <f>IF((COUNTIFS(Input_Konektivitas!$A$3:$A$563,$A20,Input_Konektivitas!$B$3:$B$563,M$3,Input_Konektivitas!$D$3:$D$563,"&gt;0")+COUNTIFS(Input_Konektivitas!$A$3:$A$563,M$3,Input_Konektivitas!$B$3:$B$563,$A20,Input_Konektivitas!$D$3:$D$563,"&gt;0"))=0,"",SUMIFS(Input_Konektivitas!$C$3:$C$563,Input_Konektivitas!$A$3:$A$563,$A20,Input_Konektivitas!$B$3:$B$563,M$3)+SUMIFS(Input_Konektivitas!$C$3:$C$563,Input_Konektivitas!$A$3:$A$563,M$3,Input_Konektivitas!$B$3:$B$563,$A20))</f>
        <v>0</v>
      </c>
      <c r="N20" s="29">
        <f>IF((COUNTIFS(Input_Konektivitas!$A$3:$A$563,$A20,Input_Konektivitas!$B$3:$B$563,N$3,Input_Konektivitas!$D$3:$D$563,"&gt;0")+COUNTIFS(Input_Konektivitas!$A$3:$A$563,N$3,Input_Konektivitas!$B$3:$B$563,$A20,Input_Konektivitas!$D$3:$D$563,"&gt;0"))=0,"",SUMIFS(Input_Konektivitas!$C$3:$C$563,Input_Konektivitas!$A$3:$A$563,$A20,Input_Konektivitas!$B$3:$B$563,N$3)+SUMIFS(Input_Konektivitas!$C$3:$C$563,Input_Konektivitas!$A$3:$A$563,N$3,Input_Konektivitas!$B$3:$B$563,$A20))</f>
        <v>0</v>
      </c>
      <c r="O20" s="29">
        <f>IF((COUNTIFS(Input_Konektivitas!$A$3:$A$563,$A20,Input_Konektivitas!$B$3:$B$563,O$3,Input_Konektivitas!$D$3:$D$563,"&gt;0")+COUNTIFS(Input_Konektivitas!$A$3:$A$563,O$3,Input_Konektivitas!$B$3:$B$563,$A20,Input_Konektivitas!$D$3:$D$563,"&gt;0"))=0,"",SUMIFS(Input_Konektivitas!$C$3:$C$563,Input_Konektivitas!$A$3:$A$563,$A20,Input_Konektivitas!$B$3:$B$563,O$3)+SUMIFS(Input_Konektivitas!$C$3:$C$563,Input_Konektivitas!$A$3:$A$563,O$3,Input_Konektivitas!$B$3:$B$563,$A20))</f>
        <v>0</v>
      </c>
      <c r="P20" s="29">
        <f>IF((COUNTIFS(Input_Konektivitas!$A$3:$A$563,$A20,Input_Konektivitas!$B$3:$B$563,P$3,Input_Konektivitas!$D$3:$D$563,"&gt;0")+COUNTIFS(Input_Konektivitas!$A$3:$A$563,P$3,Input_Konektivitas!$B$3:$B$563,$A20,Input_Konektivitas!$D$3:$D$563,"&gt;0"))=0,"",SUMIFS(Input_Konektivitas!$C$3:$C$563,Input_Konektivitas!$A$3:$A$563,$A20,Input_Konektivitas!$B$3:$B$563,P$3)+SUMIFS(Input_Konektivitas!$C$3:$C$563,Input_Konektivitas!$A$3:$A$563,P$3,Input_Konektivitas!$B$3:$B$563,$A20))</f>
        <v>0</v>
      </c>
      <c r="Q20" s="29" t="str">
        <f>IF((COUNTIFS(Input_Konektivitas!$A$3:$A$563,$A20,Input_Konektivitas!$B$3:$B$563,Q$3,Input_Konektivitas!$D$3:$D$563,"&gt;0")+COUNTIFS(Input_Konektivitas!$A$3:$A$563,Q$3,Input_Konektivitas!$B$3:$B$563,$A20,Input_Konektivitas!$D$3:$D$563,"&gt;0"))=0,"",SUMIFS(Input_Konektivitas!$C$3:$C$563,Input_Konektivitas!$A$3:$A$563,$A20,Input_Konektivitas!$B$3:$B$563,Q$3)+SUMIFS(Input_Konektivitas!$C$3:$C$563,Input_Konektivitas!$A$3:$A$563,Q$3,Input_Konektivitas!$B$3:$B$563,$A20))</f>
        <v/>
      </c>
      <c r="R20" s="26">
        <v>0.0</v>
      </c>
      <c r="S20" s="29">
        <f>IF((COUNTIFS(Input_Konektivitas!$A$3:$A$563,$A20,Input_Konektivitas!$B$3:$B$563,S$3,Input_Konektivitas!$D$3:$D$563,"&gt;0")+COUNTIFS(Input_Konektivitas!$A$3:$A$563,S$3,Input_Konektivitas!$B$3:$B$563,$A20,Input_Konektivitas!$D$3:$D$563,"&gt;0"))=0,"",SUMIFS(Input_Konektivitas!$C$3:$C$563,Input_Konektivitas!$A$3:$A$563,$A20,Input_Konektivitas!$B$3:$B$563,S$3)+SUMIFS(Input_Konektivitas!$C$3:$C$563,Input_Konektivitas!$A$3:$A$563,S$3,Input_Konektivitas!$B$3:$B$563,$A20))</f>
        <v>0</v>
      </c>
      <c r="T20" s="29">
        <f>IF((COUNTIFS(Input_Konektivitas!$A$3:$A$563,$A20,Input_Konektivitas!$B$3:$B$563,T$3,Input_Konektivitas!$D$3:$D$563,"&gt;0")+COUNTIFS(Input_Konektivitas!$A$3:$A$563,T$3,Input_Konektivitas!$B$3:$B$563,$A20,Input_Konektivitas!$D$3:$D$563,"&gt;0"))=0,"",SUMIFS(Input_Konektivitas!$C$3:$C$563,Input_Konektivitas!$A$3:$A$563,$A20,Input_Konektivitas!$B$3:$B$563,T$3)+SUMIFS(Input_Konektivitas!$C$3:$C$563,Input_Konektivitas!$A$3:$A$563,T$3,Input_Konektivitas!$B$3:$B$563,$A20))</f>
        <v>0</v>
      </c>
      <c r="U20" s="29">
        <f>IF((COUNTIFS(Input_Konektivitas!$A$3:$A$563,$A20,Input_Konektivitas!$B$3:$B$563,U$3,Input_Konektivitas!$D$3:$D$563,"&gt;0")+COUNTIFS(Input_Konektivitas!$A$3:$A$563,U$3,Input_Konektivitas!$B$3:$B$563,$A20,Input_Konektivitas!$D$3:$D$563,"&gt;0"))=0,"",SUMIFS(Input_Konektivitas!$C$3:$C$563,Input_Konektivitas!$A$3:$A$563,$A20,Input_Konektivitas!$B$3:$B$563,U$3)+SUMIFS(Input_Konektivitas!$C$3:$C$563,Input_Konektivitas!$A$3:$A$563,U$3,Input_Konektivitas!$B$3:$B$563,$A20))</f>
        <v>0</v>
      </c>
      <c r="V20" s="29">
        <f>IF((COUNTIFS(Input_Konektivitas!$A$3:$A$563,$A20,Input_Konektivitas!$B$3:$B$563,V$3,Input_Konektivitas!$D$3:$D$563,"&gt;0")+COUNTIFS(Input_Konektivitas!$A$3:$A$563,V$3,Input_Konektivitas!$B$3:$B$563,$A20,Input_Konektivitas!$D$3:$D$563,"&gt;0"))=0,"",SUMIFS(Input_Konektivitas!$C$3:$C$563,Input_Konektivitas!$A$3:$A$563,$A20,Input_Konektivitas!$B$3:$B$563,V$3)+SUMIFS(Input_Konektivitas!$C$3:$C$563,Input_Konektivitas!$A$3:$A$563,V$3,Input_Konektivitas!$B$3:$B$563,$A20))</f>
        <v>1</v>
      </c>
      <c r="W20" s="29">
        <f>IF((COUNTIFS(Input_Konektivitas!$A$3:$A$563,$A20,Input_Konektivitas!$B$3:$B$563,W$3,Input_Konektivitas!$D$3:$D$563,"&gt;0")+COUNTIFS(Input_Konektivitas!$A$3:$A$563,W$3,Input_Konektivitas!$B$3:$B$563,$A20,Input_Konektivitas!$D$3:$D$563,"&gt;0"))=0,"",SUMIFS(Input_Konektivitas!$C$3:$C$563,Input_Konektivitas!$A$3:$A$563,$A20,Input_Konektivitas!$B$3:$B$563,W$3)+SUMIFS(Input_Konektivitas!$C$3:$C$563,Input_Konektivitas!$A$3:$A$563,W$3,Input_Konektivitas!$B$3:$B$563,$A20))</f>
        <v>0</v>
      </c>
      <c r="X20" s="29">
        <f>IF((COUNTIFS(Input_Konektivitas!$A$3:$A$563,$A20,Input_Konektivitas!$B$3:$B$563,X$3,Input_Konektivitas!$D$3:$D$563,"&gt;0")+COUNTIFS(Input_Konektivitas!$A$3:$A$563,X$3,Input_Konektivitas!$B$3:$B$563,$A20,Input_Konektivitas!$D$3:$D$563,"&gt;0"))=0,"",SUMIFS(Input_Konektivitas!$C$3:$C$563,Input_Konektivitas!$A$3:$A$563,$A20,Input_Konektivitas!$B$3:$B$563,X$3)+SUMIFS(Input_Konektivitas!$C$3:$C$563,Input_Konektivitas!$A$3:$A$563,X$3,Input_Konektivitas!$B$3:$B$563,$A20))</f>
        <v>0</v>
      </c>
      <c r="Y20" s="29">
        <f>IF((COUNTIFS(Input_Konektivitas!$A$3:$A$563,$A20,Input_Konektivitas!$B$3:$B$563,Y$3,Input_Konektivitas!$D$3:$D$563,"&gt;0")+COUNTIFS(Input_Konektivitas!$A$3:$A$563,Y$3,Input_Konektivitas!$B$3:$B$563,$A20,Input_Konektivitas!$D$3:$D$563,"&gt;0"))=0,"",SUMIFS(Input_Konektivitas!$C$3:$C$563,Input_Konektivitas!$A$3:$A$563,$A20,Input_Konektivitas!$B$3:$B$563,Y$3)+SUMIFS(Input_Konektivitas!$C$3:$C$563,Input_Konektivitas!$A$3:$A$563,Y$3,Input_Konektivitas!$B$3:$B$563,$A20))</f>
        <v>1</v>
      </c>
      <c r="Z20" s="29">
        <f>IF((COUNTIFS(Input_Konektivitas!$A$3:$A$563,$A20,Input_Konektivitas!$B$3:$B$563,Z$3,Input_Konektivitas!$D$3:$D$563,"&gt;0")+COUNTIFS(Input_Konektivitas!$A$3:$A$563,Z$3,Input_Konektivitas!$B$3:$B$563,$A20,Input_Konektivitas!$D$3:$D$563,"&gt;0"))=0,"",SUMIFS(Input_Konektivitas!$C$3:$C$563,Input_Konektivitas!$A$3:$A$563,$A20,Input_Konektivitas!$B$3:$B$563,Z$3)+SUMIFS(Input_Konektivitas!$C$3:$C$563,Input_Konektivitas!$A$3:$A$563,Z$3,Input_Konektivitas!$B$3:$B$563,$A20))</f>
        <v>0</v>
      </c>
      <c r="AA20" s="29">
        <f>IF((COUNTIFS(Input_Konektivitas!$A$3:$A$563,$A20,Input_Konektivitas!$B$3:$B$563,AA$3,Input_Konektivitas!$D$3:$D$563,"&gt;0")+COUNTIFS(Input_Konektivitas!$A$3:$A$563,AA$3,Input_Konektivitas!$B$3:$B$563,$A20,Input_Konektivitas!$D$3:$D$563,"&gt;0"))=0,"",SUMIFS(Input_Konektivitas!$C$3:$C$563,Input_Konektivitas!$A$3:$A$563,$A20,Input_Konektivitas!$B$3:$B$563,AA$3)+SUMIFS(Input_Konektivitas!$C$3:$C$563,Input_Konektivitas!$A$3:$A$563,AA$3,Input_Konektivitas!$B$3:$B$563,$A20))</f>
        <v>1</v>
      </c>
      <c r="AB20" s="29">
        <f>IF((COUNTIFS(Input_Konektivitas!$A$3:$A$563,$A20,Input_Konektivitas!$B$3:$B$563,AB$3,Input_Konektivitas!$D$3:$D$563,"&gt;0")+COUNTIFS(Input_Konektivitas!$A$3:$A$563,AB$3,Input_Konektivitas!$B$3:$B$563,$A20,Input_Konektivitas!$D$3:$D$563,"&gt;0"))=0,"",SUMIFS(Input_Konektivitas!$C$3:$C$563,Input_Konektivitas!$A$3:$A$563,$A20,Input_Konektivitas!$B$3:$B$563,AB$3)+SUMIFS(Input_Konektivitas!$C$3:$C$563,Input_Konektivitas!$A$3:$A$563,AB$3,Input_Konektivitas!$B$3:$B$563,$A20))</f>
        <v>0</v>
      </c>
      <c r="AC20" s="29">
        <f>IF((COUNTIFS(Input_Konektivitas!$A$3:$A$563,$A20,Input_Konektivitas!$B$3:$B$563,AC$3,Input_Konektivitas!$D$3:$D$563,"&gt;0")+COUNTIFS(Input_Konektivitas!$A$3:$A$563,AC$3,Input_Konektivitas!$B$3:$B$563,$A20,Input_Konektivitas!$D$3:$D$563,"&gt;0"))=0,"",SUMIFS(Input_Konektivitas!$C$3:$C$563,Input_Konektivitas!$A$3:$A$563,$A20,Input_Konektivitas!$B$3:$B$563,AC$3)+SUMIFS(Input_Konektivitas!$C$3:$C$563,Input_Konektivitas!$A$3:$A$563,AC$3,Input_Konektivitas!$B$3:$B$563,$A20))</f>
        <v>1</v>
      </c>
      <c r="AD20" s="29">
        <f>IF((COUNTIFS(Input_Konektivitas!$A$3:$A$563,$A20,Input_Konektivitas!$B$3:$B$563,AD$3,Input_Konektivitas!$D$3:$D$563,"&gt;0")+COUNTIFS(Input_Konektivitas!$A$3:$A$563,AD$3,Input_Konektivitas!$B$3:$B$563,$A20,Input_Konektivitas!$D$3:$D$563,"&gt;0"))=0,"",SUMIFS(Input_Konektivitas!$C$3:$C$563,Input_Konektivitas!$A$3:$A$563,$A20,Input_Konektivitas!$B$3:$B$563,AD$3)+SUMIFS(Input_Konektivitas!$C$3:$C$563,Input_Konektivitas!$A$3:$A$563,AD$3,Input_Konektivitas!$B$3:$B$563,$A20))</f>
        <v>1</v>
      </c>
      <c r="AE20" s="29">
        <f>IF((COUNTIFS(Input_Konektivitas!$A$3:$A$563,$A20,Input_Konektivitas!$B$3:$B$563,AE$3,Input_Konektivitas!$D$3:$D$563,"&gt;0")+COUNTIFS(Input_Konektivitas!$A$3:$A$563,AE$3,Input_Konektivitas!$B$3:$B$563,$A20,Input_Konektivitas!$D$3:$D$563,"&gt;0"))=0,"",SUMIFS(Input_Konektivitas!$C$3:$C$563,Input_Konektivitas!$A$3:$A$563,$A20,Input_Konektivitas!$B$3:$B$563,AE$3)+SUMIFS(Input_Konektivitas!$C$3:$C$563,Input_Konektivitas!$A$3:$A$563,AE$3,Input_Konektivitas!$B$3:$B$563,$A20))</f>
        <v>1</v>
      </c>
      <c r="AF20" s="29">
        <f>IF((COUNTIFS(Input_Konektivitas!$A$3:$A$563,$A20,Input_Konektivitas!$B$3:$B$563,AF$3,Input_Konektivitas!$D$3:$D$563,"&gt;0")+COUNTIFS(Input_Konektivitas!$A$3:$A$563,AF$3,Input_Konektivitas!$B$3:$B$563,$A20,Input_Konektivitas!$D$3:$D$563,"&gt;0"))=0,"",SUMIFS(Input_Konektivitas!$C$3:$C$563,Input_Konektivitas!$A$3:$A$563,$A20,Input_Konektivitas!$B$3:$B$563,AF$3)+SUMIFS(Input_Konektivitas!$C$3:$C$563,Input_Konektivitas!$A$3:$A$563,AF$3,Input_Konektivitas!$B$3:$B$563,$A20))</f>
        <v>1</v>
      </c>
      <c r="AG20" s="29">
        <f>IF((COUNTIFS(Input_Konektivitas!$A$3:$A$563,$A20,Input_Konektivitas!$B$3:$B$563,AG$3,Input_Konektivitas!$D$3:$D$563,"&gt;0")+COUNTIFS(Input_Konektivitas!$A$3:$A$563,AG$3,Input_Konektivitas!$B$3:$B$563,$A20,Input_Konektivitas!$D$3:$D$563,"&gt;0"))=0,"",SUMIFS(Input_Konektivitas!$C$3:$C$563,Input_Konektivitas!$A$3:$A$563,$A20,Input_Konektivitas!$B$3:$B$563,AG$3)+SUMIFS(Input_Konektivitas!$C$3:$C$563,Input_Konektivitas!$A$3:$A$563,AG$3,Input_Konektivitas!$B$3:$B$563,$A20))</f>
        <v>1</v>
      </c>
      <c r="AH20" s="29">
        <f>IF((COUNTIFS(Input_Konektivitas!$A$3:$A$563,$A20,Input_Konektivitas!$B$3:$B$563,AH$3,Input_Konektivitas!$D$3:$D$563,"&gt;0")+COUNTIFS(Input_Konektivitas!$A$3:$A$563,AH$3,Input_Konektivitas!$B$3:$B$563,$A20,Input_Konektivitas!$D$3:$D$563,"&gt;0"))=0,"",SUMIFS(Input_Konektivitas!$C$3:$C$563,Input_Konektivitas!$A$3:$A$563,$A20,Input_Konektivitas!$B$3:$B$563,AH$3)+SUMIFS(Input_Konektivitas!$C$3:$C$563,Input_Konektivitas!$A$3:$A$563,AH$3,Input_Konektivitas!$B$3:$B$563,$A20))</f>
        <v>1</v>
      </c>
      <c r="AI20" s="29">
        <f>IF((COUNTIFS(Input_Konektivitas!$A$3:$A$563,$A20,Input_Konektivitas!$B$3:$B$563,AI$3,Input_Konektivitas!$D$3:$D$563,"&gt;0")+COUNTIFS(Input_Konektivitas!$A$3:$A$563,AI$3,Input_Konektivitas!$B$3:$B$563,$A20,Input_Konektivitas!$D$3:$D$563,"&gt;0"))=0,"",SUMIFS(Input_Konektivitas!$C$3:$C$563,Input_Konektivitas!$A$3:$A$563,$A20,Input_Konektivitas!$B$3:$B$563,AI$3)+SUMIFS(Input_Konektivitas!$C$3:$C$563,Input_Konektivitas!$A$3:$A$563,AI$3,Input_Konektivitas!$B$3:$B$563,$A20))</f>
        <v>1</v>
      </c>
    </row>
    <row r="21" ht="14.25" customHeight="1">
      <c r="A21" s="22" t="s">
        <v>52</v>
      </c>
      <c r="B21" s="29">
        <f>IF((COUNTIFS(Input_Konektivitas!$A$3:$A$563,$A21,Input_Konektivitas!$B$3:$B$563,B$3,Input_Konektivitas!$D$3:$D$563,"&gt;0")+COUNTIFS(Input_Konektivitas!$A$3:$A$563,B$3,Input_Konektivitas!$B$3:$B$563,$A21,Input_Konektivitas!$D$3:$D$563,"&gt;0"))=0,"",SUMIFS(Input_Konektivitas!$C$3:$C$563,Input_Konektivitas!$A$3:$A$563,$A21,Input_Konektivitas!$B$3:$B$563,B$3)+SUMIFS(Input_Konektivitas!$C$3:$C$563,Input_Konektivitas!$A$3:$A$563,B$3,Input_Konektivitas!$B$3:$B$563,$A21))</f>
        <v>1</v>
      </c>
      <c r="C21" s="29">
        <f>IF((COUNTIFS(Input_Konektivitas!$A$3:$A$563,$A21,Input_Konektivitas!$B$3:$B$563,C$3,Input_Konektivitas!$D$3:$D$563,"&gt;0")+COUNTIFS(Input_Konektivitas!$A$3:$A$563,C$3,Input_Konektivitas!$B$3:$B$563,$A21,Input_Konektivitas!$D$3:$D$563,"&gt;0"))=0,"",SUMIFS(Input_Konektivitas!$C$3:$C$563,Input_Konektivitas!$A$3:$A$563,$A21,Input_Konektivitas!$B$3:$B$563,C$3)+SUMIFS(Input_Konektivitas!$C$3:$C$563,Input_Konektivitas!$A$3:$A$563,C$3,Input_Konektivitas!$B$3:$B$563,$A21))</f>
        <v>1</v>
      </c>
      <c r="D21" s="29">
        <f>IF((COUNTIFS(Input_Konektivitas!$A$3:$A$563,$A21,Input_Konektivitas!$B$3:$B$563,D$3,Input_Konektivitas!$D$3:$D$563,"&gt;0")+COUNTIFS(Input_Konektivitas!$A$3:$A$563,D$3,Input_Konektivitas!$B$3:$B$563,$A21,Input_Konektivitas!$D$3:$D$563,"&gt;0"))=0,"",SUMIFS(Input_Konektivitas!$C$3:$C$563,Input_Konektivitas!$A$3:$A$563,$A21,Input_Konektivitas!$B$3:$B$563,D$3)+SUMIFS(Input_Konektivitas!$C$3:$C$563,Input_Konektivitas!$A$3:$A$563,D$3,Input_Konektivitas!$B$3:$B$563,$A21))</f>
        <v>1</v>
      </c>
      <c r="E21" s="29">
        <f>IF((COUNTIFS(Input_Konektivitas!$A$3:$A$563,$A21,Input_Konektivitas!$B$3:$B$563,E$3,Input_Konektivitas!$D$3:$D$563,"&gt;0")+COUNTIFS(Input_Konektivitas!$A$3:$A$563,E$3,Input_Konektivitas!$B$3:$B$563,$A21,Input_Konektivitas!$D$3:$D$563,"&gt;0"))=0,"",SUMIFS(Input_Konektivitas!$C$3:$C$563,Input_Konektivitas!$A$3:$A$563,$A21,Input_Konektivitas!$B$3:$B$563,E$3)+SUMIFS(Input_Konektivitas!$C$3:$C$563,Input_Konektivitas!$A$3:$A$563,E$3,Input_Konektivitas!$B$3:$B$563,$A21))</f>
        <v>1</v>
      </c>
      <c r="F21" s="29">
        <f>IF((COUNTIFS(Input_Konektivitas!$A$3:$A$563,$A21,Input_Konektivitas!$B$3:$B$563,F$3,Input_Konektivitas!$D$3:$D$563,"&gt;0")+COUNTIFS(Input_Konektivitas!$A$3:$A$563,F$3,Input_Konektivitas!$B$3:$B$563,$A21,Input_Konektivitas!$D$3:$D$563,"&gt;0"))=0,"",SUMIFS(Input_Konektivitas!$C$3:$C$563,Input_Konektivitas!$A$3:$A$563,$A21,Input_Konektivitas!$B$3:$B$563,F$3)+SUMIFS(Input_Konektivitas!$C$3:$C$563,Input_Konektivitas!$A$3:$A$563,F$3,Input_Konektivitas!$B$3:$B$563,$A21))</f>
        <v>1</v>
      </c>
      <c r="G21" s="29">
        <f>IF((COUNTIFS(Input_Konektivitas!$A$3:$A$563,$A21,Input_Konektivitas!$B$3:$B$563,G$3,Input_Konektivitas!$D$3:$D$563,"&gt;0")+COUNTIFS(Input_Konektivitas!$A$3:$A$563,G$3,Input_Konektivitas!$B$3:$B$563,$A21,Input_Konektivitas!$D$3:$D$563,"&gt;0"))=0,"",SUMIFS(Input_Konektivitas!$C$3:$C$563,Input_Konektivitas!$A$3:$A$563,$A21,Input_Konektivitas!$B$3:$B$563,G$3)+SUMIFS(Input_Konektivitas!$C$3:$C$563,Input_Konektivitas!$A$3:$A$563,G$3,Input_Konektivitas!$B$3:$B$563,$A21))</f>
        <v>1</v>
      </c>
      <c r="H21" s="29">
        <f>IF((COUNTIFS(Input_Konektivitas!$A$3:$A$563,$A21,Input_Konektivitas!$B$3:$B$563,H$3,Input_Konektivitas!$D$3:$D$563,"&gt;0")+COUNTIFS(Input_Konektivitas!$A$3:$A$563,H$3,Input_Konektivitas!$B$3:$B$563,$A21,Input_Konektivitas!$D$3:$D$563,"&gt;0"))=0,"",SUMIFS(Input_Konektivitas!$C$3:$C$563,Input_Konektivitas!$A$3:$A$563,$A21,Input_Konektivitas!$B$3:$B$563,H$3)+SUMIFS(Input_Konektivitas!$C$3:$C$563,Input_Konektivitas!$A$3:$A$563,H$3,Input_Konektivitas!$B$3:$B$563,$A21))</f>
        <v>1</v>
      </c>
      <c r="I21" s="29">
        <f>IF((COUNTIFS(Input_Konektivitas!$A$3:$A$563,$A21,Input_Konektivitas!$B$3:$B$563,I$3,Input_Konektivitas!$D$3:$D$563,"&gt;0")+COUNTIFS(Input_Konektivitas!$A$3:$A$563,I$3,Input_Konektivitas!$B$3:$B$563,$A21,Input_Konektivitas!$D$3:$D$563,"&gt;0"))=0,"",SUMIFS(Input_Konektivitas!$C$3:$C$563,Input_Konektivitas!$A$3:$A$563,$A21,Input_Konektivitas!$B$3:$B$563,I$3)+SUMIFS(Input_Konektivitas!$C$3:$C$563,Input_Konektivitas!$A$3:$A$563,I$3,Input_Konektivitas!$B$3:$B$563,$A21))</f>
        <v>1</v>
      </c>
      <c r="J21" s="29">
        <f>IF((COUNTIFS(Input_Konektivitas!$A$3:$A$563,$A21,Input_Konektivitas!$B$3:$B$563,J$3,Input_Konektivitas!$D$3:$D$563,"&gt;0")+COUNTIFS(Input_Konektivitas!$A$3:$A$563,J$3,Input_Konektivitas!$B$3:$B$563,$A21,Input_Konektivitas!$D$3:$D$563,"&gt;0"))=0,"",SUMIFS(Input_Konektivitas!$C$3:$C$563,Input_Konektivitas!$A$3:$A$563,$A21,Input_Konektivitas!$B$3:$B$563,J$3)+SUMIFS(Input_Konektivitas!$C$3:$C$563,Input_Konektivitas!$A$3:$A$563,J$3,Input_Konektivitas!$B$3:$B$563,$A21))</f>
        <v>1</v>
      </c>
      <c r="K21" s="29">
        <f>IF((COUNTIFS(Input_Konektivitas!$A$3:$A$563,$A21,Input_Konektivitas!$B$3:$B$563,K$3,Input_Konektivitas!$D$3:$D$563,"&gt;0")+COUNTIFS(Input_Konektivitas!$A$3:$A$563,K$3,Input_Konektivitas!$B$3:$B$563,$A21,Input_Konektivitas!$D$3:$D$563,"&gt;0"))=0,"",SUMIFS(Input_Konektivitas!$C$3:$C$563,Input_Konektivitas!$A$3:$A$563,$A21,Input_Konektivitas!$B$3:$B$563,K$3)+SUMIFS(Input_Konektivitas!$C$3:$C$563,Input_Konektivitas!$A$3:$A$563,K$3,Input_Konektivitas!$B$3:$B$563,$A21))</f>
        <v>1</v>
      </c>
      <c r="L21" s="29">
        <f>IF((COUNTIFS(Input_Konektivitas!$A$3:$A$563,$A21,Input_Konektivitas!$B$3:$B$563,L$3,Input_Konektivitas!$D$3:$D$563,"&gt;0")+COUNTIFS(Input_Konektivitas!$A$3:$A$563,L$3,Input_Konektivitas!$B$3:$B$563,$A21,Input_Konektivitas!$D$3:$D$563,"&gt;0"))=0,"",SUMIFS(Input_Konektivitas!$C$3:$C$563,Input_Konektivitas!$A$3:$A$563,$A21,Input_Konektivitas!$B$3:$B$563,L$3)+SUMIFS(Input_Konektivitas!$C$3:$C$563,Input_Konektivitas!$A$3:$A$563,L$3,Input_Konektivitas!$B$3:$B$563,$A21))</f>
        <v>0</v>
      </c>
      <c r="M21" s="29">
        <f>IF((COUNTIFS(Input_Konektivitas!$A$3:$A$563,$A21,Input_Konektivitas!$B$3:$B$563,M$3,Input_Konektivitas!$D$3:$D$563,"&gt;0")+COUNTIFS(Input_Konektivitas!$A$3:$A$563,M$3,Input_Konektivitas!$B$3:$B$563,$A21,Input_Konektivitas!$D$3:$D$563,"&gt;0"))=0,"",SUMIFS(Input_Konektivitas!$C$3:$C$563,Input_Konektivitas!$A$3:$A$563,$A21,Input_Konektivitas!$B$3:$B$563,M$3)+SUMIFS(Input_Konektivitas!$C$3:$C$563,Input_Konektivitas!$A$3:$A$563,M$3,Input_Konektivitas!$B$3:$B$563,$A21))</f>
        <v>1</v>
      </c>
      <c r="N21" s="29">
        <f>IF((COUNTIFS(Input_Konektivitas!$A$3:$A$563,$A21,Input_Konektivitas!$B$3:$B$563,N$3,Input_Konektivitas!$D$3:$D$563,"&gt;0")+COUNTIFS(Input_Konektivitas!$A$3:$A$563,N$3,Input_Konektivitas!$B$3:$B$563,$A21,Input_Konektivitas!$D$3:$D$563,"&gt;0"))=0,"",SUMIFS(Input_Konektivitas!$C$3:$C$563,Input_Konektivitas!$A$3:$A$563,$A21,Input_Konektivitas!$B$3:$B$563,N$3)+SUMIFS(Input_Konektivitas!$C$3:$C$563,Input_Konektivitas!$A$3:$A$563,N$3,Input_Konektivitas!$B$3:$B$563,$A21))</f>
        <v>1</v>
      </c>
      <c r="O21" s="29">
        <f>IF((COUNTIFS(Input_Konektivitas!$A$3:$A$563,$A21,Input_Konektivitas!$B$3:$B$563,O$3,Input_Konektivitas!$D$3:$D$563,"&gt;0")+COUNTIFS(Input_Konektivitas!$A$3:$A$563,O$3,Input_Konektivitas!$B$3:$B$563,$A21,Input_Konektivitas!$D$3:$D$563,"&gt;0"))=0,"",SUMIFS(Input_Konektivitas!$C$3:$C$563,Input_Konektivitas!$A$3:$A$563,$A21,Input_Konektivitas!$B$3:$B$563,O$3)+SUMIFS(Input_Konektivitas!$C$3:$C$563,Input_Konektivitas!$A$3:$A$563,O$3,Input_Konektivitas!$B$3:$B$563,$A21))</f>
        <v>0</v>
      </c>
      <c r="P21" s="29">
        <f>IF((COUNTIFS(Input_Konektivitas!$A$3:$A$563,$A21,Input_Konektivitas!$B$3:$B$563,P$3,Input_Konektivitas!$D$3:$D$563,"&gt;0")+COUNTIFS(Input_Konektivitas!$A$3:$A$563,P$3,Input_Konektivitas!$B$3:$B$563,$A21,Input_Konektivitas!$D$3:$D$563,"&gt;0"))=0,"",SUMIFS(Input_Konektivitas!$C$3:$C$563,Input_Konektivitas!$A$3:$A$563,$A21,Input_Konektivitas!$B$3:$B$563,P$3)+SUMIFS(Input_Konektivitas!$C$3:$C$563,Input_Konektivitas!$A$3:$A$563,P$3,Input_Konektivitas!$B$3:$B$563,$A21))</f>
        <v>0</v>
      </c>
      <c r="Q21" s="29" t="str">
        <f>IF((COUNTIFS(Input_Konektivitas!$A$3:$A$563,$A21,Input_Konektivitas!$B$3:$B$563,Q$3,Input_Konektivitas!$D$3:$D$563,"&gt;0")+COUNTIFS(Input_Konektivitas!$A$3:$A$563,Q$3,Input_Konektivitas!$B$3:$B$563,$A21,Input_Konektivitas!$D$3:$D$563,"&gt;0"))=0,"",SUMIFS(Input_Konektivitas!$C$3:$C$563,Input_Konektivitas!$A$3:$A$563,$A21,Input_Konektivitas!$B$3:$B$563,Q$3)+SUMIFS(Input_Konektivitas!$C$3:$C$563,Input_Konektivitas!$A$3:$A$563,Q$3,Input_Konektivitas!$B$3:$B$563,$A21))</f>
        <v/>
      </c>
      <c r="R21" s="29">
        <f>IF((COUNTIFS(Input_Konektivitas!$A$3:$A$563,$A21,Input_Konektivitas!$B$3:$B$563,R$3,Input_Konektivitas!$D$3:$D$563,"&gt;0")+COUNTIFS(Input_Konektivitas!$A$3:$A$563,R$3,Input_Konektivitas!$B$3:$B$563,$A21,Input_Konektivitas!$D$3:$D$563,"&gt;0"))=0,"",SUMIFS(Input_Konektivitas!$C$3:$C$563,Input_Konektivitas!$A$3:$A$563,$A21,Input_Konektivitas!$B$3:$B$563,R$3)+SUMIFS(Input_Konektivitas!$C$3:$C$563,Input_Konektivitas!$A$3:$A$563,R$3,Input_Konektivitas!$B$3:$B$563,$A21))</f>
        <v>0</v>
      </c>
      <c r="S21" s="26">
        <v>0.0</v>
      </c>
      <c r="T21" s="29">
        <f>IF((COUNTIFS(Input_Konektivitas!$A$3:$A$563,$A21,Input_Konektivitas!$B$3:$B$563,T$3,Input_Konektivitas!$D$3:$D$563,"&gt;0")+COUNTIFS(Input_Konektivitas!$A$3:$A$563,T$3,Input_Konektivitas!$B$3:$B$563,$A21,Input_Konektivitas!$D$3:$D$563,"&gt;0"))=0,"",SUMIFS(Input_Konektivitas!$C$3:$C$563,Input_Konektivitas!$A$3:$A$563,$A21,Input_Konektivitas!$B$3:$B$563,T$3)+SUMIFS(Input_Konektivitas!$C$3:$C$563,Input_Konektivitas!$A$3:$A$563,T$3,Input_Konektivitas!$B$3:$B$563,$A21))</f>
        <v>0</v>
      </c>
      <c r="U21" s="29">
        <f>IF((COUNTIFS(Input_Konektivitas!$A$3:$A$563,$A21,Input_Konektivitas!$B$3:$B$563,U$3,Input_Konektivitas!$D$3:$D$563,"&gt;0")+COUNTIFS(Input_Konektivitas!$A$3:$A$563,U$3,Input_Konektivitas!$B$3:$B$563,$A21,Input_Konektivitas!$D$3:$D$563,"&gt;0"))=0,"",SUMIFS(Input_Konektivitas!$C$3:$C$563,Input_Konektivitas!$A$3:$A$563,$A21,Input_Konektivitas!$B$3:$B$563,U$3)+SUMIFS(Input_Konektivitas!$C$3:$C$563,Input_Konektivitas!$A$3:$A$563,U$3,Input_Konektivitas!$B$3:$B$563,$A21))</f>
        <v>1</v>
      </c>
      <c r="V21" s="29">
        <f>IF((COUNTIFS(Input_Konektivitas!$A$3:$A$563,$A21,Input_Konektivitas!$B$3:$B$563,V$3,Input_Konektivitas!$D$3:$D$563,"&gt;0")+COUNTIFS(Input_Konektivitas!$A$3:$A$563,V$3,Input_Konektivitas!$B$3:$B$563,$A21,Input_Konektivitas!$D$3:$D$563,"&gt;0"))=0,"",SUMIFS(Input_Konektivitas!$C$3:$C$563,Input_Konektivitas!$A$3:$A$563,$A21,Input_Konektivitas!$B$3:$B$563,V$3)+SUMIFS(Input_Konektivitas!$C$3:$C$563,Input_Konektivitas!$A$3:$A$563,V$3,Input_Konektivitas!$B$3:$B$563,$A21))</f>
        <v>1</v>
      </c>
      <c r="W21" s="29">
        <f>IF((COUNTIFS(Input_Konektivitas!$A$3:$A$563,$A21,Input_Konektivitas!$B$3:$B$563,W$3,Input_Konektivitas!$D$3:$D$563,"&gt;0")+COUNTIFS(Input_Konektivitas!$A$3:$A$563,W$3,Input_Konektivitas!$B$3:$B$563,$A21,Input_Konektivitas!$D$3:$D$563,"&gt;0"))=0,"",SUMIFS(Input_Konektivitas!$C$3:$C$563,Input_Konektivitas!$A$3:$A$563,$A21,Input_Konektivitas!$B$3:$B$563,W$3)+SUMIFS(Input_Konektivitas!$C$3:$C$563,Input_Konektivitas!$A$3:$A$563,W$3,Input_Konektivitas!$B$3:$B$563,$A21))</f>
        <v>1</v>
      </c>
      <c r="X21" s="29">
        <f>IF((COUNTIFS(Input_Konektivitas!$A$3:$A$563,$A21,Input_Konektivitas!$B$3:$B$563,X$3,Input_Konektivitas!$D$3:$D$563,"&gt;0")+COUNTIFS(Input_Konektivitas!$A$3:$A$563,X$3,Input_Konektivitas!$B$3:$B$563,$A21,Input_Konektivitas!$D$3:$D$563,"&gt;0"))=0,"",SUMIFS(Input_Konektivitas!$C$3:$C$563,Input_Konektivitas!$A$3:$A$563,$A21,Input_Konektivitas!$B$3:$B$563,X$3)+SUMIFS(Input_Konektivitas!$C$3:$C$563,Input_Konektivitas!$A$3:$A$563,X$3,Input_Konektivitas!$B$3:$B$563,$A21))</f>
        <v>0</v>
      </c>
      <c r="Y21" s="29">
        <f>IF((COUNTIFS(Input_Konektivitas!$A$3:$A$563,$A21,Input_Konektivitas!$B$3:$B$563,Y$3,Input_Konektivitas!$D$3:$D$563,"&gt;0")+COUNTIFS(Input_Konektivitas!$A$3:$A$563,Y$3,Input_Konektivitas!$B$3:$B$563,$A21,Input_Konektivitas!$D$3:$D$563,"&gt;0"))=0,"",SUMIFS(Input_Konektivitas!$C$3:$C$563,Input_Konektivitas!$A$3:$A$563,$A21,Input_Konektivitas!$B$3:$B$563,Y$3)+SUMIFS(Input_Konektivitas!$C$3:$C$563,Input_Konektivitas!$A$3:$A$563,Y$3,Input_Konektivitas!$B$3:$B$563,$A21))</f>
        <v>1</v>
      </c>
      <c r="Z21" s="29">
        <f>IF((COUNTIFS(Input_Konektivitas!$A$3:$A$563,$A21,Input_Konektivitas!$B$3:$B$563,Z$3,Input_Konektivitas!$D$3:$D$563,"&gt;0")+COUNTIFS(Input_Konektivitas!$A$3:$A$563,Z$3,Input_Konektivitas!$B$3:$B$563,$A21,Input_Konektivitas!$D$3:$D$563,"&gt;0"))=0,"",SUMIFS(Input_Konektivitas!$C$3:$C$563,Input_Konektivitas!$A$3:$A$563,$A21,Input_Konektivitas!$B$3:$B$563,Z$3)+SUMIFS(Input_Konektivitas!$C$3:$C$563,Input_Konektivitas!$A$3:$A$563,Z$3,Input_Konektivitas!$B$3:$B$563,$A21))</f>
        <v>1</v>
      </c>
      <c r="AA21" s="29">
        <f>IF((COUNTIFS(Input_Konektivitas!$A$3:$A$563,$A21,Input_Konektivitas!$B$3:$B$563,AA$3,Input_Konektivitas!$D$3:$D$563,"&gt;0")+COUNTIFS(Input_Konektivitas!$A$3:$A$563,AA$3,Input_Konektivitas!$B$3:$B$563,$A21,Input_Konektivitas!$D$3:$D$563,"&gt;0"))=0,"",SUMIFS(Input_Konektivitas!$C$3:$C$563,Input_Konektivitas!$A$3:$A$563,$A21,Input_Konektivitas!$B$3:$B$563,AA$3)+SUMIFS(Input_Konektivitas!$C$3:$C$563,Input_Konektivitas!$A$3:$A$563,AA$3,Input_Konektivitas!$B$3:$B$563,$A21))</f>
        <v>2</v>
      </c>
      <c r="AB21" s="29">
        <f>IF((COUNTIFS(Input_Konektivitas!$A$3:$A$563,$A21,Input_Konektivitas!$B$3:$B$563,AB$3,Input_Konektivitas!$D$3:$D$563,"&gt;0")+COUNTIFS(Input_Konektivitas!$A$3:$A$563,AB$3,Input_Konektivitas!$B$3:$B$563,$A21,Input_Konektivitas!$D$3:$D$563,"&gt;0"))=0,"",SUMIFS(Input_Konektivitas!$C$3:$C$563,Input_Konektivitas!$A$3:$A$563,$A21,Input_Konektivitas!$B$3:$B$563,AB$3)+SUMIFS(Input_Konektivitas!$C$3:$C$563,Input_Konektivitas!$A$3:$A$563,AB$3,Input_Konektivitas!$B$3:$B$563,$A21))</f>
        <v>0</v>
      </c>
      <c r="AC21" s="29">
        <f>IF((COUNTIFS(Input_Konektivitas!$A$3:$A$563,$A21,Input_Konektivitas!$B$3:$B$563,AC$3,Input_Konektivitas!$D$3:$D$563,"&gt;0")+COUNTIFS(Input_Konektivitas!$A$3:$A$563,AC$3,Input_Konektivitas!$B$3:$B$563,$A21,Input_Konektivitas!$D$3:$D$563,"&gt;0"))=0,"",SUMIFS(Input_Konektivitas!$C$3:$C$563,Input_Konektivitas!$A$3:$A$563,$A21,Input_Konektivitas!$B$3:$B$563,AC$3)+SUMIFS(Input_Konektivitas!$C$3:$C$563,Input_Konektivitas!$A$3:$A$563,AC$3,Input_Konektivitas!$B$3:$B$563,$A21))</f>
        <v>1</v>
      </c>
      <c r="AD21" s="29">
        <f>IF((COUNTIFS(Input_Konektivitas!$A$3:$A$563,$A21,Input_Konektivitas!$B$3:$B$563,AD$3,Input_Konektivitas!$D$3:$D$563,"&gt;0")+COUNTIFS(Input_Konektivitas!$A$3:$A$563,AD$3,Input_Konektivitas!$B$3:$B$563,$A21,Input_Konektivitas!$D$3:$D$563,"&gt;0"))=0,"",SUMIFS(Input_Konektivitas!$C$3:$C$563,Input_Konektivitas!$A$3:$A$563,$A21,Input_Konektivitas!$B$3:$B$563,AD$3)+SUMIFS(Input_Konektivitas!$C$3:$C$563,Input_Konektivitas!$A$3:$A$563,AD$3,Input_Konektivitas!$B$3:$B$563,$A21))</f>
        <v>2</v>
      </c>
      <c r="AE21" s="29">
        <f>IF((COUNTIFS(Input_Konektivitas!$A$3:$A$563,$A21,Input_Konektivitas!$B$3:$B$563,AE$3,Input_Konektivitas!$D$3:$D$563,"&gt;0")+COUNTIFS(Input_Konektivitas!$A$3:$A$563,AE$3,Input_Konektivitas!$B$3:$B$563,$A21,Input_Konektivitas!$D$3:$D$563,"&gt;0"))=0,"",SUMIFS(Input_Konektivitas!$C$3:$C$563,Input_Konektivitas!$A$3:$A$563,$A21,Input_Konektivitas!$B$3:$B$563,AE$3)+SUMIFS(Input_Konektivitas!$C$3:$C$563,Input_Konektivitas!$A$3:$A$563,AE$3,Input_Konektivitas!$B$3:$B$563,$A21))</f>
        <v>2</v>
      </c>
      <c r="AF21" s="29">
        <f>IF((COUNTIFS(Input_Konektivitas!$A$3:$A$563,$A21,Input_Konektivitas!$B$3:$B$563,AF$3,Input_Konektivitas!$D$3:$D$563,"&gt;0")+COUNTIFS(Input_Konektivitas!$A$3:$A$563,AF$3,Input_Konektivitas!$B$3:$B$563,$A21,Input_Konektivitas!$D$3:$D$563,"&gt;0"))=0,"",SUMIFS(Input_Konektivitas!$C$3:$C$563,Input_Konektivitas!$A$3:$A$563,$A21,Input_Konektivitas!$B$3:$B$563,AF$3)+SUMIFS(Input_Konektivitas!$C$3:$C$563,Input_Konektivitas!$A$3:$A$563,AF$3,Input_Konektivitas!$B$3:$B$563,$A21))</f>
        <v>2</v>
      </c>
      <c r="AG21" s="29">
        <f>IF((COUNTIFS(Input_Konektivitas!$A$3:$A$563,$A21,Input_Konektivitas!$B$3:$B$563,AG$3,Input_Konektivitas!$D$3:$D$563,"&gt;0")+COUNTIFS(Input_Konektivitas!$A$3:$A$563,AG$3,Input_Konektivitas!$B$3:$B$563,$A21,Input_Konektivitas!$D$3:$D$563,"&gt;0"))=0,"",SUMIFS(Input_Konektivitas!$C$3:$C$563,Input_Konektivitas!$A$3:$A$563,$A21,Input_Konektivitas!$B$3:$B$563,AG$3)+SUMIFS(Input_Konektivitas!$C$3:$C$563,Input_Konektivitas!$A$3:$A$563,AG$3,Input_Konektivitas!$B$3:$B$563,$A21))</f>
        <v>2</v>
      </c>
      <c r="AH21" s="29">
        <f>IF((COUNTIFS(Input_Konektivitas!$A$3:$A$563,$A21,Input_Konektivitas!$B$3:$B$563,AH$3,Input_Konektivitas!$D$3:$D$563,"&gt;0")+COUNTIFS(Input_Konektivitas!$A$3:$A$563,AH$3,Input_Konektivitas!$B$3:$B$563,$A21,Input_Konektivitas!$D$3:$D$563,"&gt;0"))=0,"",SUMIFS(Input_Konektivitas!$C$3:$C$563,Input_Konektivitas!$A$3:$A$563,$A21,Input_Konektivitas!$B$3:$B$563,AH$3)+SUMIFS(Input_Konektivitas!$C$3:$C$563,Input_Konektivitas!$A$3:$A$563,AH$3,Input_Konektivitas!$B$3:$B$563,$A21))</f>
        <v>2</v>
      </c>
      <c r="AI21" s="29">
        <f>IF((COUNTIFS(Input_Konektivitas!$A$3:$A$563,$A21,Input_Konektivitas!$B$3:$B$563,AI$3,Input_Konektivitas!$D$3:$D$563,"&gt;0")+COUNTIFS(Input_Konektivitas!$A$3:$A$563,AI$3,Input_Konektivitas!$B$3:$B$563,$A21,Input_Konektivitas!$D$3:$D$563,"&gt;0"))=0,"",SUMIFS(Input_Konektivitas!$C$3:$C$563,Input_Konektivitas!$A$3:$A$563,$A21,Input_Konektivitas!$B$3:$B$563,AI$3)+SUMIFS(Input_Konektivitas!$C$3:$C$563,Input_Konektivitas!$A$3:$A$563,AI$3,Input_Konektivitas!$B$3:$B$563,$A21))</f>
        <v>2</v>
      </c>
    </row>
    <row r="22" ht="14.25" customHeight="1">
      <c r="A22" s="22" t="s">
        <v>55</v>
      </c>
      <c r="B22" s="29">
        <f>IF((COUNTIFS(Input_Konektivitas!$A$3:$A$563,$A22,Input_Konektivitas!$B$3:$B$563,B$3,Input_Konektivitas!$D$3:$D$563,"&gt;0")+COUNTIFS(Input_Konektivitas!$A$3:$A$563,B$3,Input_Konektivitas!$B$3:$B$563,$A22,Input_Konektivitas!$D$3:$D$563,"&gt;0"))=0,"",SUMIFS(Input_Konektivitas!$C$3:$C$563,Input_Konektivitas!$A$3:$A$563,$A22,Input_Konektivitas!$B$3:$B$563,B$3)+SUMIFS(Input_Konektivitas!$C$3:$C$563,Input_Konektivitas!$A$3:$A$563,B$3,Input_Konektivitas!$B$3:$B$563,$A22))</f>
        <v>1</v>
      </c>
      <c r="C22" s="29">
        <f>IF((COUNTIFS(Input_Konektivitas!$A$3:$A$563,$A22,Input_Konektivitas!$B$3:$B$563,C$3,Input_Konektivitas!$D$3:$D$563,"&gt;0")+COUNTIFS(Input_Konektivitas!$A$3:$A$563,C$3,Input_Konektivitas!$B$3:$B$563,$A22,Input_Konektivitas!$D$3:$D$563,"&gt;0"))=0,"",SUMIFS(Input_Konektivitas!$C$3:$C$563,Input_Konektivitas!$A$3:$A$563,$A22,Input_Konektivitas!$B$3:$B$563,C$3)+SUMIFS(Input_Konektivitas!$C$3:$C$563,Input_Konektivitas!$A$3:$A$563,C$3,Input_Konektivitas!$B$3:$B$563,$A22))</f>
        <v>1</v>
      </c>
      <c r="D22" s="29">
        <f>IF((COUNTIFS(Input_Konektivitas!$A$3:$A$563,$A22,Input_Konektivitas!$B$3:$B$563,D$3,Input_Konektivitas!$D$3:$D$563,"&gt;0")+COUNTIFS(Input_Konektivitas!$A$3:$A$563,D$3,Input_Konektivitas!$B$3:$B$563,$A22,Input_Konektivitas!$D$3:$D$563,"&gt;0"))=0,"",SUMIFS(Input_Konektivitas!$C$3:$C$563,Input_Konektivitas!$A$3:$A$563,$A22,Input_Konektivitas!$B$3:$B$563,D$3)+SUMIFS(Input_Konektivitas!$C$3:$C$563,Input_Konektivitas!$A$3:$A$563,D$3,Input_Konektivitas!$B$3:$B$563,$A22))</f>
        <v>1</v>
      </c>
      <c r="E22" s="29">
        <f>IF((COUNTIFS(Input_Konektivitas!$A$3:$A$563,$A22,Input_Konektivitas!$B$3:$B$563,E$3,Input_Konektivitas!$D$3:$D$563,"&gt;0")+COUNTIFS(Input_Konektivitas!$A$3:$A$563,E$3,Input_Konektivitas!$B$3:$B$563,$A22,Input_Konektivitas!$D$3:$D$563,"&gt;0"))=0,"",SUMIFS(Input_Konektivitas!$C$3:$C$563,Input_Konektivitas!$A$3:$A$563,$A22,Input_Konektivitas!$B$3:$B$563,E$3)+SUMIFS(Input_Konektivitas!$C$3:$C$563,Input_Konektivitas!$A$3:$A$563,E$3,Input_Konektivitas!$B$3:$B$563,$A22))</f>
        <v>1</v>
      </c>
      <c r="F22" s="29">
        <f>IF((COUNTIFS(Input_Konektivitas!$A$3:$A$563,$A22,Input_Konektivitas!$B$3:$B$563,F$3,Input_Konektivitas!$D$3:$D$563,"&gt;0")+COUNTIFS(Input_Konektivitas!$A$3:$A$563,F$3,Input_Konektivitas!$B$3:$B$563,$A22,Input_Konektivitas!$D$3:$D$563,"&gt;0"))=0,"",SUMIFS(Input_Konektivitas!$C$3:$C$563,Input_Konektivitas!$A$3:$A$563,$A22,Input_Konektivitas!$B$3:$B$563,F$3)+SUMIFS(Input_Konektivitas!$C$3:$C$563,Input_Konektivitas!$A$3:$A$563,F$3,Input_Konektivitas!$B$3:$B$563,$A22))</f>
        <v>1</v>
      </c>
      <c r="G22" s="29">
        <f>IF((COUNTIFS(Input_Konektivitas!$A$3:$A$563,$A22,Input_Konektivitas!$B$3:$B$563,G$3,Input_Konektivitas!$D$3:$D$563,"&gt;0")+COUNTIFS(Input_Konektivitas!$A$3:$A$563,G$3,Input_Konektivitas!$B$3:$B$563,$A22,Input_Konektivitas!$D$3:$D$563,"&gt;0"))=0,"",SUMIFS(Input_Konektivitas!$C$3:$C$563,Input_Konektivitas!$A$3:$A$563,$A22,Input_Konektivitas!$B$3:$B$563,G$3)+SUMIFS(Input_Konektivitas!$C$3:$C$563,Input_Konektivitas!$A$3:$A$563,G$3,Input_Konektivitas!$B$3:$B$563,$A22))</f>
        <v>1</v>
      </c>
      <c r="H22" s="29">
        <f>IF((COUNTIFS(Input_Konektivitas!$A$3:$A$563,$A22,Input_Konektivitas!$B$3:$B$563,H$3,Input_Konektivitas!$D$3:$D$563,"&gt;0")+COUNTIFS(Input_Konektivitas!$A$3:$A$563,H$3,Input_Konektivitas!$B$3:$B$563,$A22,Input_Konektivitas!$D$3:$D$563,"&gt;0"))=0,"",SUMIFS(Input_Konektivitas!$C$3:$C$563,Input_Konektivitas!$A$3:$A$563,$A22,Input_Konektivitas!$B$3:$B$563,H$3)+SUMIFS(Input_Konektivitas!$C$3:$C$563,Input_Konektivitas!$A$3:$A$563,H$3,Input_Konektivitas!$B$3:$B$563,$A22))</f>
        <v>2</v>
      </c>
      <c r="I22" s="29">
        <f>IF((COUNTIFS(Input_Konektivitas!$A$3:$A$563,$A22,Input_Konektivitas!$B$3:$B$563,I$3,Input_Konektivitas!$D$3:$D$563,"&gt;0")+COUNTIFS(Input_Konektivitas!$A$3:$A$563,I$3,Input_Konektivitas!$B$3:$B$563,$A22,Input_Konektivitas!$D$3:$D$563,"&gt;0"))=0,"",SUMIFS(Input_Konektivitas!$C$3:$C$563,Input_Konektivitas!$A$3:$A$563,$A22,Input_Konektivitas!$B$3:$B$563,I$3)+SUMIFS(Input_Konektivitas!$C$3:$C$563,Input_Konektivitas!$A$3:$A$563,I$3,Input_Konektivitas!$B$3:$B$563,$A22))</f>
        <v>1</v>
      </c>
      <c r="J22" s="29">
        <f>IF((COUNTIFS(Input_Konektivitas!$A$3:$A$563,$A22,Input_Konektivitas!$B$3:$B$563,J$3,Input_Konektivitas!$D$3:$D$563,"&gt;0")+COUNTIFS(Input_Konektivitas!$A$3:$A$563,J$3,Input_Konektivitas!$B$3:$B$563,$A22,Input_Konektivitas!$D$3:$D$563,"&gt;0"))=0,"",SUMIFS(Input_Konektivitas!$C$3:$C$563,Input_Konektivitas!$A$3:$A$563,$A22,Input_Konektivitas!$B$3:$B$563,J$3)+SUMIFS(Input_Konektivitas!$C$3:$C$563,Input_Konektivitas!$A$3:$A$563,J$3,Input_Konektivitas!$B$3:$B$563,$A22))</f>
        <v>2</v>
      </c>
      <c r="K22" s="29">
        <f>IF((COUNTIFS(Input_Konektivitas!$A$3:$A$563,$A22,Input_Konektivitas!$B$3:$B$563,K$3,Input_Konektivitas!$D$3:$D$563,"&gt;0")+COUNTIFS(Input_Konektivitas!$A$3:$A$563,K$3,Input_Konektivitas!$B$3:$B$563,$A22,Input_Konektivitas!$D$3:$D$563,"&gt;0"))=0,"",SUMIFS(Input_Konektivitas!$C$3:$C$563,Input_Konektivitas!$A$3:$A$563,$A22,Input_Konektivitas!$B$3:$B$563,K$3)+SUMIFS(Input_Konektivitas!$C$3:$C$563,Input_Konektivitas!$A$3:$A$563,K$3,Input_Konektivitas!$B$3:$B$563,$A22))</f>
        <v>1</v>
      </c>
      <c r="L22" s="29">
        <f>IF((COUNTIFS(Input_Konektivitas!$A$3:$A$563,$A22,Input_Konektivitas!$B$3:$B$563,L$3,Input_Konektivitas!$D$3:$D$563,"&gt;0")+COUNTIFS(Input_Konektivitas!$A$3:$A$563,L$3,Input_Konektivitas!$B$3:$B$563,$A22,Input_Konektivitas!$D$3:$D$563,"&gt;0"))=0,"",SUMIFS(Input_Konektivitas!$C$3:$C$563,Input_Konektivitas!$A$3:$A$563,$A22,Input_Konektivitas!$B$3:$B$563,L$3)+SUMIFS(Input_Konektivitas!$C$3:$C$563,Input_Konektivitas!$A$3:$A$563,L$3,Input_Konektivitas!$B$3:$B$563,$A22))</f>
        <v>0</v>
      </c>
      <c r="M22" s="29">
        <f>IF((COUNTIFS(Input_Konektivitas!$A$3:$A$563,$A22,Input_Konektivitas!$B$3:$B$563,M$3,Input_Konektivitas!$D$3:$D$563,"&gt;0")+COUNTIFS(Input_Konektivitas!$A$3:$A$563,M$3,Input_Konektivitas!$B$3:$B$563,$A22,Input_Konektivitas!$D$3:$D$563,"&gt;0"))=0,"",SUMIFS(Input_Konektivitas!$C$3:$C$563,Input_Konektivitas!$A$3:$A$563,$A22,Input_Konektivitas!$B$3:$B$563,M$3)+SUMIFS(Input_Konektivitas!$C$3:$C$563,Input_Konektivitas!$A$3:$A$563,M$3,Input_Konektivitas!$B$3:$B$563,$A22))</f>
        <v>1</v>
      </c>
      <c r="N22" s="29">
        <f>IF((COUNTIFS(Input_Konektivitas!$A$3:$A$563,$A22,Input_Konektivitas!$B$3:$B$563,N$3,Input_Konektivitas!$D$3:$D$563,"&gt;0")+COUNTIFS(Input_Konektivitas!$A$3:$A$563,N$3,Input_Konektivitas!$B$3:$B$563,$A22,Input_Konektivitas!$D$3:$D$563,"&gt;0"))=0,"",SUMIFS(Input_Konektivitas!$C$3:$C$563,Input_Konektivitas!$A$3:$A$563,$A22,Input_Konektivitas!$B$3:$B$563,N$3)+SUMIFS(Input_Konektivitas!$C$3:$C$563,Input_Konektivitas!$A$3:$A$563,N$3,Input_Konektivitas!$B$3:$B$563,$A22))</f>
        <v>1</v>
      </c>
      <c r="O22" s="29">
        <f>IF((COUNTIFS(Input_Konektivitas!$A$3:$A$563,$A22,Input_Konektivitas!$B$3:$B$563,O$3,Input_Konektivitas!$D$3:$D$563,"&gt;0")+COUNTIFS(Input_Konektivitas!$A$3:$A$563,O$3,Input_Konektivitas!$B$3:$B$563,$A22,Input_Konektivitas!$D$3:$D$563,"&gt;0"))=0,"",SUMIFS(Input_Konektivitas!$C$3:$C$563,Input_Konektivitas!$A$3:$A$563,$A22,Input_Konektivitas!$B$3:$B$563,O$3)+SUMIFS(Input_Konektivitas!$C$3:$C$563,Input_Konektivitas!$A$3:$A$563,O$3,Input_Konektivitas!$B$3:$B$563,$A22))</f>
        <v>1</v>
      </c>
      <c r="P22" s="29">
        <f>IF((COUNTIFS(Input_Konektivitas!$A$3:$A$563,$A22,Input_Konektivitas!$B$3:$B$563,P$3,Input_Konektivitas!$D$3:$D$563,"&gt;0")+COUNTIFS(Input_Konektivitas!$A$3:$A$563,P$3,Input_Konektivitas!$B$3:$B$563,$A22,Input_Konektivitas!$D$3:$D$563,"&gt;0"))=0,"",SUMIFS(Input_Konektivitas!$C$3:$C$563,Input_Konektivitas!$A$3:$A$563,$A22,Input_Konektivitas!$B$3:$B$563,P$3)+SUMIFS(Input_Konektivitas!$C$3:$C$563,Input_Konektivitas!$A$3:$A$563,P$3,Input_Konektivitas!$B$3:$B$563,$A22))</f>
        <v>0</v>
      </c>
      <c r="Q22" s="29" t="str">
        <f>IF((COUNTIFS(Input_Konektivitas!$A$3:$A$563,$A22,Input_Konektivitas!$B$3:$B$563,Q$3,Input_Konektivitas!$D$3:$D$563,"&gt;0")+COUNTIFS(Input_Konektivitas!$A$3:$A$563,Q$3,Input_Konektivitas!$B$3:$B$563,$A22,Input_Konektivitas!$D$3:$D$563,"&gt;0"))=0,"",SUMIFS(Input_Konektivitas!$C$3:$C$563,Input_Konektivitas!$A$3:$A$563,$A22,Input_Konektivitas!$B$3:$B$563,Q$3)+SUMIFS(Input_Konektivitas!$C$3:$C$563,Input_Konektivitas!$A$3:$A$563,Q$3,Input_Konektivitas!$B$3:$B$563,$A22))</f>
        <v/>
      </c>
      <c r="R22" s="29">
        <f>IF((COUNTIFS(Input_Konektivitas!$A$3:$A$563,$A22,Input_Konektivitas!$B$3:$B$563,R$3,Input_Konektivitas!$D$3:$D$563,"&gt;0")+COUNTIFS(Input_Konektivitas!$A$3:$A$563,R$3,Input_Konektivitas!$B$3:$B$563,$A22,Input_Konektivitas!$D$3:$D$563,"&gt;0"))=0,"",SUMIFS(Input_Konektivitas!$C$3:$C$563,Input_Konektivitas!$A$3:$A$563,$A22,Input_Konektivitas!$B$3:$B$563,R$3)+SUMIFS(Input_Konektivitas!$C$3:$C$563,Input_Konektivitas!$A$3:$A$563,R$3,Input_Konektivitas!$B$3:$B$563,$A22))</f>
        <v>0</v>
      </c>
      <c r="S22" s="29">
        <f>IF((COUNTIFS(Input_Konektivitas!$A$3:$A$563,$A22,Input_Konektivitas!$B$3:$B$563,S$3,Input_Konektivitas!$D$3:$D$563,"&gt;0")+COUNTIFS(Input_Konektivitas!$A$3:$A$563,S$3,Input_Konektivitas!$B$3:$B$563,$A22,Input_Konektivitas!$D$3:$D$563,"&gt;0"))=0,"",SUMIFS(Input_Konektivitas!$C$3:$C$563,Input_Konektivitas!$A$3:$A$563,$A22,Input_Konektivitas!$B$3:$B$563,S$3)+SUMIFS(Input_Konektivitas!$C$3:$C$563,Input_Konektivitas!$A$3:$A$563,S$3,Input_Konektivitas!$B$3:$B$563,$A22))</f>
        <v>0</v>
      </c>
      <c r="T22" s="26">
        <v>0.0</v>
      </c>
      <c r="U22" s="29">
        <f>IF((COUNTIFS(Input_Konektivitas!$A$3:$A$563,$A22,Input_Konektivitas!$B$3:$B$563,U$3,Input_Konektivitas!$D$3:$D$563,"&gt;0")+COUNTIFS(Input_Konektivitas!$A$3:$A$563,U$3,Input_Konektivitas!$B$3:$B$563,$A22,Input_Konektivitas!$D$3:$D$563,"&gt;0"))=0,"",SUMIFS(Input_Konektivitas!$C$3:$C$563,Input_Konektivitas!$A$3:$A$563,$A22,Input_Konektivitas!$B$3:$B$563,U$3)+SUMIFS(Input_Konektivitas!$C$3:$C$563,Input_Konektivitas!$A$3:$A$563,U$3,Input_Konektivitas!$B$3:$B$563,$A22))</f>
        <v>1</v>
      </c>
      <c r="V22" s="29">
        <f>IF((COUNTIFS(Input_Konektivitas!$A$3:$A$563,$A22,Input_Konektivitas!$B$3:$B$563,V$3,Input_Konektivitas!$D$3:$D$563,"&gt;0")+COUNTIFS(Input_Konektivitas!$A$3:$A$563,V$3,Input_Konektivitas!$B$3:$B$563,$A22,Input_Konektivitas!$D$3:$D$563,"&gt;0"))=0,"",SUMIFS(Input_Konektivitas!$C$3:$C$563,Input_Konektivitas!$A$3:$A$563,$A22,Input_Konektivitas!$B$3:$B$563,V$3)+SUMIFS(Input_Konektivitas!$C$3:$C$563,Input_Konektivitas!$A$3:$A$563,V$3,Input_Konektivitas!$B$3:$B$563,$A22))</f>
        <v>2</v>
      </c>
      <c r="W22" s="29">
        <f>IF((COUNTIFS(Input_Konektivitas!$A$3:$A$563,$A22,Input_Konektivitas!$B$3:$B$563,W$3,Input_Konektivitas!$D$3:$D$563,"&gt;0")+COUNTIFS(Input_Konektivitas!$A$3:$A$563,W$3,Input_Konektivitas!$B$3:$B$563,$A22,Input_Konektivitas!$D$3:$D$563,"&gt;0"))=0,"",SUMIFS(Input_Konektivitas!$C$3:$C$563,Input_Konektivitas!$A$3:$A$563,$A22,Input_Konektivitas!$B$3:$B$563,W$3)+SUMIFS(Input_Konektivitas!$C$3:$C$563,Input_Konektivitas!$A$3:$A$563,W$3,Input_Konektivitas!$B$3:$B$563,$A22))</f>
        <v>1</v>
      </c>
      <c r="X22" s="29">
        <f>IF((COUNTIFS(Input_Konektivitas!$A$3:$A$563,$A22,Input_Konektivitas!$B$3:$B$563,X$3,Input_Konektivitas!$D$3:$D$563,"&gt;0")+COUNTIFS(Input_Konektivitas!$A$3:$A$563,X$3,Input_Konektivitas!$B$3:$B$563,$A22,Input_Konektivitas!$D$3:$D$563,"&gt;0"))=0,"",SUMIFS(Input_Konektivitas!$C$3:$C$563,Input_Konektivitas!$A$3:$A$563,$A22,Input_Konektivitas!$B$3:$B$563,X$3)+SUMIFS(Input_Konektivitas!$C$3:$C$563,Input_Konektivitas!$A$3:$A$563,X$3,Input_Konektivitas!$B$3:$B$563,$A22))</f>
        <v>1</v>
      </c>
      <c r="Y22" s="29">
        <f>IF((COUNTIFS(Input_Konektivitas!$A$3:$A$563,$A22,Input_Konektivitas!$B$3:$B$563,Y$3,Input_Konektivitas!$D$3:$D$563,"&gt;0")+COUNTIFS(Input_Konektivitas!$A$3:$A$563,Y$3,Input_Konektivitas!$B$3:$B$563,$A22,Input_Konektivitas!$D$3:$D$563,"&gt;0"))=0,"",SUMIFS(Input_Konektivitas!$C$3:$C$563,Input_Konektivitas!$A$3:$A$563,$A22,Input_Konektivitas!$B$3:$B$563,Y$3)+SUMIFS(Input_Konektivitas!$C$3:$C$563,Input_Konektivitas!$A$3:$A$563,Y$3,Input_Konektivitas!$B$3:$B$563,$A22))</f>
        <v>2</v>
      </c>
      <c r="Z22" s="29">
        <f>IF((COUNTIFS(Input_Konektivitas!$A$3:$A$563,$A22,Input_Konektivitas!$B$3:$B$563,Z$3,Input_Konektivitas!$D$3:$D$563,"&gt;0")+COUNTIFS(Input_Konektivitas!$A$3:$A$563,Z$3,Input_Konektivitas!$B$3:$B$563,$A22,Input_Konektivitas!$D$3:$D$563,"&gt;0"))=0,"",SUMIFS(Input_Konektivitas!$C$3:$C$563,Input_Konektivitas!$A$3:$A$563,$A22,Input_Konektivitas!$B$3:$B$563,Z$3)+SUMIFS(Input_Konektivitas!$C$3:$C$563,Input_Konektivitas!$A$3:$A$563,Z$3,Input_Konektivitas!$B$3:$B$563,$A22))</f>
        <v>1</v>
      </c>
      <c r="AA22" s="29">
        <f>IF((COUNTIFS(Input_Konektivitas!$A$3:$A$563,$A22,Input_Konektivitas!$B$3:$B$563,AA$3,Input_Konektivitas!$D$3:$D$563,"&gt;0")+COUNTIFS(Input_Konektivitas!$A$3:$A$563,AA$3,Input_Konektivitas!$B$3:$B$563,$A22,Input_Konektivitas!$D$3:$D$563,"&gt;0"))=0,"",SUMIFS(Input_Konektivitas!$C$3:$C$563,Input_Konektivitas!$A$3:$A$563,$A22,Input_Konektivitas!$B$3:$B$563,AA$3)+SUMIFS(Input_Konektivitas!$C$3:$C$563,Input_Konektivitas!$A$3:$A$563,AA$3,Input_Konektivitas!$B$3:$B$563,$A22))</f>
        <v>2</v>
      </c>
      <c r="AB22" s="29">
        <f>IF((COUNTIFS(Input_Konektivitas!$A$3:$A$563,$A22,Input_Konektivitas!$B$3:$B$563,AB$3,Input_Konektivitas!$D$3:$D$563,"&gt;0")+COUNTIFS(Input_Konektivitas!$A$3:$A$563,AB$3,Input_Konektivitas!$B$3:$B$563,$A22,Input_Konektivitas!$D$3:$D$563,"&gt;0"))=0,"",SUMIFS(Input_Konektivitas!$C$3:$C$563,Input_Konektivitas!$A$3:$A$563,$A22,Input_Konektivitas!$B$3:$B$563,AB$3)+SUMIFS(Input_Konektivitas!$C$3:$C$563,Input_Konektivitas!$A$3:$A$563,AB$3,Input_Konektivitas!$B$3:$B$563,$A22))</f>
        <v>0</v>
      </c>
      <c r="AC22" s="29">
        <f>IF((COUNTIFS(Input_Konektivitas!$A$3:$A$563,$A22,Input_Konektivitas!$B$3:$B$563,AC$3,Input_Konektivitas!$D$3:$D$563,"&gt;0")+COUNTIFS(Input_Konektivitas!$A$3:$A$563,AC$3,Input_Konektivitas!$B$3:$B$563,$A22,Input_Konektivitas!$D$3:$D$563,"&gt;0"))=0,"",SUMIFS(Input_Konektivitas!$C$3:$C$563,Input_Konektivitas!$A$3:$A$563,$A22,Input_Konektivitas!$B$3:$B$563,AC$3)+SUMIFS(Input_Konektivitas!$C$3:$C$563,Input_Konektivitas!$A$3:$A$563,AC$3,Input_Konektivitas!$B$3:$B$563,$A22))</f>
        <v>1</v>
      </c>
      <c r="AD22" s="29">
        <f>IF((COUNTIFS(Input_Konektivitas!$A$3:$A$563,$A22,Input_Konektivitas!$B$3:$B$563,AD$3,Input_Konektivitas!$D$3:$D$563,"&gt;0")+COUNTIFS(Input_Konektivitas!$A$3:$A$563,AD$3,Input_Konektivitas!$B$3:$B$563,$A22,Input_Konektivitas!$D$3:$D$563,"&gt;0"))=0,"",SUMIFS(Input_Konektivitas!$C$3:$C$563,Input_Konektivitas!$A$3:$A$563,$A22,Input_Konektivitas!$B$3:$B$563,AD$3)+SUMIFS(Input_Konektivitas!$C$3:$C$563,Input_Konektivitas!$A$3:$A$563,AD$3,Input_Konektivitas!$B$3:$B$563,$A22))</f>
        <v>2</v>
      </c>
      <c r="AE22" s="29">
        <f>IF((COUNTIFS(Input_Konektivitas!$A$3:$A$563,$A22,Input_Konektivitas!$B$3:$B$563,AE$3,Input_Konektivitas!$D$3:$D$563,"&gt;0")+COUNTIFS(Input_Konektivitas!$A$3:$A$563,AE$3,Input_Konektivitas!$B$3:$B$563,$A22,Input_Konektivitas!$D$3:$D$563,"&gt;0"))=0,"",SUMIFS(Input_Konektivitas!$C$3:$C$563,Input_Konektivitas!$A$3:$A$563,$A22,Input_Konektivitas!$B$3:$B$563,AE$3)+SUMIFS(Input_Konektivitas!$C$3:$C$563,Input_Konektivitas!$A$3:$A$563,AE$3,Input_Konektivitas!$B$3:$B$563,$A22))</f>
        <v>2</v>
      </c>
      <c r="AF22" s="29">
        <f>IF((COUNTIFS(Input_Konektivitas!$A$3:$A$563,$A22,Input_Konektivitas!$B$3:$B$563,AF$3,Input_Konektivitas!$D$3:$D$563,"&gt;0")+COUNTIFS(Input_Konektivitas!$A$3:$A$563,AF$3,Input_Konektivitas!$B$3:$B$563,$A22,Input_Konektivitas!$D$3:$D$563,"&gt;0"))=0,"",SUMIFS(Input_Konektivitas!$C$3:$C$563,Input_Konektivitas!$A$3:$A$563,$A22,Input_Konektivitas!$B$3:$B$563,AF$3)+SUMIFS(Input_Konektivitas!$C$3:$C$563,Input_Konektivitas!$A$3:$A$563,AF$3,Input_Konektivitas!$B$3:$B$563,$A22))</f>
        <v>2</v>
      </c>
      <c r="AG22" s="29">
        <f>IF((COUNTIFS(Input_Konektivitas!$A$3:$A$563,$A22,Input_Konektivitas!$B$3:$B$563,AG$3,Input_Konektivitas!$D$3:$D$563,"&gt;0")+COUNTIFS(Input_Konektivitas!$A$3:$A$563,AG$3,Input_Konektivitas!$B$3:$B$563,$A22,Input_Konektivitas!$D$3:$D$563,"&gt;0"))=0,"",SUMIFS(Input_Konektivitas!$C$3:$C$563,Input_Konektivitas!$A$3:$A$563,$A22,Input_Konektivitas!$B$3:$B$563,AG$3)+SUMIFS(Input_Konektivitas!$C$3:$C$563,Input_Konektivitas!$A$3:$A$563,AG$3,Input_Konektivitas!$B$3:$B$563,$A22))</f>
        <v>1</v>
      </c>
      <c r="AH22" s="29">
        <f>IF((COUNTIFS(Input_Konektivitas!$A$3:$A$563,$A22,Input_Konektivitas!$B$3:$B$563,AH$3,Input_Konektivitas!$D$3:$D$563,"&gt;0")+COUNTIFS(Input_Konektivitas!$A$3:$A$563,AH$3,Input_Konektivitas!$B$3:$B$563,$A22,Input_Konektivitas!$D$3:$D$563,"&gt;0"))=0,"",SUMIFS(Input_Konektivitas!$C$3:$C$563,Input_Konektivitas!$A$3:$A$563,$A22,Input_Konektivitas!$B$3:$B$563,AH$3)+SUMIFS(Input_Konektivitas!$C$3:$C$563,Input_Konektivitas!$A$3:$A$563,AH$3,Input_Konektivitas!$B$3:$B$563,$A22))</f>
        <v>1</v>
      </c>
      <c r="AI22" s="29">
        <f>IF((COUNTIFS(Input_Konektivitas!$A$3:$A$563,$A22,Input_Konektivitas!$B$3:$B$563,AI$3,Input_Konektivitas!$D$3:$D$563,"&gt;0")+COUNTIFS(Input_Konektivitas!$A$3:$A$563,AI$3,Input_Konektivitas!$B$3:$B$563,$A22,Input_Konektivitas!$D$3:$D$563,"&gt;0"))=0,"",SUMIFS(Input_Konektivitas!$C$3:$C$563,Input_Konektivitas!$A$3:$A$563,$A22,Input_Konektivitas!$B$3:$B$563,AI$3)+SUMIFS(Input_Konektivitas!$C$3:$C$563,Input_Konektivitas!$A$3:$A$563,AI$3,Input_Konektivitas!$B$3:$B$563,$A22))</f>
        <v>1</v>
      </c>
    </row>
    <row r="23" ht="14.25" customHeight="1">
      <c r="A23" s="22" t="s">
        <v>58</v>
      </c>
      <c r="B23" s="29">
        <f>IF((COUNTIFS(Input_Konektivitas!$A$3:$A$563,$A23,Input_Konektivitas!$B$3:$B$563,B$3,Input_Konektivitas!$D$3:$D$563,"&gt;0")+COUNTIFS(Input_Konektivitas!$A$3:$A$563,B$3,Input_Konektivitas!$B$3:$B$563,$A23,Input_Konektivitas!$D$3:$D$563,"&gt;0"))=0,"",SUMIFS(Input_Konektivitas!$C$3:$C$563,Input_Konektivitas!$A$3:$A$563,$A23,Input_Konektivitas!$B$3:$B$563,B$3)+SUMIFS(Input_Konektivitas!$C$3:$C$563,Input_Konektivitas!$A$3:$A$563,B$3,Input_Konektivitas!$B$3:$B$563,$A23))</f>
        <v>1</v>
      </c>
      <c r="C23" s="29">
        <f>IF((COUNTIFS(Input_Konektivitas!$A$3:$A$563,$A23,Input_Konektivitas!$B$3:$B$563,C$3,Input_Konektivitas!$D$3:$D$563,"&gt;0")+COUNTIFS(Input_Konektivitas!$A$3:$A$563,C$3,Input_Konektivitas!$B$3:$B$563,$A23,Input_Konektivitas!$D$3:$D$563,"&gt;0"))=0,"",SUMIFS(Input_Konektivitas!$C$3:$C$563,Input_Konektivitas!$A$3:$A$563,$A23,Input_Konektivitas!$B$3:$B$563,C$3)+SUMIFS(Input_Konektivitas!$C$3:$C$563,Input_Konektivitas!$A$3:$A$563,C$3,Input_Konektivitas!$B$3:$B$563,$A23))</f>
        <v>1</v>
      </c>
      <c r="D23" s="29">
        <f>IF((COUNTIFS(Input_Konektivitas!$A$3:$A$563,$A23,Input_Konektivitas!$B$3:$B$563,D$3,Input_Konektivitas!$D$3:$D$563,"&gt;0")+COUNTIFS(Input_Konektivitas!$A$3:$A$563,D$3,Input_Konektivitas!$B$3:$B$563,$A23,Input_Konektivitas!$D$3:$D$563,"&gt;0"))=0,"",SUMIFS(Input_Konektivitas!$C$3:$C$563,Input_Konektivitas!$A$3:$A$563,$A23,Input_Konektivitas!$B$3:$B$563,D$3)+SUMIFS(Input_Konektivitas!$C$3:$C$563,Input_Konektivitas!$A$3:$A$563,D$3,Input_Konektivitas!$B$3:$B$563,$A23))</f>
        <v>1</v>
      </c>
      <c r="E23" s="29">
        <f>IF((COUNTIFS(Input_Konektivitas!$A$3:$A$563,$A23,Input_Konektivitas!$B$3:$B$563,E$3,Input_Konektivitas!$D$3:$D$563,"&gt;0")+COUNTIFS(Input_Konektivitas!$A$3:$A$563,E$3,Input_Konektivitas!$B$3:$B$563,$A23,Input_Konektivitas!$D$3:$D$563,"&gt;0"))=0,"",SUMIFS(Input_Konektivitas!$C$3:$C$563,Input_Konektivitas!$A$3:$A$563,$A23,Input_Konektivitas!$B$3:$B$563,E$3)+SUMIFS(Input_Konektivitas!$C$3:$C$563,Input_Konektivitas!$A$3:$A$563,E$3,Input_Konektivitas!$B$3:$B$563,$A23))</f>
        <v>1</v>
      </c>
      <c r="F23" s="29">
        <f>IF((COUNTIFS(Input_Konektivitas!$A$3:$A$563,$A23,Input_Konektivitas!$B$3:$B$563,F$3,Input_Konektivitas!$D$3:$D$563,"&gt;0")+COUNTIFS(Input_Konektivitas!$A$3:$A$563,F$3,Input_Konektivitas!$B$3:$B$563,$A23,Input_Konektivitas!$D$3:$D$563,"&gt;0"))=0,"",SUMIFS(Input_Konektivitas!$C$3:$C$563,Input_Konektivitas!$A$3:$A$563,$A23,Input_Konektivitas!$B$3:$B$563,F$3)+SUMIFS(Input_Konektivitas!$C$3:$C$563,Input_Konektivitas!$A$3:$A$563,F$3,Input_Konektivitas!$B$3:$B$563,$A23))</f>
        <v>1</v>
      </c>
      <c r="G23" s="29">
        <f>IF((COUNTIFS(Input_Konektivitas!$A$3:$A$563,$A23,Input_Konektivitas!$B$3:$B$563,G$3,Input_Konektivitas!$D$3:$D$563,"&gt;0")+COUNTIFS(Input_Konektivitas!$A$3:$A$563,G$3,Input_Konektivitas!$B$3:$B$563,$A23,Input_Konektivitas!$D$3:$D$563,"&gt;0"))=0,"",SUMIFS(Input_Konektivitas!$C$3:$C$563,Input_Konektivitas!$A$3:$A$563,$A23,Input_Konektivitas!$B$3:$B$563,G$3)+SUMIFS(Input_Konektivitas!$C$3:$C$563,Input_Konektivitas!$A$3:$A$563,G$3,Input_Konektivitas!$B$3:$B$563,$A23))</f>
        <v>1</v>
      </c>
      <c r="H23" s="29">
        <f>IF((COUNTIFS(Input_Konektivitas!$A$3:$A$563,$A23,Input_Konektivitas!$B$3:$B$563,H$3,Input_Konektivitas!$D$3:$D$563,"&gt;0")+COUNTIFS(Input_Konektivitas!$A$3:$A$563,H$3,Input_Konektivitas!$B$3:$B$563,$A23,Input_Konektivitas!$D$3:$D$563,"&gt;0"))=0,"",SUMIFS(Input_Konektivitas!$C$3:$C$563,Input_Konektivitas!$A$3:$A$563,$A23,Input_Konektivitas!$B$3:$B$563,H$3)+SUMIFS(Input_Konektivitas!$C$3:$C$563,Input_Konektivitas!$A$3:$A$563,H$3,Input_Konektivitas!$B$3:$B$563,$A23))</f>
        <v>1</v>
      </c>
      <c r="I23" s="29">
        <f>IF((COUNTIFS(Input_Konektivitas!$A$3:$A$563,$A23,Input_Konektivitas!$B$3:$B$563,I$3,Input_Konektivitas!$D$3:$D$563,"&gt;0")+COUNTIFS(Input_Konektivitas!$A$3:$A$563,I$3,Input_Konektivitas!$B$3:$B$563,$A23,Input_Konektivitas!$D$3:$D$563,"&gt;0"))=0,"",SUMIFS(Input_Konektivitas!$C$3:$C$563,Input_Konektivitas!$A$3:$A$563,$A23,Input_Konektivitas!$B$3:$B$563,I$3)+SUMIFS(Input_Konektivitas!$C$3:$C$563,Input_Konektivitas!$A$3:$A$563,I$3,Input_Konektivitas!$B$3:$B$563,$A23))</f>
        <v>1</v>
      </c>
      <c r="J23" s="29">
        <f>IF((COUNTIFS(Input_Konektivitas!$A$3:$A$563,$A23,Input_Konektivitas!$B$3:$B$563,J$3,Input_Konektivitas!$D$3:$D$563,"&gt;0")+COUNTIFS(Input_Konektivitas!$A$3:$A$563,J$3,Input_Konektivitas!$B$3:$B$563,$A23,Input_Konektivitas!$D$3:$D$563,"&gt;0"))=0,"",SUMIFS(Input_Konektivitas!$C$3:$C$563,Input_Konektivitas!$A$3:$A$563,$A23,Input_Konektivitas!$B$3:$B$563,J$3)+SUMIFS(Input_Konektivitas!$C$3:$C$563,Input_Konektivitas!$A$3:$A$563,J$3,Input_Konektivitas!$B$3:$B$563,$A23))</f>
        <v>1</v>
      </c>
      <c r="K23" s="29">
        <f>IF((COUNTIFS(Input_Konektivitas!$A$3:$A$563,$A23,Input_Konektivitas!$B$3:$B$563,K$3,Input_Konektivitas!$D$3:$D$563,"&gt;0")+COUNTIFS(Input_Konektivitas!$A$3:$A$563,K$3,Input_Konektivitas!$B$3:$B$563,$A23,Input_Konektivitas!$D$3:$D$563,"&gt;0"))=0,"",SUMIFS(Input_Konektivitas!$C$3:$C$563,Input_Konektivitas!$A$3:$A$563,$A23,Input_Konektivitas!$B$3:$B$563,K$3)+SUMIFS(Input_Konektivitas!$C$3:$C$563,Input_Konektivitas!$A$3:$A$563,K$3,Input_Konektivitas!$B$3:$B$563,$A23))</f>
        <v>0</v>
      </c>
      <c r="L23" s="29">
        <f>IF((COUNTIFS(Input_Konektivitas!$A$3:$A$563,$A23,Input_Konektivitas!$B$3:$B$563,L$3,Input_Konektivitas!$D$3:$D$563,"&gt;0")+COUNTIFS(Input_Konektivitas!$A$3:$A$563,L$3,Input_Konektivitas!$B$3:$B$563,$A23,Input_Konektivitas!$D$3:$D$563,"&gt;0"))=0,"",SUMIFS(Input_Konektivitas!$C$3:$C$563,Input_Konektivitas!$A$3:$A$563,$A23,Input_Konektivitas!$B$3:$B$563,L$3)+SUMIFS(Input_Konektivitas!$C$3:$C$563,Input_Konektivitas!$A$3:$A$563,L$3,Input_Konektivitas!$B$3:$B$563,$A23))</f>
        <v>0</v>
      </c>
      <c r="M23" s="29">
        <f>IF((COUNTIFS(Input_Konektivitas!$A$3:$A$563,$A23,Input_Konektivitas!$B$3:$B$563,M$3,Input_Konektivitas!$D$3:$D$563,"&gt;0")+COUNTIFS(Input_Konektivitas!$A$3:$A$563,M$3,Input_Konektivitas!$B$3:$B$563,$A23,Input_Konektivitas!$D$3:$D$563,"&gt;0"))=0,"",SUMIFS(Input_Konektivitas!$C$3:$C$563,Input_Konektivitas!$A$3:$A$563,$A23,Input_Konektivitas!$B$3:$B$563,M$3)+SUMIFS(Input_Konektivitas!$C$3:$C$563,Input_Konektivitas!$A$3:$A$563,M$3,Input_Konektivitas!$B$3:$B$563,$A23))</f>
        <v>2</v>
      </c>
      <c r="N23" s="29">
        <f>IF((COUNTIFS(Input_Konektivitas!$A$3:$A$563,$A23,Input_Konektivitas!$B$3:$B$563,N$3,Input_Konektivitas!$D$3:$D$563,"&gt;0")+COUNTIFS(Input_Konektivitas!$A$3:$A$563,N$3,Input_Konektivitas!$B$3:$B$563,$A23,Input_Konektivitas!$D$3:$D$563,"&gt;0"))=0,"",SUMIFS(Input_Konektivitas!$C$3:$C$563,Input_Konektivitas!$A$3:$A$563,$A23,Input_Konektivitas!$B$3:$B$563,N$3)+SUMIFS(Input_Konektivitas!$C$3:$C$563,Input_Konektivitas!$A$3:$A$563,N$3,Input_Konektivitas!$B$3:$B$563,$A23))</f>
        <v>0</v>
      </c>
      <c r="O23" s="29">
        <f>IF((COUNTIFS(Input_Konektivitas!$A$3:$A$563,$A23,Input_Konektivitas!$B$3:$B$563,O$3,Input_Konektivitas!$D$3:$D$563,"&gt;0")+COUNTIFS(Input_Konektivitas!$A$3:$A$563,O$3,Input_Konektivitas!$B$3:$B$563,$A23,Input_Konektivitas!$D$3:$D$563,"&gt;0"))=0,"",SUMIFS(Input_Konektivitas!$C$3:$C$563,Input_Konektivitas!$A$3:$A$563,$A23,Input_Konektivitas!$B$3:$B$563,O$3)+SUMIFS(Input_Konektivitas!$C$3:$C$563,Input_Konektivitas!$A$3:$A$563,O$3,Input_Konektivitas!$B$3:$B$563,$A23))</f>
        <v>0</v>
      </c>
      <c r="P23" s="29">
        <f>IF((COUNTIFS(Input_Konektivitas!$A$3:$A$563,$A23,Input_Konektivitas!$B$3:$B$563,P$3,Input_Konektivitas!$D$3:$D$563,"&gt;0")+COUNTIFS(Input_Konektivitas!$A$3:$A$563,P$3,Input_Konektivitas!$B$3:$B$563,$A23,Input_Konektivitas!$D$3:$D$563,"&gt;0"))=0,"",SUMIFS(Input_Konektivitas!$C$3:$C$563,Input_Konektivitas!$A$3:$A$563,$A23,Input_Konektivitas!$B$3:$B$563,P$3)+SUMIFS(Input_Konektivitas!$C$3:$C$563,Input_Konektivitas!$A$3:$A$563,P$3,Input_Konektivitas!$B$3:$B$563,$A23))</f>
        <v>0</v>
      </c>
      <c r="Q23" s="29" t="str">
        <f>IF((COUNTIFS(Input_Konektivitas!$A$3:$A$563,$A23,Input_Konektivitas!$B$3:$B$563,Q$3,Input_Konektivitas!$D$3:$D$563,"&gt;0")+COUNTIFS(Input_Konektivitas!$A$3:$A$563,Q$3,Input_Konektivitas!$B$3:$B$563,$A23,Input_Konektivitas!$D$3:$D$563,"&gt;0"))=0,"",SUMIFS(Input_Konektivitas!$C$3:$C$563,Input_Konektivitas!$A$3:$A$563,$A23,Input_Konektivitas!$B$3:$B$563,Q$3)+SUMIFS(Input_Konektivitas!$C$3:$C$563,Input_Konektivitas!$A$3:$A$563,Q$3,Input_Konektivitas!$B$3:$B$563,$A23))</f>
        <v/>
      </c>
      <c r="R23" s="29">
        <f>IF((COUNTIFS(Input_Konektivitas!$A$3:$A$563,$A23,Input_Konektivitas!$B$3:$B$563,R$3,Input_Konektivitas!$D$3:$D$563,"&gt;0")+COUNTIFS(Input_Konektivitas!$A$3:$A$563,R$3,Input_Konektivitas!$B$3:$B$563,$A23,Input_Konektivitas!$D$3:$D$563,"&gt;0"))=0,"",SUMIFS(Input_Konektivitas!$C$3:$C$563,Input_Konektivitas!$A$3:$A$563,$A23,Input_Konektivitas!$B$3:$B$563,R$3)+SUMIFS(Input_Konektivitas!$C$3:$C$563,Input_Konektivitas!$A$3:$A$563,R$3,Input_Konektivitas!$B$3:$B$563,$A23))</f>
        <v>0</v>
      </c>
      <c r="S23" s="29">
        <f>IF((COUNTIFS(Input_Konektivitas!$A$3:$A$563,$A23,Input_Konektivitas!$B$3:$B$563,S$3,Input_Konektivitas!$D$3:$D$563,"&gt;0")+COUNTIFS(Input_Konektivitas!$A$3:$A$563,S$3,Input_Konektivitas!$B$3:$B$563,$A23,Input_Konektivitas!$D$3:$D$563,"&gt;0"))=0,"",SUMIFS(Input_Konektivitas!$C$3:$C$563,Input_Konektivitas!$A$3:$A$563,$A23,Input_Konektivitas!$B$3:$B$563,S$3)+SUMIFS(Input_Konektivitas!$C$3:$C$563,Input_Konektivitas!$A$3:$A$563,S$3,Input_Konektivitas!$B$3:$B$563,$A23))</f>
        <v>1</v>
      </c>
      <c r="T23" s="29">
        <f>IF((COUNTIFS(Input_Konektivitas!$A$3:$A$563,$A23,Input_Konektivitas!$B$3:$B$563,T$3,Input_Konektivitas!$D$3:$D$563,"&gt;0")+COUNTIFS(Input_Konektivitas!$A$3:$A$563,T$3,Input_Konektivitas!$B$3:$B$563,$A23,Input_Konektivitas!$D$3:$D$563,"&gt;0"))=0,"",SUMIFS(Input_Konektivitas!$C$3:$C$563,Input_Konektivitas!$A$3:$A$563,$A23,Input_Konektivitas!$B$3:$B$563,T$3)+SUMIFS(Input_Konektivitas!$C$3:$C$563,Input_Konektivitas!$A$3:$A$563,T$3,Input_Konektivitas!$B$3:$B$563,$A23))</f>
        <v>1</v>
      </c>
      <c r="U23" s="26">
        <v>0.0</v>
      </c>
      <c r="V23" s="29">
        <f>IF((COUNTIFS(Input_Konektivitas!$A$3:$A$563,$A23,Input_Konektivitas!$B$3:$B$563,V$3,Input_Konektivitas!$D$3:$D$563,"&gt;0")+COUNTIFS(Input_Konektivitas!$A$3:$A$563,V$3,Input_Konektivitas!$B$3:$B$563,$A23,Input_Konektivitas!$D$3:$D$563,"&gt;0"))=0,"",SUMIFS(Input_Konektivitas!$C$3:$C$563,Input_Konektivitas!$A$3:$A$563,$A23,Input_Konektivitas!$B$3:$B$563,V$3)+SUMIFS(Input_Konektivitas!$C$3:$C$563,Input_Konektivitas!$A$3:$A$563,V$3,Input_Konektivitas!$B$3:$B$563,$A23))</f>
        <v>1</v>
      </c>
      <c r="W23" s="29">
        <f>IF((COUNTIFS(Input_Konektivitas!$A$3:$A$563,$A23,Input_Konektivitas!$B$3:$B$563,W$3,Input_Konektivitas!$D$3:$D$563,"&gt;0")+COUNTIFS(Input_Konektivitas!$A$3:$A$563,W$3,Input_Konektivitas!$B$3:$B$563,$A23,Input_Konektivitas!$D$3:$D$563,"&gt;0"))=0,"",SUMIFS(Input_Konektivitas!$C$3:$C$563,Input_Konektivitas!$A$3:$A$563,$A23,Input_Konektivitas!$B$3:$B$563,W$3)+SUMIFS(Input_Konektivitas!$C$3:$C$563,Input_Konektivitas!$A$3:$A$563,W$3,Input_Konektivitas!$B$3:$B$563,$A23))</f>
        <v>1</v>
      </c>
      <c r="X23" s="29">
        <f>IF((COUNTIFS(Input_Konektivitas!$A$3:$A$563,$A23,Input_Konektivitas!$B$3:$B$563,X$3,Input_Konektivitas!$D$3:$D$563,"&gt;0")+COUNTIFS(Input_Konektivitas!$A$3:$A$563,X$3,Input_Konektivitas!$B$3:$B$563,$A23,Input_Konektivitas!$D$3:$D$563,"&gt;0"))=0,"",SUMIFS(Input_Konektivitas!$C$3:$C$563,Input_Konektivitas!$A$3:$A$563,$A23,Input_Konektivitas!$B$3:$B$563,X$3)+SUMIFS(Input_Konektivitas!$C$3:$C$563,Input_Konektivitas!$A$3:$A$563,X$3,Input_Konektivitas!$B$3:$B$563,$A23))</f>
        <v>0</v>
      </c>
      <c r="Y23" s="29">
        <f>IF((COUNTIFS(Input_Konektivitas!$A$3:$A$563,$A23,Input_Konektivitas!$B$3:$B$563,Y$3,Input_Konektivitas!$D$3:$D$563,"&gt;0")+COUNTIFS(Input_Konektivitas!$A$3:$A$563,Y$3,Input_Konektivitas!$B$3:$B$563,$A23,Input_Konektivitas!$D$3:$D$563,"&gt;0"))=0,"",SUMIFS(Input_Konektivitas!$C$3:$C$563,Input_Konektivitas!$A$3:$A$563,$A23,Input_Konektivitas!$B$3:$B$563,Y$3)+SUMIFS(Input_Konektivitas!$C$3:$C$563,Input_Konektivitas!$A$3:$A$563,Y$3,Input_Konektivitas!$B$3:$B$563,$A23))</f>
        <v>1</v>
      </c>
      <c r="Z23" s="29">
        <f>IF((COUNTIFS(Input_Konektivitas!$A$3:$A$563,$A23,Input_Konektivitas!$B$3:$B$563,Z$3,Input_Konektivitas!$D$3:$D$563,"&gt;0")+COUNTIFS(Input_Konektivitas!$A$3:$A$563,Z$3,Input_Konektivitas!$B$3:$B$563,$A23,Input_Konektivitas!$D$3:$D$563,"&gt;0"))=0,"",SUMIFS(Input_Konektivitas!$C$3:$C$563,Input_Konektivitas!$A$3:$A$563,$A23,Input_Konektivitas!$B$3:$B$563,Z$3)+SUMIFS(Input_Konektivitas!$C$3:$C$563,Input_Konektivitas!$A$3:$A$563,Z$3,Input_Konektivitas!$B$3:$B$563,$A23))</f>
        <v>1</v>
      </c>
      <c r="AA23" s="29">
        <f>IF((COUNTIFS(Input_Konektivitas!$A$3:$A$563,$A23,Input_Konektivitas!$B$3:$B$563,AA$3,Input_Konektivitas!$D$3:$D$563,"&gt;0")+COUNTIFS(Input_Konektivitas!$A$3:$A$563,AA$3,Input_Konektivitas!$B$3:$B$563,$A23,Input_Konektivitas!$D$3:$D$563,"&gt;0"))=0,"",SUMIFS(Input_Konektivitas!$C$3:$C$563,Input_Konektivitas!$A$3:$A$563,$A23,Input_Konektivitas!$B$3:$B$563,AA$3)+SUMIFS(Input_Konektivitas!$C$3:$C$563,Input_Konektivitas!$A$3:$A$563,AA$3,Input_Konektivitas!$B$3:$B$563,$A23))</f>
        <v>2</v>
      </c>
      <c r="AB23" s="29">
        <f>IF((COUNTIFS(Input_Konektivitas!$A$3:$A$563,$A23,Input_Konektivitas!$B$3:$B$563,AB$3,Input_Konektivitas!$D$3:$D$563,"&gt;0")+COUNTIFS(Input_Konektivitas!$A$3:$A$563,AB$3,Input_Konektivitas!$B$3:$B$563,$A23,Input_Konektivitas!$D$3:$D$563,"&gt;0"))=0,"",SUMIFS(Input_Konektivitas!$C$3:$C$563,Input_Konektivitas!$A$3:$A$563,$A23,Input_Konektivitas!$B$3:$B$563,AB$3)+SUMIFS(Input_Konektivitas!$C$3:$C$563,Input_Konektivitas!$A$3:$A$563,AB$3,Input_Konektivitas!$B$3:$B$563,$A23))</f>
        <v>1</v>
      </c>
      <c r="AC23" s="29">
        <f>IF((COUNTIFS(Input_Konektivitas!$A$3:$A$563,$A23,Input_Konektivitas!$B$3:$B$563,AC$3,Input_Konektivitas!$D$3:$D$563,"&gt;0")+COUNTIFS(Input_Konektivitas!$A$3:$A$563,AC$3,Input_Konektivitas!$B$3:$B$563,$A23,Input_Konektivitas!$D$3:$D$563,"&gt;0"))=0,"",SUMIFS(Input_Konektivitas!$C$3:$C$563,Input_Konektivitas!$A$3:$A$563,$A23,Input_Konektivitas!$B$3:$B$563,AC$3)+SUMIFS(Input_Konektivitas!$C$3:$C$563,Input_Konektivitas!$A$3:$A$563,AC$3,Input_Konektivitas!$B$3:$B$563,$A23))</f>
        <v>1</v>
      </c>
      <c r="AD23" s="29">
        <f>IF((COUNTIFS(Input_Konektivitas!$A$3:$A$563,$A23,Input_Konektivitas!$B$3:$B$563,AD$3,Input_Konektivitas!$D$3:$D$563,"&gt;0")+COUNTIFS(Input_Konektivitas!$A$3:$A$563,AD$3,Input_Konektivitas!$B$3:$B$563,$A23,Input_Konektivitas!$D$3:$D$563,"&gt;0"))=0,"",SUMIFS(Input_Konektivitas!$C$3:$C$563,Input_Konektivitas!$A$3:$A$563,$A23,Input_Konektivitas!$B$3:$B$563,AD$3)+SUMIFS(Input_Konektivitas!$C$3:$C$563,Input_Konektivitas!$A$3:$A$563,AD$3,Input_Konektivitas!$B$3:$B$563,$A23))</f>
        <v>1</v>
      </c>
      <c r="AE23" s="29">
        <f>IF((COUNTIFS(Input_Konektivitas!$A$3:$A$563,$A23,Input_Konektivitas!$B$3:$B$563,AE$3,Input_Konektivitas!$D$3:$D$563,"&gt;0")+COUNTIFS(Input_Konektivitas!$A$3:$A$563,AE$3,Input_Konektivitas!$B$3:$B$563,$A23,Input_Konektivitas!$D$3:$D$563,"&gt;0"))=0,"",SUMIFS(Input_Konektivitas!$C$3:$C$563,Input_Konektivitas!$A$3:$A$563,$A23,Input_Konektivitas!$B$3:$B$563,AE$3)+SUMIFS(Input_Konektivitas!$C$3:$C$563,Input_Konektivitas!$A$3:$A$563,AE$3,Input_Konektivitas!$B$3:$B$563,$A23))</f>
        <v>2</v>
      </c>
      <c r="AF23" s="29">
        <f>IF((COUNTIFS(Input_Konektivitas!$A$3:$A$563,$A23,Input_Konektivitas!$B$3:$B$563,AF$3,Input_Konektivitas!$D$3:$D$563,"&gt;0")+COUNTIFS(Input_Konektivitas!$A$3:$A$563,AF$3,Input_Konektivitas!$B$3:$B$563,$A23,Input_Konektivitas!$D$3:$D$563,"&gt;0"))=0,"",SUMIFS(Input_Konektivitas!$C$3:$C$563,Input_Konektivitas!$A$3:$A$563,$A23,Input_Konektivitas!$B$3:$B$563,AF$3)+SUMIFS(Input_Konektivitas!$C$3:$C$563,Input_Konektivitas!$A$3:$A$563,AF$3,Input_Konektivitas!$B$3:$B$563,$A23))</f>
        <v>1</v>
      </c>
      <c r="AG23" s="29">
        <f>IF((COUNTIFS(Input_Konektivitas!$A$3:$A$563,$A23,Input_Konektivitas!$B$3:$B$563,AG$3,Input_Konektivitas!$D$3:$D$563,"&gt;0")+COUNTIFS(Input_Konektivitas!$A$3:$A$563,AG$3,Input_Konektivitas!$B$3:$B$563,$A23,Input_Konektivitas!$D$3:$D$563,"&gt;0"))=0,"",SUMIFS(Input_Konektivitas!$C$3:$C$563,Input_Konektivitas!$A$3:$A$563,$A23,Input_Konektivitas!$B$3:$B$563,AG$3)+SUMIFS(Input_Konektivitas!$C$3:$C$563,Input_Konektivitas!$A$3:$A$563,AG$3,Input_Konektivitas!$B$3:$B$563,$A23))</f>
        <v>2</v>
      </c>
      <c r="AH23" s="29">
        <f>IF((COUNTIFS(Input_Konektivitas!$A$3:$A$563,$A23,Input_Konektivitas!$B$3:$B$563,AH$3,Input_Konektivitas!$D$3:$D$563,"&gt;0")+COUNTIFS(Input_Konektivitas!$A$3:$A$563,AH$3,Input_Konektivitas!$B$3:$B$563,$A23,Input_Konektivitas!$D$3:$D$563,"&gt;0"))=0,"",SUMIFS(Input_Konektivitas!$C$3:$C$563,Input_Konektivitas!$A$3:$A$563,$A23,Input_Konektivitas!$B$3:$B$563,AH$3)+SUMIFS(Input_Konektivitas!$C$3:$C$563,Input_Konektivitas!$A$3:$A$563,AH$3,Input_Konektivitas!$B$3:$B$563,$A23))</f>
        <v>2</v>
      </c>
      <c r="AI23" s="29">
        <f>IF((COUNTIFS(Input_Konektivitas!$A$3:$A$563,$A23,Input_Konektivitas!$B$3:$B$563,AI$3,Input_Konektivitas!$D$3:$D$563,"&gt;0")+COUNTIFS(Input_Konektivitas!$A$3:$A$563,AI$3,Input_Konektivitas!$B$3:$B$563,$A23,Input_Konektivitas!$D$3:$D$563,"&gt;0"))=0,"",SUMIFS(Input_Konektivitas!$C$3:$C$563,Input_Konektivitas!$A$3:$A$563,$A23,Input_Konektivitas!$B$3:$B$563,AI$3)+SUMIFS(Input_Konektivitas!$C$3:$C$563,Input_Konektivitas!$A$3:$A$563,AI$3,Input_Konektivitas!$B$3:$B$563,$A23))</f>
        <v>2</v>
      </c>
    </row>
    <row r="24" ht="14.25" customHeight="1">
      <c r="A24" s="22" t="s">
        <v>61</v>
      </c>
      <c r="B24" s="29">
        <f>IF((COUNTIFS(Input_Konektivitas!$A$3:$A$563,$A24,Input_Konektivitas!$B$3:$B$563,B$3,Input_Konektivitas!$D$3:$D$563,"&gt;0")+COUNTIFS(Input_Konektivitas!$A$3:$A$563,B$3,Input_Konektivitas!$B$3:$B$563,$A24,Input_Konektivitas!$D$3:$D$563,"&gt;0"))=0,"",SUMIFS(Input_Konektivitas!$C$3:$C$563,Input_Konektivitas!$A$3:$A$563,$A24,Input_Konektivitas!$B$3:$B$563,B$3)+SUMIFS(Input_Konektivitas!$C$3:$C$563,Input_Konektivitas!$A$3:$A$563,B$3,Input_Konektivitas!$B$3:$B$563,$A24))</f>
        <v>1</v>
      </c>
      <c r="C24" s="29">
        <f>IF((COUNTIFS(Input_Konektivitas!$A$3:$A$563,$A24,Input_Konektivitas!$B$3:$B$563,C$3,Input_Konektivitas!$D$3:$D$563,"&gt;0")+COUNTIFS(Input_Konektivitas!$A$3:$A$563,C$3,Input_Konektivitas!$B$3:$B$563,$A24,Input_Konektivitas!$D$3:$D$563,"&gt;0"))=0,"",SUMIFS(Input_Konektivitas!$C$3:$C$563,Input_Konektivitas!$A$3:$A$563,$A24,Input_Konektivitas!$B$3:$B$563,C$3)+SUMIFS(Input_Konektivitas!$C$3:$C$563,Input_Konektivitas!$A$3:$A$563,C$3,Input_Konektivitas!$B$3:$B$563,$A24))</f>
        <v>1</v>
      </c>
      <c r="D24" s="29">
        <f>IF((COUNTIFS(Input_Konektivitas!$A$3:$A$563,$A24,Input_Konektivitas!$B$3:$B$563,D$3,Input_Konektivitas!$D$3:$D$563,"&gt;0")+COUNTIFS(Input_Konektivitas!$A$3:$A$563,D$3,Input_Konektivitas!$B$3:$B$563,$A24,Input_Konektivitas!$D$3:$D$563,"&gt;0"))=0,"",SUMIFS(Input_Konektivitas!$C$3:$C$563,Input_Konektivitas!$A$3:$A$563,$A24,Input_Konektivitas!$B$3:$B$563,D$3)+SUMIFS(Input_Konektivitas!$C$3:$C$563,Input_Konektivitas!$A$3:$A$563,D$3,Input_Konektivitas!$B$3:$B$563,$A24))</f>
        <v>1</v>
      </c>
      <c r="E24" s="29">
        <f>IF((COUNTIFS(Input_Konektivitas!$A$3:$A$563,$A24,Input_Konektivitas!$B$3:$B$563,E$3,Input_Konektivitas!$D$3:$D$563,"&gt;0")+COUNTIFS(Input_Konektivitas!$A$3:$A$563,E$3,Input_Konektivitas!$B$3:$B$563,$A24,Input_Konektivitas!$D$3:$D$563,"&gt;0"))=0,"",SUMIFS(Input_Konektivitas!$C$3:$C$563,Input_Konektivitas!$A$3:$A$563,$A24,Input_Konektivitas!$B$3:$B$563,E$3)+SUMIFS(Input_Konektivitas!$C$3:$C$563,Input_Konektivitas!$A$3:$A$563,E$3,Input_Konektivitas!$B$3:$B$563,$A24))</f>
        <v>1</v>
      </c>
      <c r="F24" s="29">
        <f>IF((COUNTIFS(Input_Konektivitas!$A$3:$A$563,$A24,Input_Konektivitas!$B$3:$B$563,F$3,Input_Konektivitas!$D$3:$D$563,"&gt;0")+COUNTIFS(Input_Konektivitas!$A$3:$A$563,F$3,Input_Konektivitas!$B$3:$B$563,$A24,Input_Konektivitas!$D$3:$D$563,"&gt;0"))=0,"",SUMIFS(Input_Konektivitas!$C$3:$C$563,Input_Konektivitas!$A$3:$A$563,$A24,Input_Konektivitas!$B$3:$B$563,F$3)+SUMIFS(Input_Konektivitas!$C$3:$C$563,Input_Konektivitas!$A$3:$A$563,F$3,Input_Konektivitas!$B$3:$B$563,$A24))</f>
        <v>1</v>
      </c>
      <c r="G24" s="29">
        <f>IF((COUNTIFS(Input_Konektivitas!$A$3:$A$563,$A24,Input_Konektivitas!$B$3:$B$563,G$3,Input_Konektivitas!$D$3:$D$563,"&gt;0")+COUNTIFS(Input_Konektivitas!$A$3:$A$563,G$3,Input_Konektivitas!$B$3:$B$563,$A24,Input_Konektivitas!$D$3:$D$563,"&gt;0"))=0,"",SUMIFS(Input_Konektivitas!$C$3:$C$563,Input_Konektivitas!$A$3:$A$563,$A24,Input_Konektivitas!$B$3:$B$563,G$3)+SUMIFS(Input_Konektivitas!$C$3:$C$563,Input_Konektivitas!$A$3:$A$563,G$3,Input_Konektivitas!$B$3:$B$563,$A24))</f>
        <v>1</v>
      </c>
      <c r="H24" s="29">
        <f>IF((COUNTIFS(Input_Konektivitas!$A$3:$A$563,$A24,Input_Konektivitas!$B$3:$B$563,H$3,Input_Konektivitas!$D$3:$D$563,"&gt;0")+COUNTIFS(Input_Konektivitas!$A$3:$A$563,H$3,Input_Konektivitas!$B$3:$B$563,$A24,Input_Konektivitas!$D$3:$D$563,"&gt;0"))=0,"",SUMIFS(Input_Konektivitas!$C$3:$C$563,Input_Konektivitas!$A$3:$A$563,$A24,Input_Konektivitas!$B$3:$B$563,H$3)+SUMIFS(Input_Konektivitas!$C$3:$C$563,Input_Konektivitas!$A$3:$A$563,H$3,Input_Konektivitas!$B$3:$B$563,$A24))</f>
        <v>1</v>
      </c>
      <c r="I24" s="29">
        <f>IF((COUNTIFS(Input_Konektivitas!$A$3:$A$563,$A24,Input_Konektivitas!$B$3:$B$563,I$3,Input_Konektivitas!$D$3:$D$563,"&gt;0")+COUNTIFS(Input_Konektivitas!$A$3:$A$563,I$3,Input_Konektivitas!$B$3:$B$563,$A24,Input_Konektivitas!$D$3:$D$563,"&gt;0"))=0,"",SUMIFS(Input_Konektivitas!$C$3:$C$563,Input_Konektivitas!$A$3:$A$563,$A24,Input_Konektivitas!$B$3:$B$563,I$3)+SUMIFS(Input_Konektivitas!$C$3:$C$563,Input_Konektivitas!$A$3:$A$563,I$3,Input_Konektivitas!$B$3:$B$563,$A24))</f>
        <v>1</v>
      </c>
      <c r="J24" s="29">
        <f>IF((COUNTIFS(Input_Konektivitas!$A$3:$A$563,$A24,Input_Konektivitas!$B$3:$B$563,J$3,Input_Konektivitas!$D$3:$D$563,"&gt;0")+COUNTIFS(Input_Konektivitas!$A$3:$A$563,J$3,Input_Konektivitas!$B$3:$B$563,$A24,Input_Konektivitas!$D$3:$D$563,"&gt;0"))=0,"",SUMIFS(Input_Konektivitas!$C$3:$C$563,Input_Konektivitas!$A$3:$A$563,$A24,Input_Konektivitas!$B$3:$B$563,J$3)+SUMIFS(Input_Konektivitas!$C$3:$C$563,Input_Konektivitas!$A$3:$A$563,J$3,Input_Konektivitas!$B$3:$B$563,$A24))</f>
        <v>1</v>
      </c>
      <c r="K24" s="29">
        <f>IF((COUNTIFS(Input_Konektivitas!$A$3:$A$563,$A24,Input_Konektivitas!$B$3:$B$563,K$3,Input_Konektivitas!$D$3:$D$563,"&gt;0")+COUNTIFS(Input_Konektivitas!$A$3:$A$563,K$3,Input_Konektivitas!$B$3:$B$563,$A24,Input_Konektivitas!$D$3:$D$563,"&gt;0"))=0,"",SUMIFS(Input_Konektivitas!$C$3:$C$563,Input_Konektivitas!$A$3:$A$563,$A24,Input_Konektivitas!$B$3:$B$563,K$3)+SUMIFS(Input_Konektivitas!$C$3:$C$563,Input_Konektivitas!$A$3:$A$563,K$3,Input_Konektivitas!$B$3:$B$563,$A24))</f>
        <v>1</v>
      </c>
      <c r="L24" s="29">
        <f>IF((COUNTIFS(Input_Konektivitas!$A$3:$A$563,$A24,Input_Konektivitas!$B$3:$B$563,L$3,Input_Konektivitas!$D$3:$D$563,"&gt;0")+COUNTIFS(Input_Konektivitas!$A$3:$A$563,L$3,Input_Konektivitas!$B$3:$B$563,$A24,Input_Konektivitas!$D$3:$D$563,"&gt;0"))=0,"",SUMIFS(Input_Konektivitas!$C$3:$C$563,Input_Konektivitas!$A$3:$A$563,$A24,Input_Konektivitas!$B$3:$B$563,L$3)+SUMIFS(Input_Konektivitas!$C$3:$C$563,Input_Konektivitas!$A$3:$A$563,L$3,Input_Konektivitas!$B$3:$B$563,$A24))</f>
        <v>0</v>
      </c>
      <c r="M24" s="29" t="str">
        <f>IF((COUNTIFS(Input_Konektivitas!$A$3:$A$563,$A24,Input_Konektivitas!$B$3:$B$563,M$3,Input_Konektivitas!$D$3:$D$563,"&gt;0")+COUNTIFS(Input_Konektivitas!$A$3:$A$563,M$3,Input_Konektivitas!$B$3:$B$563,$A24,Input_Konektivitas!$D$3:$D$563,"&gt;0"))=0,"",SUMIFS(Input_Konektivitas!$C$3:$C$563,Input_Konektivitas!$A$3:$A$563,$A24,Input_Konektivitas!$B$3:$B$563,M$3)+SUMIFS(Input_Konektivitas!$C$3:$C$563,Input_Konektivitas!$A$3:$A$563,M$3,Input_Konektivitas!$B$3:$B$563,$A24))</f>
        <v/>
      </c>
      <c r="N24" s="29">
        <f>IF((COUNTIFS(Input_Konektivitas!$A$3:$A$563,$A24,Input_Konektivitas!$B$3:$B$563,N$3,Input_Konektivitas!$D$3:$D$563,"&gt;0")+COUNTIFS(Input_Konektivitas!$A$3:$A$563,N$3,Input_Konektivitas!$B$3:$B$563,$A24,Input_Konektivitas!$D$3:$D$563,"&gt;0"))=0,"",SUMIFS(Input_Konektivitas!$C$3:$C$563,Input_Konektivitas!$A$3:$A$563,$A24,Input_Konektivitas!$B$3:$B$563,N$3)+SUMIFS(Input_Konektivitas!$C$3:$C$563,Input_Konektivitas!$A$3:$A$563,N$3,Input_Konektivitas!$B$3:$B$563,$A24))</f>
        <v>0</v>
      </c>
      <c r="O24" s="29">
        <f>IF((COUNTIFS(Input_Konektivitas!$A$3:$A$563,$A24,Input_Konektivitas!$B$3:$B$563,O$3,Input_Konektivitas!$D$3:$D$563,"&gt;0")+COUNTIFS(Input_Konektivitas!$A$3:$A$563,O$3,Input_Konektivitas!$B$3:$B$563,$A24,Input_Konektivitas!$D$3:$D$563,"&gt;0"))=0,"",SUMIFS(Input_Konektivitas!$C$3:$C$563,Input_Konektivitas!$A$3:$A$563,$A24,Input_Konektivitas!$B$3:$B$563,O$3)+SUMIFS(Input_Konektivitas!$C$3:$C$563,Input_Konektivitas!$A$3:$A$563,O$3,Input_Konektivitas!$B$3:$B$563,$A24))</f>
        <v>0</v>
      </c>
      <c r="P24" s="29">
        <f>IF((COUNTIFS(Input_Konektivitas!$A$3:$A$563,$A24,Input_Konektivitas!$B$3:$B$563,P$3,Input_Konektivitas!$D$3:$D$563,"&gt;0")+COUNTIFS(Input_Konektivitas!$A$3:$A$563,P$3,Input_Konektivitas!$B$3:$B$563,$A24,Input_Konektivitas!$D$3:$D$563,"&gt;0"))=0,"",SUMIFS(Input_Konektivitas!$C$3:$C$563,Input_Konektivitas!$A$3:$A$563,$A24,Input_Konektivitas!$B$3:$B$563,P$3)+SUMIFS(Input_Konektivitas!$C$3:$C$563,Input_Konektivitas!$A$3:$A$563,P$3,Input_Konektivitas!$B$3:$B$563,$A24))</f>
        <v>0</v>
      </c>
      <c r="Q24" s="29" t="str">
        <f>IF((COUNTIFS(Input_Konektivitas!$A$3:$A$563,$A24,Input_Konektivitas!$B$3:$B$563,Q$3,Input_Konektivitas!$D$3:$D$563,"&gt;0")+COUNTIFS(Input_Konektivitas!$A$3:$A$563,Q$3,Input_Konektivitas!$B$3:$B$563,$A24,Input_Konektivitas!$D$3:$D$563,"&gt;0"))=0,"",SUMIFS(Input_Konektivitas!$C$3:$C$563,Input_Konektivitas!$A$3:$A$563,$A24,Input_Konektivitas!$B$3:$B$563,Q$3)+SUMIFS(Input_Konektivitas!$C$3:$C$563,Input_Konektivitas!$A$3:$A$563,Q$3,Input_Konektivitas!$B$3:$B$563,$A24))</f>
        <v/>
      </c>
      <c r="R24" s="29">
        <f>IF((COUNTIFS(Input_Konektivitas!$A$3:$A$563,$A24,Input_Konektivitas!$B$3:$B$563,R$3,Input_Konektivitas!$D$3:$D$563,"&gt;0")+COUNTIFS(Input_Konektivitas!$A$3:$A$563,R$3,Input_Konektivitas!$B$3:$B$563,$A24,Input_Konektivitas!$D$3:$D$563,"&gt;0"))=0,"",SUMIFS(Input_Konektivitas!$C$3:$C$563,Input_Konektivitas!$A$3:$A$563,$A24,Input_Konektivitas!$B$3:$B$563,R$3)+SUMIFS(Input_Konektivitas!$C$3:$C$563,Input_Konektivitas!$A$3:$A$563,R$3,Input_Konektivitas!$B$3:$B$563,$A24))</f>
        <v>1</v>
      </c>
      <c r="S24" s="29">
        <f>IF((COUNTIFS(Input_Konektivitas!$A$3:$A$563,$A24,Input_Konektivitas!$B$3:$B$563,S$3,Input_Konektivitas!$D$3:$D$563,"&gt;0")+COUNTIFS(Input_Konektivitas!$A$3:$A$563,S$3,Input_Konektivitas!$B$3:$B$563,$A24,Input_Konektivitas!$D$3:$D$563,"&gt;0"))=0,"",SUMIFS(Input_Konektivitas!$C$3:$C$563,Input_Konektivitas!$A$3:$A$563,$A24,Input_Konektivitas!$B$3:$B$563,S$3)+SUMIFS(Input_Konektivitas!$C$3:$C$563,Input_Konektivitas!$A$3:$A$563,S$3,Input_Konektivitas!$B$3:$B$563,$A24))</f>
        <v>1</v>
      </c>
      <c r="T24" s="29">
        <f>IF((COUNTIFS(Input_Konektivitas!$A$3:$A$563,$A24,Input_Konektivitas!$B$3:$B$563,T$3,Input_Konektivitas!$D$3:$D$563,"&gt;0")+COUNTIFS(Input_Konektivitas!$A$3:$A$563,T$3,Input_Konektivitas!$B$3:$B$563,$A24,Input_Konektivitas!$D$3:$D$563,"&gt;0"))=0,"",SUMIFS(Input_Konektivitas!$C$3:$C$563,Input_Konektivitas!$A$3:$A$563,$A24,Input_Konektivitas!$B$3:$B$563,T$3)+SUMIFS(Input_Konektivitas!$C$3:$C$563,Input_Konektivitas!$A$3:$A$563,T$3,Input_Konektivitas!$B$3:$B$563,$A24))</f>
        <v>2</v>
      </c>
      <c r="U24" s="29">
        <f>IF((COUNTIFS(Input_Konektivitas!$A$3:$A$563,$A24,Input_Konektivitas!$B$3:$B$563,U$3,Input_Konektivitas!$D$3:$D$563,"&gt;0")+COUNTIFS(Input_Konektivitas!$A$3:$A$563,U$3,Input_Konektivitas!$B$3:$B$563,$A24,Input_Konektivitas!$D$3:$D$563,"&gt;0"))=0,"",SUMIFS(Input_Konektivitas!$C$3:$C$563,Input_Konektivitas!$A$3:$A$563,$A24,Input_Konektivitas!$B$3:$B$563,U$3)+SUMIFS(Input_Konektivitas!$C$3:$C$563,Input_Konektivitas!$A$3:$A$563,U$3,Input_Konektivitas!$B$3:$B$563,$A24))</f>
        <v>1</v>
      </c>
      <c r="V24" s="26">
        <v>0.0</v>
      </c>
      <c r="W24" s="29">
        <f>IF((COUNTIFS(Input_Konektivitas!$A$3:$A$563,$A24,Input_Konektivitas!$B$3:$B$563,W$3,Input_Konektivitas!$D$3:$D$563,"&gt;0")+COUNTIFS(Input_Konektivitas!$A$3:$A$563,W$3,Input_Konektivitas!$B$3:$B$563,$A24,Input_Konektivitas!$D$3:$D$563,"&gt;0"))=0,"",SUMIFS(Input_Konektivitas!$C$3:$C$563,Input_Konektivitas!$A$3:$A$563,$A24,Input_Konektivitas!$B$3:$B$563,W$3)+SUMIFS(Input_Konektivitas!$C$3:$C$563,Input_Konektivitas!$A$3:$A$563,W$3,Input_Konektivitas!$B$3:$B$563,$A24))</f>
        <v>1</v>
      </c>
      <c r="X24" s="29">
        <f>IF((COUNTIFS(Input_Konektivitas!$A$3:$A$563,$A24,Input_Konektivitas!$B$3:$B$563,X$3,Input_Konektivitas!$D$3:$D$563,"&gt;0")+COUNTIFS(Input_Konektivitas!$A$3:$A$563,X$3,Input_Konektivitas!$B$3:$B$563,$A24,Input_Konektivitas!$D$3:$D$563,"&gt;0"))=0,"",SUMIFS(Input_Konektivitas!$C$3:$C$563,Input_Konektivitas!$A$3:$A$563,$A24,Input_Konektivitas!$B$3:$B$563,X$3)+SUMIFS(Input_Konektivitas!$C$3:$C$563,Input_Konektivitas!$A$3:$A$563,X$3,Input_Konektivitas!$B$3:$B$563,$A24))</f>
        <v>0</v>
      </c>
      <c r="Y24" s="29">
        <f>IF((COUNTIFS(Input_Konektivitas!$A$3:$A$563,$A24,Input_Konektivitas!$B$3:$B$563,Y$3,Input_Konektivitas!$D$3:$D$563,"&gt;0")+COUNTIFS(Input_Konektivitas!$A$3:$A$563,Y$3,Input_Konektivitas!$B$3:$B$563,$A24,Input_Konektivitas!$D$3:$D$563,"&gt;0"))=0,"",SUMIFS(Input_Konektivitas!$C$3:$C$563,Input_Konektivitas!$A$3:$A$563,$A24,Input_Konektivitas!$B$3:$B$563,Y$3)+SUMIFS(Input_Konektivitas!$C$3:$C$563,Input_Konektivitas!$A$3:$A$563,Y$3,Input_Konektivitas!$B$3:$B$563,$A24))</f>
        <v>1</v>
      </c>
      <c r="Z24" s="29">
        <f>IF((COUNTIFS(Input_Konektivitas!$A$3:$A$563,$A24,Input_Konektivitas!$B$3:$B$563,Z$3,Input_Konektivitas!$D$3:$D$563,"&gt;0")+COUNTIFS(Input_Konektivitas!$A$3:$A$563,Z$3,Input_Konektivitas!$B$3:$B$563,$A24,Input_Konektivitas!$D$3:$D$563,"&gt;0"))=0,"",SUMIFS(Input_Konektivitas!$C$3:$C$563,Input_Konektivitas!$A$3:$A$563,$A24,Input_Konektivitas!$B$3:$B$563,Z$3)+SUMIFS(Input_Konektivitas!$C$3:$C$563,Input_Konektivitas!$A$3:$A$563,Z$3,Input_Konektivitas!$B$3:$B$563,$A24))</f>
        <v>1</v>
      </c>
      <c r="AA24" s="29">
        <f>IF((COUNTIFS(Input_Konektivitas!$A$3:$A$563,$A24,Input_Konektivitas!$B$3:$B$563,AA$3,Input_Konektivitas!$D$3:$D$563,"&gt;0")+COUNTIFS(Input_Konektivitas!$A$3:$A$563,AA$3,Input_Konektivitas!$B$3:$B$563,$A24,Input_Konektivitas!$D$3:$D$563,"&gt;0"))=0,"",SUMIFS(Input_Konektivitas!$C$3:$C$563,Input_Konektivitas!$A$3:$A$563,$A24,Input_Konektivitas!$B$3:$B$563,AA$3)+SUMIFS(Input_Konektivitas!$C$3:$C$563,Input_Konektivitas!$A$3:$A$563,AA$3,Input_Konektivitas!$B$3:$B$563,$A24))</f>
        <v>2</v>
      </c>
      <c r="AB24" s="29">
        <f>IF((COUNTIFS(Input_Konektivitas!$A$3:$A$563,$A24,Input_Konektivitas!$B$3:$B$563,AB$3,Input_Konektivitas!$D$3:$D$563,"&gt;0")+COUNTIFS(Input_Konektivitas!$A$3:$A$563,AB$3,Input_Konektivitas!$B$3:$B$563,$A24,Input_Konektivitas!$D$3:$D$563,"&gt;0"))=0,"",SUMIFS(Input_Konektivitas!$C$3:$C$563,Input_Konektivitas!$A$3:$A$563,$A24,Input_Konektivitas!$B$3:$B$563,AB$3)+SUMIFS(Input_Konektivitas!$C$3:$C$563,Input_Konektivitas!$A$3:$A$563,AB$3,Input_Konektivitas!$B$3:$B$563,$A24))</f>
        <v>1</v>
      </c>
      <c r="AC24" s="29">
        <f>IF((COUNTIFS(Input_Konektivitas!$A$3:$A$563,$A24,Input_Konektivitas!$B$3:$B$563,AC$3,Input_Konektivitas!$D$3:$D$563,"&gt;0")+COUNTIFS(Input_Konektivitas!$A$3:$A$563,AC$3,Input_Konektivitas!$B$3:$B$563,$A24,Input_Konektivitas!$D$3:$D$563,"&gt;0"))=0,"",SUMIFS(Input_Konektivitas!$C$3:$C$563,Input_Konektivitas!$A$3:$A$563,$A24,Input_Konektivitas!$B$3:$B$563,AC$3)+SUMIFS(Input_Konektivitas!$C$3:$C$563,Input_Konektivitas!$A$3:$A$563,AC$3,Input_Konektivitas!$B$3:$B$563,$A24))</f>
        <v>1</v>
      </c>
      <c r="AD24" s="29">
        <f>IF((COUNTIFS(Input_Konektivitas!$A$3:$A$563,$A24,Input_Konektivitas!$B$3:$B$563,AD$3,Input_Konektivitas!$D$3:$D$563,"&gt;0")+COUNTIFS(Input_Konektivitas!$A$3:$A$563,AD$3,Input_Konektivitas!$B$3:$B$563,$A24,Input_Konektivitas!$D$3:$D$563,"&gt;0"))=0,"",SUMIFS(Input_Konektivitas!$C$3:$C$563,Input_Konektivitas!$A$3:$A$563,$A24,Input_Konektivitas!$B$3:$B$563,AD$3)+SUMIFS(Input_Konektivitas!$C$3:$C$563,Input_Konektivitas!$A$3:$A$563,AD$3,Input_Konektivitas!$B$3:$B$563,$A24))</f>
        <v>2</v>
      </c>
      <c r="AE24" s="29">
        <f>IF((COUNTIFS(Input_Konektivitas!$A$3:$A$563,$A24,Input_Konektivitas!$B$3:$B$563,AE$3,Input_Konektivitas!$D$3:$D$563,"&gt;0")+COUNTIFS(Input_Konektivitas!$A$3:$A$563,AE$3,Input_Konektivitas!$B$3:$B$563,$A24,Input_Konektivitas!$D$3:$D$563,"&gt;0"))=0,"",SUMIFS(Input_Konektivitas!$C$3:$C$563,Input_Konektivitas!$A$3:$A$563,$A24,Input_Konektivitas!$B$3:$B$563,AE$3)+SUMIFS(Input_Konektivitas!$C$3:$C$563,Input_Konektivitas!$A$3:$A$563,AE$3,Input_Konektivitas!$B$3:$B$563,$A24))</f>
        <v>2</v>
      </c>
      <c r="AF24" s="29">
        <f>IF((COUNTIFS(Input_Konektivitas!$A$3:$A$563,$A24,Input_Konektivitas!$B$3:$B$563,AF$3,Input_Konektivitas!$D$3:$D$563,"&gt;0")+COUNTIFS(Input_Konektivitas!$A$3:$A$563,AF$3,Input_Konektivitas!$B$3:$B$563,$A24,Input_Konektivitas!$D$3:$D$563,"&gt;0"))=0,"",SUMIFS(Input_Konektivitas!$C$3:$C$563,Input_Konektivitas!$A$3:$A$563,$A24,Input_Konektivitas!$B$3:$B$563,AF$3)+SUMIFS(Input_Konektivitas!$C$3:$C$563,Input_Konektivitas!$A$3:$A$563,AF$3,Input_Konektivitas!$B$3:$B$563,$A24))</f>
        <v>1</v>
      </c>
      <c r="AG24" s="29">
        <f>IF((COUNTIFS(Input_Konektivitas!$A$3:$A$563,$A24,Input_Konektivitas!$B$3:$B$563,AG$3,Input_Konektivitas!$D$3:$D$563,"&gt;0")+COUNTIFS(Input_Konektivitas!$A$3:$A$563,AG$3,Input_Konektivitas!$B$3:$B$563,$A24,Input_Konektivitas!$D$3:$D$563,"&gt;0"))=0,"",SUMIFS(Input_Konektivitas!$C$3:$C$563,Input_Konektivitas!$A$3:$A$563,$A24,Input_Konektivitas!$B$3:$B$563,AG$3)+SUMIFS(Input_Konektivitas!$C$3:$C$563,Input_Konektivitas!$A$3:$A$563,AG$3,Input_Konektivitas!$B$3:$B$563,$A24))</f>
        <v>2</v>
      </c>
      <c r="AH24" s="29">
        <f>IF((COUNTIFS(Input_Konektivitas!$A$3:$A$563,$A24,Input_Konektivitas!$B$3:$B$563,AH$3,Input_Konektivitas!$D$3:$D$563,"&gt;0")+COUNTIFS(Input_Konektivitas!$A$3:$A$563,AH$3,Input_Konektivitas!$B$3:$B$563,$A24,Input_Konektivitas!$D$3:$D$563,"&gt;0"))=0,"",SUMIFS(Input_Konektivitas!$C$3:$C$563,Input_Konektivitas!$A$3:$A$563,$A24,Input_Konektivitas!$B$3:$B$563,AH$3)+SUMIFS(Input_Konektivitas!$C$3:$C$563,Input_Konektivitas!$A$3:$A$563,AH$3,Input_Konektivitas!$B$3:$B$563,$A24))</f>
        <v>2</v>
      </c>
      <c r="AI24" s="29">
        <f>IF((COUNTIFS(Input_Konektivitas!$A$3:$A$563,$A24,Input_Konektivitas!$B$3:$B$563,AI$3,Input_Konektivitas!$D$3:$D$563,"&gt;0")+COUNTIFS(Input_Konektivitas!$A$3:$A$563,AI$3,Input_Konektivitas!$B$3:$B$563,$A24,Input_Konektivitas!$D$3:$D$563,"&gt;0"))=0,"",SUMIFS(Input_Konektivitas!$C$3:$C$563,Input_Konektivitas!$A$3:$A$563,$A24,Input_Konektivitas!$B$3:$B$563,AI$3)+SUMIFS(Input_Konektivitas!$C$3:$C$563,Input_Konektivitas!$A$3:$A$563,AI$3,Input_Konektivitas!$B$3:$B$563,$A24))</f>
        <v>2</v>
      </c>
    </row>
    <row r="25" ht="14.25" customHeight="1">
      <c r="A25" s="22" t="s">
        <v>64</v>
      </c>
      <c r="B25" s="29">
        <f>IF((COUNTIFS(Input_Konektivitas!$A$3:$A$563,$A25,Input_Konektivitas!$B$3:$B$563,B$3,Input_Konektivitas!$D$3:$D$563,"&gt;0")+COUNTIFS(Input_Konektivitas!$A$3:$A$563,B$3,Input_Konektivitas!$B$3:$B$563,$A25,Input_Konektivitas!$D$3:$D$563,"&gt;0"))=0,"",SUMIFS(Input_Konektivitas!$C$3:$C$563,Input_Konektivitas!$A$3:$A$563,$A25,Input_Konektivitas!$B$3:$B$563,B$3)+SUMIFS(Input_Konektivitas!$C$3:$C$563,Input_Konektivitas!$A$3:$A$563,B$3,Input_Konektivitas!$B$3:$B$563,$A25))</f>
        <v>1</v>
      </c>
      <c r="C25" s="29">
        <f>IF((COUNTIFS(Input_Konektivitas!$A$3:$A$563,$A25,Input_Konektivitas!$B$3:$B$563,C$3,Input_Konektivitas!$D$3:$D$563,"&gt;0")+COUNTIFS(Input_Konektivitas!$A$3:$A$563,C$3,Input_Konektivitas!$B$3:$B$563,$A25,Input_Konektivitas!$D$3:$D$563,"&gt;0"))=0,"",SUMIFS(Input_Konektivitas!$C$3:$C$563,Input_Konektivitas!$A$3:$A$563,$A25,Input_Konektivitas!$B$3:$B$563,C$3)+SUMIFS(Input_Konektivitas!$C$3:$C$563,Input_Konektivitas!$A$3:$A$563,C$3,Input_Konektivitas!$B$3:$B$563,$A25))</f>
        <v>1</v>
      </c>
      <c r="D25" s="29">
        <f>IF((COUNTIFS(Input_Konektivitas!$A$3:$A$563,$A25,Input_Konektivitas!$B$3:$B$563,D$3,Input_Konektivitas!$D$3:$D$563,"&gt;0")+COUNTIFS(Input_Konektivitas!$A$3:$A$563,D$3,Input_Konektivitas!$B$3:$B$563,$A25,Input_Konektivitas!$D$3:$D$563,"&gt;0"))=0,"",SUMIFS(Input_Konektivitas!$C$3:$C$563,Input_Konektivitas!$A$3:$A$563,$A25,Input_Konektivitas!$B$3:$B$563,D$3)+SUMIFS(Input_Konektivitas!$C$3:$C$563,Input_Konektivitas!$A$3:$A$563,D$3,Input_Konektivitas!$B$3:$B$563,$A25))</f>
        <v>1</v>
      </c>
      <c r="E25" s="29">
        <f>IF((COUNTIFS(Input_Konektivitas!$A$3:$A$563,$A25,Input_Konektivitas!$B$3:$B$563,E$3,Input_Konektivitas!$D$3:$D$563,"&gt;0")+COUNTIFS(Input_Konektivitas!$A$3:$A$563,E$3,Input_Konektivitas!$B$3:$B$563,$A25,Input_Konektivitas!$D$3:$D$563,"&gt;0"))=0,"",SUMIFS(Input_Konektivitas!$C$3:$C$563,Input_Konektivitas!$A$3:$A$563,$A25,Input_Konektivitas!$B$3:$B$563,E$3)+SUMIFS(Input_Konektivitas!$C$3:$C$563,Input_Konektivitas!$A$3:$A$563,E$3,Input_Konektivitas!$B$3:$B$563,$A25))</f>
        <v>1</v>
      </c>
      <c r="F25" s="29">
        <f>IF((COUNTIFS(Input_Konektivitas!$A$3:$A$563,$A25,Input_Konektivitas!$B$3:$B$563,F$3,Input_Konektivitas!$D$3:$D$563,"&gt;0")+COUNTIFS(Input_Konektivitas!$A$3:$A$563,F$3,Input_Konektivitas!$B$3:$B$563,$A25,Input_Konektivitas!$D$3:$D$563,"&gt;0"))=0,"",SUMIFS(Input_Konektivitas!$C$3:$C$563,Input_Konektivitas!$A$3:$A$563,$A25,Input_Konektivitas!$B$3:$B$563,F$3)+SUMIFS(Input_Konektivitas!$C$3:$C$563,Input_Konektivitas!$A$3:$A$563,F$3,Input_Konektivitas!$B$3:$B$563,$A25))</f>
        <v>1</v>
      </c>
      <c r="G25" s="29">
        <f>IF((COUNTIFS(Input_Konektivitas!$A$3:$A$563,$A25,Input_Konektivitas!$B$3:$B$563,G$3,Input_Konektivitas!$D$3:$D$563,"&gt;0")+COUNTIFS(Input_Konektivitas!$A$3:$A$563,G$3,Input_Konektivitas!$B$3:$B$563,$A25,Input_Konektivitas!$D$3:$D$563,"&gt;0"))=0,"",SUMIFS(Input_Konektivitas!$C$3:$C$563,Input_Konektivitas!$A$3:$A$563,$A25,Input_Konektivitas!$B$3:$B$563,G$3)+SUMIFS(Input_Konektivitas!$C$3:$C$563,Input_Konektivitas!$A$3:$A$563,G$3,Input_Konektivitas!$B$3:$B$563,$A25))</f>
        <v>1</v>
      </c>
      <c r="H25" s="29">
        <f>IF((COUNTIFS(Input_Konektivitas!$A$3:$A$563,$A25,Input_Konektivitas!$B$3:$B$563,H$3,Input_Konektivitas!$D$3:$D$563,"&gt;0")+COUNTIFS(Input_Konektivitas!$A$3:$A$563,H$3,Input_Konektivitas!$B$3:$B$563,$A25,Input_Konektivitas!$D$3:$D$563,"&gt;0"))=0,"",SUMIFS(Input_Konektivitas!$C$3:$C$563,Input_Konektivitas!$A$3:$A$563,$A25,Input_Konektivitas!$B$3:$B$563,H$3)+SUMIFS(Input_Konektivitas!$C$3:$C$563,Input_Konektivitas!$A$3:$A$563,H$3,Input_Konektivitas!$B$3:$B$563,$A25))</f>
        <v>1</v>
      </c>
      <c r="I25" s="29">
        <f>IF((COUNTIFS(Input_Konektivitas!$A$3:$A$563,$A25,Input_Konektivitas!$B$3:$B$563,I$3,Input_Konektivitas!$D$3:$D$563,"&gt;0")+COUNTIFS(Input_Konektivitas!$A$3:$A$563,I$3,Input_Konektivitas!$B$3:$B$563,$A25,Input_Konektivitas!$D$3:$D$563,"&gt;0"))=0,"",SUMIFS(Input_Konektivitas!$C$3:$C$563,Input_Konektivitas!$A$3:$A$563,$A25,Input_Konektivitas!$B$3:$B$563,I$3)+SUMIFS(Input_Konektivitas!$C$3:$C$563,Input_Konektivitas!$A$3:$A$563,I$3,Input_Konektivitas!$B$3:$B$563,$A25))</f>
        <v>1</v>
      </c>
      <c r="J25" s="29">
        <f>IF((COUNTIFS(Input_Konektivitas!$A$3:$A$563,$A25,Input_Konektivitas!$B$3:$B$563,J$3,Input_Konektivitas!$D$3:$D$563,"&gt;0")+COUNTIFS(Input_Konektivitas!$A$3:$A$563,J$3,Input_Konektivitas!$B$3:$B$563,$A25,Input_Konektivitas!$D$3:$D$563,"&gt;0"))=0,"",SUMIFS(Input_Konektivitas!$C$3:$C$563,Input_Konektivitas!$A$3:$A$563,$A25,Input_Konektivitas!$B$3:$B$563,J$3)+SUMIFS(Input_Konektivitas!$C$3:$C$563,Input_Konektivitas!$A$3:$A$563,J$3,Input_Konektivitas!$B$3:$B$563,$A25))</f>
        <v>1</v>
      </c>
      <c r="K25" s="29">
        <f>IF((COUNTIFS(Input_Konektivitas!$A$3:$A$563,$A25,Input_Konektivitas!$B$3:$B$563,K$3,Input_Konektivitas!$D$3:$D$563,"&gt;0")+COUNTIFS(Input_Konektivitas!$A$3:$A$563,K$3,Input_Konektivitas!$B$3:$B$563,$A25,Input_Konektivitas!$D$3:$D$563,"&gt;0"))=0,"",SUMIFS(Input_Konektivitas!$C$3:$C$563,Input_Konektivitas!$A$3:$A$563,$A25,Input_Konektivitas!$B$3:$B$563,K$3)+SUMIFS(Input_Konektivitas!$C$3:$C$563,Input_Konektivitas!$A$3:$A$563,K$3,Input_Konektivitas!$B$3:$B$563,$A25))</f>
        <v>0</v>
      </c>
      <c r="L25" s="29">
        <f>IF((COUNTIFS(Input_Konektivitas!$A$3:$A$563,$A25,Input_Konektivitas!$B$3:$B$563,L$3,Input_Konektivitas!$D$3:$D$563,"&gt;0")+COUNTIFS(Input_Konektivitas!$A$3:$A$563,L$3,Input_Konektivitas!$B$3:$B$563,$A25,Input_Konektivitas!$D$3:$D$563,"&gt;0"))=0,"",SUMIFS(Input_Konektivitas!$C$3:$C$563,Input_Konektivitas!$A$3:$A$563,$A25,Input_Konektivitas!$B$3:$B$563,L$3)+SUMIFS(Input_Konektivitas!$C$3:$C$563,Input_Konektivitas!$A$3:$A$563,L$3,Input_Konektivitas!$B$3:$B$563,$A25))</f>
        <v>0</v>
      </c>
      <c r="M25" s="29">
        <f>IF((COUNTIFS(Input_Konektivitas!$A$3:$A$563,$A25,Input_Konektivitas!$B$3:$B$563,M$3,Input_Konektivitas!$D$3:$D$563,"&gt;0")+COUNTIFS(Input_Konektivitas!$A$3:$A$563,M$3,Input_Konektivitas!$B$3:$B$563,$A25,Input_Konektivitas!$D$3:$D$563,"&gt;0"))=0,"",SUMIFS(Input_Konektivitas!$C$3:$C$563,Input_Konektivitas!$A$3:$A$563,$A25,Input_Konektivitas!$B$3:$B$563,M$3)+SUMIFS(Input_Konektivitas!$C$3:$C$563,Input_Konektivitas!$A$3:$A$563,M$3,Input_Konektivitas!$B$3:$B$563,$A25))</f>
        <v>1</v>
      </c>
      <c r="N25" s="29">
        <f>IF((COUNTIFS(Input_Konektivitas!$A$3:$A$563,$A25,Input_Konektivitas!$B$3:$B$563,N$3,Input_Konektivitas!$D$3:$D$563,"&gt;0")+COUNTIFS(Input_Konektivitas!$A$3:$A$563,N$3,Input_Konektivitas!$B$3:$B$563,$A25,Input_Konektivitas!$D$3:$D$563,"&gt;0"))=0,"",SUMIFS(Input_Konektivitas!$C$3:$C$563,Input_Konektivitas!$A$3:$A$563,$A25,Input_Konektivitas!$B$3:$B$563,N$3)+SUMIFS(Input_Konektivitas!$C$3:$C$563,Input_Konektivitas!$A$3:$A$563,N$3,Input_Konektivitas!$B$3:$B$563,$A25))</f>
        <v>0</v>
      </c>
      <c r="O25" s="29">
        <f>IF((COUNTIFS(Input_Konektivitas!$A$3:$A$563,$A25,Input_Konektivitas!$B$3:$B$563,O$3,Input_Konektivitas!$D$3:$D$563,"&gt;0")+COUNTIFS(Input_Konektivitas!$A$3:$A$563,O$3,Input_Konektivitas!$B$3:$B$563,$A25,Input_Konektivitas!$D$3:$D$563,"&gt;0"))=0,"",SUMIFS(Input_Konektivitas!$C$3:$C$563,Input_Konektivitas!$A$3:$A$563,$A25,Input_Konektivitas!$B$3:$B$563,O$3)+SUMIFS(Input_Konektivitas!$C$3:$C$563,Input_Konektivitas!$A$3:$A$563,O$3,Input_Konektivitas!$B$3:$B$563,$A25))</f>
        <v>0</v>
      </c>
      <c r="P25" s="29">
        <f>IF((COUNTIFS(Input_Konektivitas!$A$3:$A$563,$A25,Input_Konektivitas!$B$3:$B$563,P$3,Input_Konektivitas!$D$3:$D$563,"&gt;0")+COUNTIFS(Input_Konektivitas!$A$3:$A$563,P$3,Input_Konektivitas!$B$3:$B$563,$A25,Input_Konektivitas!$D$3:$D$563,"&gt;0"))=0,"",SUMIFS(Input_Konektivitas!$C$3:$C$563,Input_Konektivitas!$A$3:$A$563,$A25,Input_Konektivitas!$B$3:$B$563,P$3)+SUMIFS(Input_Konektivitas!$C$3:$C$563,Input_Konektivitas!$A$3:$A$563,P$3,Input_Konektivitas!$B$3:$B$563,$A25))</f>
        <v>0</v>
      </c>
      <c r="Q25" s="29" t="str">
        <f>IF((COUNTIFS(Input_Konektivitas!$A$3:$A$563,$A25,Input_Konektivitas!$B$3:$B$563,Q$3,Input_Konektivitas!$D$3:$D$563,"&gt;0")+COUNTIFS(Input_Konektivitas!$A$3:$A$563,Q$3,Input_Konektivitas!$B$3:$B$563,$A25,Input_Konektivitas!$D$3:$D$563,"&gt;0"))=0,"",SUMIFS(Input_Konektivitas!$C$3:$C$563,Input_Konektivitas!$A$3:$A$563,$A25,Input_Konektivitas!$B$3:$B$563,Q$3)+SUMIFS(Input_Konektivitas!$C$3:$C$563,Input_Konektivitas!$A$3:$A$563,Q$3,Input_Konektivitas!$B$3:$B$563,$A25))</f>
        <v/>
      </c>
      <c r="R25" s="29">
        <f>IF((COUNTIFS(Input_Konektivitas!$A$3:$A$563,$A25,Input_Konektivitas!$B$3:$B$563,R$3,Input_Konektivitas!$D$3:$D$563,"&gt;0")+COUNTIFS(Input_Konektivitas!$A$3:$A$563,R$3,Input_Konektivitas!$B$3:$B$563,$A25,Input_Konektivitas!$D$3:$D$563,"&gt;0"))=0,"",SUMIFS(Input_Konektivitas!$C$3:$C$563,Input_Konektivitas!$A$3:$A$563,$A25,Input_Konektivitas!$B$3:$B$563,R$3)+SUMIFS(Input_Konektivitas!$C$3:$C$563,Input_Konektivitas!$A$3:$A$563,R$3,Input_Konektivitas!$B$3:$B$563,$A25))</f>
        <v>0</v>
      </c>
      <c r="S25" s="29">
        <f>IF((COUNTIFS(Input_Konektivitas!$A$3:$A$563,$A25,Input_Konektivitas!$B$3:$B$563,S$3,Input_Konektivitas!$D$3:$D$563,"&gt;0")+COUNTIFS(Input_Konektivitas!$A$3:$A$563,S$3,Input_Konektivitas!$B$3:$B$563,$A25,Input_Konektivitas!$D$3:$D$563,"&gt;0"))=0,"",SUMIFS(Input_Konektivitas!$C$3:$C$563,Input_Konektivitas!$A$3:$A$563,$A25,Input_Konektivitas!$B$3:$B$563,S$3)+SUMIFS(Input_Konektivitas!$C$3:$C$563,Input_Konektivitas!$A$3:$A$563,S$3,Input_Konektivitas!$B$3:$B$563,$A25))</f>
        <v>1</v>
      </c>
      <c r="T25" s="29">
        <f>IF((COUNTIFS(Input_Konektivitas!$A$3:$A$563,$A25,Input_Konektivitas!$B$3:$B$563,T$3,Input_Konektivitas!$D$3:$D$563,"&gt;0")+COUNTIFS(Input_Konektivitas!$A$3:$A$563,T$3,Input_Konektivitas!$B$3:$B$563,$A25,Input_Konektivitas!$D$3:$D$563,"&gt;0"))=0,"",SUMIFS(Input_Konektivitas!$C$3:$C$563,Input_Konektivitas!$A$3:$A$563,$A25,Input_Konektivitas!$B$3:$B$563,T$3)+SUMIFS(Input_Konektivitas!$C$3:$C$563,Input_Konektivitas!$A$3:$A$563,T$3,Input_Konektivitas!$B$3:$B$563,$A25))</f>
        <v>1</v>
      </c>
      <c r="U25" s="29">
        <f>IF((COUNTIFS(Input_Konektivitas!$A$3:$A$563,$A25,Input_Konektivitas!$B$3:$B$563,U$3,Input_Konektivitas!$D$3:$D$563,"&gt;0")+COUNTIFS(Input_Konektivitas!$A$3:$A$563,U$3,Input_Konektivitas!$B$3:$B$563,$A25,Input_Konektivitas!$D$3:$D$563,"&gt;0"))=0,"",SUMIFS(Input_Konektivitas!$C$3:$C$563,Input_Konektivitas!$A$3:$A$563,$A25,Input_Konektivitas!$B$3:$B$563,U$3)+SUMIFS(Input_Konektivitas!$C$3:$C$563,Input_Konektivitas!$A$3:$A$563,U$3,Input_Konektivitas!$B$3:$B$563,$A25))</f>
        <v>1</v>
      </c>
      <c r="V25" s="29">
        <f>IF((COUNTIFS(Input_Konektivitas!$A$3:$A$563,$A25,Input_Konektivitas!$B$3:$B$563,V$3,Input_Konektivitas!$D$3:$D$563,"&gt;0")+COUNTIFS(Input_Konektivitas!$A$3:$A$563,V$3,Input_Konektivitas!$B$3:$B$563,$A25,Input_Konektivitas!$D$3:$D$563,"&gt;0"))=0,"",SUMIFS(Input_Konektivitas!$C$3:$C$563,Input_Konektivitas!$A$3:$A$563,$A25,Input_Konektivitas!$B$3:$B$563,V$3)+SUMIFS(Input_Konektivitas!$C$3:$C$563,Input_Konektivitas!$A$3:$A$563,V$3,Input_Konektivitas!$B$3:$B$563,$A25))</f>
        <v>1</v>
      </c>
      <c r="W25" s="26">
        <v>0.0</v>
      </c>
      <c r="X25" s="29">
        <f>IF((COUNTIFS(Input_Konektivitas!$A$3:$A$563,$A25,Input_Konektivitas!$B$3:$B$563,X$3,Input_Konektivitas!$D$3:$D$563,"&gt;0")+COUNTIFS(Input_Konektivitas!$A$3:$A$563,X$3,Input_Konektivitas!$B$3:$B$563,$A25,Input_Konektivitas!$D$3:$D$563,"&gt;0"))=0,"",SUMIFS(Input_Konektivitas!$C$3:$C$563,Input_Konektivitas!$A$3:$A$563,$A25,Input_Konektivitas!$B$3:$B$563,X$3)+SUMIFS(Input_Konektivitas!$C$3:$C$563,Input_Konektivitas!$A$3:$A$563,X$3,Input_Konektivitas!$B$3:$B$563,$A25))</f>
        <v>0</v>
      </c>
      <c r="Y25" s="29">
        <f>IF((COUNTIFS(Input_Konektivitas!$A$3:$A$563,$A25,Input_Konektivitas!$B$3:$B$563,Y$3,Input_Konektivitas!$D$3:$D$563,"&gt;0")+COUNTIFS(Input_Konektivitas!$A$3:$A$563,Y$3,Input_Konektivitas!$B$3:$B$563,$A25,Input_Konektivitas!$D$3:$D$563,"&gt;0"))=0,"",SUMIFS(Input_Konektivitas!$C$3:$C$563,Input_Konektivitas!$A$3:$A$563,$A25,Input_Konektivitas!$B$3:$B$563,Y$3)+SUMIFS(Input_Konektivitas!$C$3:$C$563,Input_Konektivitas!$A$3:$A$563,Y$3,Input_Konektivitas!$B$3:$B$563,$A25))</f>
        <v>1</v>
      </c>
      <c r="Z25" s="29">
        <f>IF((COUNTIFS(Input_Konektivitas!$A$3:$A$563,$A25,Input_Konektivitas!$B$3:$B$563,Z$3,Input_Konektivitas!$D$3:$D$563,"&gt;0")+COUNTIFS(Input_Konektivitas!$A$3:$A$563,Z$3,Input_Konektivitas!$B$3:$B$563,$A25,Input_Konektivitas!$D$3:$D$563,"&gt;0"))=0,"",SUMIFS(Input_Konektivitas!$C$3:$C$563,Input_Konektivitas!$A$3:$A$563,$A25,Input_Konektivitas!$B$3:$B$563,Z$3)+SUMIFS(Input_Konektivitas!$C$3:$C$563,Input_Konektivitas!$A$3:$A$563,Z$3,Input_Konektivitas!$B$3:$B$563,$A25))</f>
        <v>1</v>
      </c>
      <c r="AA25" s="29">
        <f>IF((COUNTIFS(Input_Konektivitas!$A$3:$A$563,$A25,Input_Konektivitas!$B$3:$B$563,AA$3,Input_Konektivitas!$D$3:$D$563,"&gt;0")+COUNTIFS(Input_Konektivitas!$A$3:$A$563,AA$3,Input_Konektivitas!$B$3:$B$563,$A25,Input_Konektivitas!$D$3:$D$563,"&gt;0"))=0,"",SUMIFS(Input_Konektivitas!$C$3:$C$563,Input_Konektivitas!$A$3:$A$563,$A25,Input_Konektivitas!$B$3:$B$563,AA$3)+SUMIFS(Input_Konektivitas!$C$3:$C$563,Input_Konektivitas!$A$3:$A$563,AA$3,Input_Konektivitas!$B$3:$B$563,$A25))</f>
        <v>2</v>
      </c>
      <c r="AB25" s="29">
        <f>IF((COUNTIFS(Input_Konektivitas!$A$3:$A$563,$A25,Input_Konektivitas!$B$3:$B$563,AB$3,Input_Konektivitas!$D$3:$D$563,"&gt;0")+COUNTIFS(Input_Konektivitas!$A$3:$A$563,AB$3,Input_Konektivitas!$B$3:$B$563,$A25,Input_Konektivitas!$D$3:$D$563,"&gt;0"))=0,"",SUMIFS(Input_Konektivitas!$C$3:$C$563,Input_Konektivitas!$A$3:$A$563,$A25,Input_Konektivitas!$B$3:$B$563,AB$3)+SUMIFS(Input_Konektivitas!$C$3:$C$563,Input_Konektivitas!$A$3:$A$563,AB$3,Input_Konektivitas!$B$3:$B$563,$A25))</f>
        <v>0</v>
      </c>
      <c r="AC25" s="29">
        <f>IF((COUNTIFS(Input_Konektivitas!$A$3:$A$563,$A25,Input_Konektivitas!$B$3:$B$563,AC$3,Input_Konektivitas!$D$3:$D$563,"&gt;0")+COUNTIFS(Input_Konektivitas!$A$3:$A$563,AC$3,Input_Konektivitas!$B$3:$B$563,$A25,Input_Konektivitas!$D$3:$D$563,"&gt;0"))=0,"",SUMIFS(Input_Konektivitas!$C$3:$C$563,Input_Konektivitas!$A$3:$A$563,$A25,Input_Konektivitas!$B$3:$B$563,AC$3)+SUMIFS(Input_Konektivitas!$C$3:$C$563,Input_Konektivitas!$A$3:$A$563,AC$3,Input_Konektivitas!$B$3:$B$563,$A25))</f>
        <v>1</v>
      </c>
      <c r="AD25" s="29">
        <f>IF((COUNTIFS(Input_Konektivitas!$A$3:$A$563,$A25,Input_Konektivitas!$B$3:$B$563,AD$3,Input_Konektivitas!$D$3:$D$563,"&gt;0")+COUNTIFS(Input_Konektivitas!$A$3:$A$563,AD$3,Input_Konektivitas!$B$3:$B$563,$A25,Input_Konektivitas!$D$3:$D$563,"&gt;0"))=0,"",SUMIFS(Input_Konektivitas!$C$3:$C$563,Input_Konektivitas!$A$3:$A$563,$A25,Input_Konektivitas!$B$3:$B$563,AD$3)+SUMIFS(Input_Konektivitas!$C$3:$C$563,Input_Konektivitas!$A$3:$A$563,AD$3,Input_Konektivitas!$B$3:$B$563,$A25))</f>
        <v>2</v>
      </c>
      <c r="AE25" s="29">
        <f>IF((COUNTIFS(Input_Konektivitas!$A$3:$A$563,$A25,Input_Konektivitas!$B$3:$B$563,AE$3,Input_Konektivitas!$D$3:$D$563,"&gt;0")+COUNTIFS(Input_Konektivitas!$A$3:$A$563,AE$3,Input_Konektivitas!$B$3:$B$563,$A25,Input_Konektivitas!$D$3:$D$563,"&gt;0"))=0,"",SUMIFS(Input_Konektivitas!$C$3:$C$563,Input_Konektivitas!$A$3:$A$563,$A25,Input_Konektivitas!$B$3:$B$563,AE$3)+SUMIFS(Input_Konektivitas!$C$3:$C$563,Input_Konektivitas!$A$3:$A$563,AE$3,Input_Konektivitas!$B$3:$B$563,$A25))</f>
        <v>1</v>
      </c>
      <c r="AF25" s="29">
        <f>IF((COUNTIFS(Input_Konektivitas!$A$3:$A$563,$A25,Input_Konektivitas!$B$3:$B$563,AF$3,Input_Konektivitas!$D$3:$D$563,"&gt;0")+COUNTIFS(Input_Konektivitas!$A$3:$A$563,AF$3,Input_Konektivitas!$B$3:$B$563,$A25,Input_Konektivitas!$D$3:$D$563,"&gt;0"))=0,"",SUMIFS(Input_Konektivitas!$C$3:$C$563,Input_Konektivitas!$A$3:$A$563,$A25,Input_Konektivitas!$B$3:$B$563,AF$3)+SUMIFS(Input_Konektivitas!$C$3:$C$563,Input_Konektivitas!$A$3:$A$563,AF$3,Input_Konektivitas!$B$3:$B$563,$A25))</f>
        <v>1</v>
      </c>
      <c r="AG25" s="29">
        <f>IF((COUNTIFS(Input_Konektivitas!$A$3:$A$563,$A25,Input_Konektivitas!$B$3:$B$563,AG$3,Input_Konektivitas!$D$3:$D$563,"&gt;0")+COUNTIFS(Input_Konektivitas!$A$3:$A$563,AG$3,Input_Konektivitas!$B$3:$B$563,$A25,Input_Konektivitas!$D$3:$D$563,"&gt;0"))=0,"",SUMIFS(Input_Konektivitas!$C$3:$C$563,Input_Konektivitas!$A$3:$A$563,$A25,Input_Konektivitas!$B$3:$B$563,AG$3)+SUMIFS(Input_Konektivitas!$C$3:$C$563,Input_Konektivitas!$A$3:$A$563,AG$3,Input_Konektivitas!$B$3:$B$563,$A25))</f>
        <v>2</v>
      </c>
      <c r="AH25" s="29">
        <f>IF((COUNTIFS(Input_Konektivitas!$A$3:$A$563,$A25,Input_Konektivitas!$B$3:$B$563,AH$3,Input_Konektivitas!$D$3:$D$563,"&gt;0")+COUNTIFS(Input_Konektivitas!$A$3:$A$563,AH$3,Input_Konektivitas!$B$3:$B$563,$A25,Input_Konektivitas!$D$3:$D$563,"&gt;0"))=0,"",SUMIFS(Input_Konektivitas!$C$3:$C$563,Input_Konektivitas!$A$3:$A$563,$A25,Input_Konektivitas!$B$3:$B$563,AH$3)+SUMIFS(Input_Konektivitas!$C$3:$C$563,Input_Konektivitas!$A$3:$A$563,AH$3,Input_Konektivitas!$B$3:$B$563,$A25))</f>
        <v>1</v>
      </c>
      <c r="AI25" s="29">
        <f>IF((COUNTIFS(Input_Konektivitas!$A$3:$A$563,$A25,Input_Konektivitas!$B$3:$B$563,AI$3,Input_Konektivitas!$D$3:$D$563,"&gt;0")+COUNTIFS(Input_Konektivitas!$A$3:$A$563,AI$3,Input_Konektivitas!$B$3:$B$563,$A25,Input_Konektivitas!$D$3:$D$563,"&gt;0"))=0,"",SUMIFS(Input_Konektivitas!$C$3:$C$563,Input_Konektivitas!$A$3:$A$563,$A25,Input_Konektivitas!$B$3:$B$563,AI$3)+SUMIFS(Input_Konektivitas!$C$3:$C$563,Input_Konektivitas!$A$3:$A$563,AI$3,Input_Konektivitas!$B$3:$B$563,$A25))</f>
        <v>1</v>
      </c>
    </row>
    <row r="26" ht="14.25" customHeight="1">
      <c r="A26" s="22" t="s">
        <v>68</v>
      </c>
      <c r="B26" s="29">
        <f>IF((COUNTIFS(Input_Konektivitas!$A$3:$A$563,$A26,Input_Konektivitas!$B$3:$B$563,B$3,Input_Konektivitas!$D$3:$D$563,"&gt;0")+COUNTIFS(Input_Konektivitas!$A$3:$A$563,B$3,Input_Konektivitas!$B$3:$B$563,$A26,Input_Konektivitas!$D$3:$D$563,"&gt;0"))=0,"",SUMIFS(Input_Konektivitas!$C$3:$C$563,Input_Konektivitas!$A$3:$A$563,$A26,Input_Konektivitas!$B$3:$B$563,B$3)+SUMIFS(Input_Konektivitas!$C$3:$C$563,Input_Konektivitas!$A$3:$A$563,B$3,Input_Konektivitas!$B$3:$B$563,$A26))</f>
        <v>1</v>
      </c>
      <c r="C26" s="29">
        <f>IF((COUNTIFS(Input_Konektivitas!$A$3:$A$563,$A26,Input_Konektivitas!$B$3:$B$563,C$3,Input_Konektivitas!$D$3:$D$563,"&gt;0")+COUNTIFS(Input_Konektivitas!$A$3:$A$563,C$3,Input_Konektivitas!$B$3:$B$563,$A26,Input_Konektivitas!$D$3:$D$563,"&gt;0"))=0,"",SUMIFS(Input_Konektivitas!$C$3:$C$563,Input_Konektivitas!$A$3:$A$563,$A26,Input_Konektivitas!$B$3:$B$563,C$3)+SUMIFS(Input_Konektivitas!$C$3:$C$563,Input_Konektivitas!$A$3:$A$563,C$3,Input_Konektivitas!$B$3:$B$563,$A26))</f>
        <v>1</v>
      </c>
      <c r="D26" s="29">
        <f>IF((COUNTIFS(Input_Konektivitas!$A$3:$A$563,$A26,Input_Konektivitas!$B$3:$B$563,D$3,Input_Konektivitas!$D$3:$D$563,"&gt;0")+COUNTIFS(Input_Konektivitas!$A$3:$A$563,D$3,Input_Konektivitas!$B$3:$B$563,$A26,Input_Konektivitas!$D$3:$D$563,"&gt;0"))=0,"",SUMIFS(Input_Konektivitas!$C$3:$C$563,Input_Konektivitas!$A$3:$A$563,$A26,Input_Konektivitas!$B$3:$B$563,D$3)+SUMIFS(Input_Konektivitas!$C$3:$C$563,Input_Konektivitas!$A$3:$A$563,D$3,Input_Konektivitas!$B$3:$B$563,$A26))</f>
        <v>1</v>
      </c>
      <c r="E26" s="29">
        <f>IF((COUNTIFS(Input_Konektivitas!$A$3:$A$563,$A26,Input_Konektivitas!$B$3:$B$563,E$3,Input_Konektivitas!$D$3:$D$563,"&gt;0")+COUNTIFS(Input_Konektivitas!$A$3:$A$563,E$3,Input_Konektivitas!$B$3:$B$563,$A26,Input_Konektivitas!$D$3:$D$563,"&gt;0"))=0,"",SUMIFS(Input_Konektivitas!$C$3:$C$563,Input_Konektivitas!$A$3:$A$563,$A26,Input_Konektivitas!$B$3:$B$563,E$3)+SUMIFS(Input_Konektivitas!$C$3:$C$563,Input_Konektivitas!$A$3:$A$563,E$3,Input_Konektivitas!$B$3:$B$563,$A26))</f>
        <v>1</v>
      </c>
      <c r="F26" s="29">
        <f>IF((COUNTIFS(Input_Konektivitas!$A$3:$A$563,$A26,Input_Konektivitas!$B$3:$B$563,F$3,Input_Konektivitas!$D$3:$D$563,"&gt;0")+COUNTIFS(Input_Konektivitas!$A$3:$A$563,F$3,Input_Konektivitas!$B$3:$B$563,$A26,Input_Konektivitas!$D$3:$D$563,"&gt;0"))=0,"",SUMIFS(Input_Konektivitas!$C$3:$C$563,Input_Konektivitas!$A$3:$A$563,$A26,Input_Konektivitas!$B$3:$B$563,F$3)+SUMIFS(Input_Konektivitas!$C$3:$C$563,Input_Konektivitas!$A$3:$A$563,F$3,Input_Konektivitas!$B$3:$B$563,$A26))</f>
        <v>1</v>
      </c>
      <c r="G26" s="29">
        <f>IF((COUNTIFS(Input_Konektivitas!$A$3:$A$563,$A26,Input_Konektivitas!$B$3:$B$563,G$3,Input_Konektivitas!$D$3:$D$563,"&gt;0")+COUNTIFS(Input_Konektivitas!$A$3:$A$563,G$3,Input_Konektivitas!$B$3:$B$563,$A26,Input_Konektivitas!$D$3:$D$563,"&gt;0"))=0,"",SUMIFS(Input_Konektivitas!$C$3:$C$563,Input_Konektivitas!$A$3:$A$563,$A26,Input_Konektivitas!$B$3:$B$563,G$3)+SUMIFS(Input_Konektivitas!$C$3:$C$563,Input_Konektivitas!$A$3:$A$563,G$3,Input_Konektivitas!$B$3:$B$563,$A26))</f>
        <v>1</v>
      </c>
      <c r="H26" s="29">
        <f>IF((COUNTIFS(Input_Konektivitas!$A$3:$A$563,$A26,Input_Konektivitas!$B$3:$B$563,H$3,Input_Konektivitas!$D$3:$D$563,"&gt;0")+COUNTIFS(Input_Konektivitas!$A$3:$A$563,H$3,Input_Konektivitas!$B$3:$B$563,$A26,Input_Konektivitas!$D$3:$D$563,"&gt;0"))=0,"",SUMIFS(Input_Konektivitas!$C$3:$C$563,Input_Konektivitas!$A$3:$A$563,$A26,Input_Konektivitas!$B$3:$B$563,H$3)+SUMIFS(Input_Konektivitas!$C$3:$C$563,Input_Konektivitas!$A$3:$A$563,H$3,Input_Konektivitas!$B$3:$B$563,$A26))</f>
        <v>1</v>
      </c>
      <c r="I26" s="29">
        <f>IF((COUNTIFS(Input_Konektivitas!$A$3:$A$563,$A26,Input_Konektivitas!$B$3:$B$563,I$3,Input_Konektivitas!$D$3:$D$563,"&gt;0")+COUNTIFS(Input_Konektivitas!$A$3:$A$563,I$3,Input_Konektivitas!$B$3:$B$563,$A26,Input_Konektivitas!$D$3:$D$563,"&gt;0"))=0,"",SUMIFS(Input_Konektivitas!$C$3:$C$563,Input_Konektivitas!$A$3:$A$563,$A26,Input_Konektivitas!$B$3:$B$563,I$3)+SUMIFS(Input_Konektivitas!$C$3:$C$563,Input_Konektivitas!$A$3:$A$563,I$3,Input_Konektivitas!$B$3:$B$563,$A26))</f>
        <v>1</v>
      </c>
      <c r="J26" s="29">
        <f>IF((COUNTIFS(Input_Konektivitas!$A$3:$A$563,$A26,Input_Konektivitas!$B$3:$B$563,J$3,Input_Konektivitas!$D$3:$D$563,"&gt;0")+COUNTIFS(Input_Konektivitas!$A$3:$A$563,J$3,Input_Konektivitas!$B$3:$B$563,$A26,Input_Konektivitas!$D$3:$D$563,"&gt;0"))=0,"",SUMIFS(Input_Konektivitas!$C$3:$C$563,Input_Konektivitas!$A$3:$A$563,$A26,Input_Konektivitas!$B$3:$B$563,J$3)+SUMIFS(Input_Konektivitas!$C$3:$C$563,Input_Konektivitas!$A$3:$A$563,J$3,Input_Konektivitas!$B$3:$B$563,$A26))</f>
        <v>1</v>
      </c>
      <c r="K26" s="29">
        <f>IF((COUNTIFS(Input_Konektivitas!$A$3:$A$563,$A26,Input_Konektivitas!$B$3:$B$563,K$3,Input_Konektivitas!$D$3:$D$563,"&gt;0")+COUNTIFS(Input_Konektivitas!$A$3:$A$563,K$3,Input_Konektivitas!$B$3:$B$563,$A26,Input_Konektivitas!$D$3:$D$563,"&gt;0"))=0,"",SUMIFS(Input_Konektivitas!$C$3:$C$563,Input_Konektivitas!$A$3:$A$563,$A26,Input_Konektivitas!$B$3:$B$563,K$3)+SUMIFS(Input_Konektivitas!$C$3:$C$563,Input_Konektivitas!$A$3:$A$563,K$3,Input_Konektivitas!$B$3:$B$563,$A26))</f>
        <v>1</v>
      </c>
      <c r="L26" s="29">
        <f>IF((COUNTIFS(Input_Konektivitas!$A$3:$A$563,$A26,Input_Konektivitas!$B$3:$B$563,L$3,Input_Konektivitas!$D$3:$D$563,"&gt;0")+COUNTIFS(Input_Konektivitas!$A$3:$A$563,L$3,Input_Konektivitas!$B$3:$B$563,$A26,Input_Konektivitas!$D$3:$D$563,"&gt;0"))=0,"",SUMIFS(Input_Konektivitas!$C$3:$C$563,Input_Konektivitas!$A$3:$A$563,$A26,Input_Konektivitas!$B$3:$B$563,L$3)+SUMIFS(Input_Konektivitas!$C$3:$C$563,Input_Konektivitas!$A$3:$A$563,L$3,Input_Konektivitas!$B$3:$B$563,$A26))</f>
        <v>0</v>
      </c>
      <c r="M26" s="29">
        <f>IF((COUNTIFS(Input_Konektivitas!$A$3:$A$563,$A26,Input_Konektivitas!$B$3:$B$563,M$3,Input_Konektivitas!$D$3:$D$563,"&gt;0")+COUNTIFS(Input_Konektivitas!$A$3:$A$563,M$3,Input_Konektivitas!$B$3:$B$563,$A26,Input_Konektivitas!$D$3:$D$563,"&gt;0"))=0,"",SUMIFS(Input_Konektivitas!$C$3:$C$563,Input_Konektivitas!$A$3:$A$563,$A26,Input_Konektivitas!$B$3:$B$563,M$3)+SUMIFS(Input_Konektivitas!$C$3:$C$563,Input_Konektivitas!$A$3:$A$563,M$3,Input_Konektivitas!$B$3:$B$563,$A26))</f>
        <v>0</v>
      </c>
      <c r="N26" s="29">
        <f>IF((COUNTIFS(Input_Konektivitas!$A$3:$A$563,$A26,Input_Konektivitas!$B$3:$B$563,N$3,Input_Konektivitas!$D$3:$D$563,"&gt;0")+COUNTIFS(Input_Konektivitas!$A$3:$A$563,N$3,Input_Konektivitas!$B$3:$B$563,$A26,Input_Konektivitas!$D$3:$D$563,"&gt;0"))=0,"",SUMIFS(Input_Konektivitas!$C$3:$C$563,Input_Konektivitas!$A$3:$A$563,$A26,Input_Konektivitas!$B$3:$B$563,N$3)+SUMIFS(Input_Konektivitas!$C$3:$C$563,Input_Konektivitas!$A$3:$A$563,N$3,Input_Konektivitas!$B$3:$B$563,$A26))</f>
        <v>0</v>
      </c>
      <c r="O26" s="29">
        <f>IF((COUNTIFS(Input_Konektivitas!$A$3:$A$563,$A26,Input_Konektivitas!$B$3:$B$563,O$3,Input_Konektivitas!$D$3:$D$563,"&gt;0")+COUNTIFS(Input_Konektivitas!$A$3:$A$563,O$3,Input_Konektivitas!$B$3:$B$563,$A26,Input_Konektivitas!$D$3:$D$563,"&gt;0"))=0,"",SUMIFS(Input_Konektivitas!$C$3:$C$563,Input_Konektivitas!$A$3:$A$563,$A26,Input_Konektivitas!$B$3:$B$563,O$3)+SUMIFS(Input_Konektivitas!$C$3:$C$563,Input_Konektivitas!$A$3:$A$563,O$3,Input_Konektivitas!$B$3:$B$563,$A26))</f>
        <v>0</v>
      </c>
      <c r="P26" s="29">
        <f>IF((COUNTIFS(Input_Konektivitas!$A$3:$A$563,$A26,Input_Konektivitas!$B$3:$B$563,P$3,Input_Konektivitas!$D$3:$D$563,"&gt;0")+COUNTIFS(Input_Konektivitas!$A$3:$A$563,P$3,Input_Konektivitas!$B$3:$B$563,$A26,Input_Konektivitas!$D$3:$D$563,"&gt;0"))=0,"",SUMIFS(Input_Konektivitas!$C$3:$C$563,Input_Konektivitas!$A$3:$A$563,$A26,Input_Konektivitas!$B$3:$B$563,P$3)+SUMIFS(Input_Konektivitas!$C$3:$C$563,Input_Konektivitas!$A$3:$A$563,P$3,Input_Konektivitas!$B$3:$B$563,$A26))</f>
        <v>0</v>
      </c>
      <c r="Q26" s="29" t="str">
        <f>IF((COUNTIFS(Input_Konektivitas!$A$3:$A$563,$A26,Input_Konektivitas!$B$3:$B$563,Q$3,Input_Konektivitas!$D$3:$D$563,"&gt;0")+COUNTIFS(Input_Konektivitas!$A$3:$A$563,Q$3,Input_Konektivitas!$B$3:$B$563,$A26,Input_Konektivitas!$D$3:$D$563,"&gt;0"))=0,"",SUMIFS(Input_Konektivitas!$C$3:$C$563,Input_Konektivitas!$A$3:$A$563,$A26,Input_Konektivitas!$B$3:$B$563,Q$3)+SUMIFS(Input_Konektivitas!$C$3:$C$563,Input_Konektivitas!$A$3:$A$563,Q$3,Input_Konektivitas!$B$3:$B$563,$A26))</f>
        <v/>
      </c>
      <c r="R26" s="29">
        <f>IF((COUNTIFS(Input_Konektivitas!$A$3:$A$563,$A26,Input_Konektivitas!$B$3:$B$563,R$3,Input_Konektivitas!$D$3:$D$563,"&gt;0")+COUNTIFS(Input_Konektivitas!$A$3:$A$563,R$3,Input_Konektivitas!$B$3:$B$563,$A26,Input_Konektivitas!$D$3:$D$563,"&gt;0"))=0,"",SUMIFS(Input_Konektivitas!$C$3:$C$563,Input_Konektivitas!$A$3:$A$563,$A26,Input_Konektivitas!$B$3:$B$563,R$3)+SUMIFS(Input_Konektivitas!$C$3:$C$563,Input_Konektivitas!$A$3:$A$563,R$3,Input_Konektivitas!$B$3:$B$563,$A26))</f>
        <v>0</v>
      </c>
      <c r="S26" s="29">
        <f>IF((COUNTIFS(Input_Konektivitas!$A$3:$A$563,$A26,Input_Konektivitas!$B$3:$B$563,S$3,Input_Konektivitas!$D$3:$D$563,"&gt;0")+COUNTIFS(Input_Konektivitas!$A$3:$A$563,S$3,Input_Konektivitas!$B$3:$B$563,$A26,Input_Konektivitas!$D$3:$D$563,"&gt;0"))=0,"",SUMIFS(Input_Konektivitas!$C$3:$C$563,Input_Konektivitas!$A$3:$A$563,$A26,Input_Konektivitas!$B$3:$B$563,S$3)+SUMIFS(Input_Konektivitas!$C$3:$C$563,Input_Konektivitas!$A$3:$A$563,S$3,Input_Konektivitas!$B$3:$B$563,$A26))</f>
        <v>0</v>
      </c>
      <c r="T26" s="29">
        <f>IF((COUNTIFS(Input_Konektivitas!$A$3:$A$563,$A26,Input_Konektivitas!$B$3:$B$563,T$3,Input_Konektivitas!$D$3:$D$563,"&gt;0")+COUNTIFS(Input_Konektivitas!$A$3:$A$563,T$3,Input_Konektivitas!$B$3:$B$563,$A26,Input_Konektivitas!$D$3:$D$563,"&gt;0"))=0,"",SUMIFS(Input_Konektivitas!$C$3:$C$563,Input_Konektivitas!$A$3:$A$563,$A26,Input_Konektivitas!$B$3:$B$563,T$3)+SUMIFS(Input_Konektivitas!$C$3:$C$563,Input_Konektivitas!$A$3:$A$563,T$3,Input_Konektivitas!$B$3:$B$563,$A26))</f>
        <v>1</v>
      </c>
      <c r="U26" s="29">
        <f>IF((COUNTIFS(Input_Konektivitas!$A$3:$A$563,$A26,Input_Konektivitas!$B$3:$B$563,U$3,Input_Konektivitas!$D$3:$D$563,"&gt;0")+COUNTIFS(Input_Konektivitas!$A$3:$A$563,U$3,Input_Konektivitas!$B$3:$B$563,$A26,Input_Konektivitas!$D$3:$D$563,"&gt;0"))=0,"",SUMIFS(Input_Konektivitas!$C$3:$C$563,Input_Konektivitas!$A$3:$A$563,$A26,Input_Konektivitas!$B$3:$B$563,U$3)+SUMIFS(Input_Konektivitas!$C$3:$C$563,Input_Konektivitas!$A$3:$A$563,U$3,Input_Konektivitas!$B$3:$B$563,$A26))</f>
        <v>0</v>
      </c>
      <c r="V26" s="29">
        <f>IF((COUNTIFS(Input_Konektivitas!$A$3:$A$563,$A26,Input_Konektivitas!$B$3:$B$563,V$3,Input_Konektivitas!$D$3:$D$563,"&gt;0")+COUNTIFS(Input_Konektivitas!$A$3:$A$563,V$3,Input_Konektivitas!$B$3:$B$563,$A26,Input_Konektivitas!$D$3:$D$563,"&gt;0"))=0,"",SUMIFS(Input_Konektivitas!$C$3:$C$563,Input_Konektivitas!$A$3:$A$563,$A26,Input_Konektivitas!$B$3:$B$563,V$3)+SUMIFS(Input_Konektivitas!$C$3:$C$563,Input_Konektivitas!$A$3:$A$563,V$3,Input_Konektivitas!$B$3:$B$563,$A26))</f>
        <v>0</v>
      </c>
      <c r="W26" s="29">
        <f>IF((COUNTIFS(Input_Konektivitas!$A$3:$A$563,$A26,Input_Konektivitas!$B$3:$B$563,W$3,Input_Konektivitas!$D$3:$D$563,"&gt;0")+COUNTIFS(Input_Konektivitas!$A$3:$A$563,W$3,Input_Konektivitas!$B$3:$B$563,$A26,Input_Konektivitas!$D$3:$D$563,"&gt;0"))=0,"",SUMIFS(Input_Konektivitas!$C$3:$C$563,Input_Konektivitas!$A$3:$A$563,$A26,Input_Konektivitas!$B$3:$B$563,W$3)+SUMIFS(Input_Konektivitas!$C$3:$C$563,Input_Konektivitas!$A$3:$A$563,W$3,Input_Konektivitas!$B$3:$B$563,$A26))</f>
        <v>0</v>
      </c>
      <c r="X26" s="26">
        <v>0.0</v>
      </c>
      <c r="Y26" s="29">
        <f>IF((COUNTIFS(Input_Konektivitas!$A$3:$A$563,$A26,Input_Konektivitas!$B$3:$B$563,Y$3,Input_Konektivitas!$D$3:$D$563,"&gt;0")+COUNTIFS(Input_Konektivitas!$A$3:$A$563,Y$3,Input_Konektivitas!$B$3:$B$563,$A26,Input_Konektivitas!$D$3:$D$563,"&gt;0"))=0,"",SUMIFS(Input_Konektivitas!$C$3:$C$563,Input_Konektivitas!$A$3:$A$563,$A26,Input_Konektivitas!$B$3:$B$563,Y$3)+SUMIFS(Input_Konektivitas!$C$3:$C$563,Input_Konektivitas!$A$3:$A$563,Y$3,Input_Konektivitas!$B$3:$B$563,$A26))</f>
        <v>0</v>
      </c>
      <c r="Z26" s="29">
        <f>IF((COUNTIFS(Input_Konektivitas!$A$3:$A$563,$A26,Input_Konektivitas!$B$3:$B$563,Z$3,Input_Konektivitas!$D$3:$D$563,"&gt;0")+COUNTIFS(Input_Konektivitas!$A$3:$A$563,Z$3,Input_Konektivitas!$B$3:$B$563,$A26,Input_Konektivitas!$D$3:$D$563,"&gt;0"))=0,"",SUMIFS(Input_Konektivitas!$C$3:$C$563,Input_Konektivitas!$A$3:$A$563,$A26,Input_Konektivitas!$B$3:$B$563,Z$3)+SUMIFS(Input_Konektivitas!$C$3:$C$563,Input_Konektivitas!$A$3:$A$563,Z$3,Input_Konektivitas!$B$3:$B$563,$A26))</f>
        <v>0</v>
      </c>
      <c r="AA26" s="29">
        <f>IF((COUNTIFS(Input_Konektivitas!$A$3:$A$563,$A26,Input_Konektivitas!$B$3:$B$563,AA$3,Input_Konektivitas!$D$3:$D$563,"&gt;0")+COUNTIFS(Input_Konektivitas!$A$3:$A$563,AA$3,Input_Konektivitas!$B$3:$B$563,$A26,Input_Konektivitas!$D$3:$D$563,"&gt;0"))=0,"",SUMIFS(Input_Konektivitas!$C$3:$C$563,Input_Konektivitas!$A$3:$A$563,$A26,Input_Konektivitas!$B$3:$B$563,AA$3)+SUMIFS(Input_Konektivitas!$C$3:$C$563,Input_Konektivitas!$A$3:$A$563,AA$3,Input_Konektivitas!$B$3:$B$563,$A26))</f>
        <v>1</v>
      </c>
      <c r="AB26" s="29">
        <f>IF((COUNTIFS(Input_Konektivitas!$A$3:$A$563,$A26,Input_Konektivitas!$B$3:$B$563,AB$3,Input_Konektivitas!$D$3:$D$563,"&gt;0")+COUNTIFS(Input_Konektivitas!$A$3:$A$563,AB$3,Input_Konektivitas!$B$3:$B$563,$A26,Input_Konektivitas!$D$3:$D$563,"&gt;0"))=0,"",SUMIFS(Input_Konektivitas!$C$3:$C$563,Input_Konektivitas!$A$3:$A$563,$A26,Input_Konektivitas!$B$3:$B$563,AB$3)+SUMIFS(Input_Konektivitas!$C$3:$C$563,Input_Konektivitas!$A$3:$A$563,AB$3,Input_Konektivitas!$B$3:$B$563,$A26))</f>
        <v>0</v>
      </c>
      <c r="AC26" s="29">
        <f>IF((COUNTIFS(Input_Konektivitas!$A$3:$A$563,$A26,Input_Konektivitas!$B$3:$B$563,AC$3,Input_Konektivitas!$D$3:$D$563,"&gt;0")+COUNTIFS(Input_Konektivitas!$A$3:$A$563,AC$3,Input_Konektivitas!$B$3:$B$563,$A26,Input_Konektivitas!$D$3:$D$563,"&gt;0"))=0,"",SUMIFS(Input_Konektivitas!$C$3:$C$563,Input_Konektivitas!$A$3:$A$563,$A26,Input_Konektivitas!$B$3:$B$563,AC$3)+SUMIFS(Input_Konektivitas!$C$3:$C$563,Input_Konektivitas!$A$3:$A$563,AC$3,Input_Konektivitas!$B$3:$B$563,$A26))</f>
        <v>1</v>
      </c>
      <c r="AD26" s="29">
        <f>IF((COUNTIFS(Input_Konektivitas!$A$3:$A$563,$A26,Input_Konektivitas!$B$3:$B$563,AD$3,Input_Konektivitas!$D$3:$D$563,"&gt;0")+COUNTIFS(Input_Konektivitas!$A$3:$A$563,AD$3,Input_Konektivitas!$B$3:$B$563,$A26,Input_Konektivitas!$D$3:$D$563,"&gt;0"))=0,"",SUMIFS(Input_Konektivitas!$C$3:$C$563,Input_Konektivitas!$A$3:$A$563,$A26,Input_Konektivitas!$B$3:$B$563,AD$3)+SUMIFS(Input_Konektivitas!$C$3:$C$563,Input_Konektivitas!$A$3:$A$563,AD$3,Input_Konektivitas!$B$3:$B$563,$A26))</f>
        <v>1</v>
      </c>
      <c r="AE26" s="29">
        <f>IF((COUNTIFS(Input_Konektivitas!$A$3:$A$563,$A26,Input_Konektivitas!$B$3:$B$563,AE$3,Input_Konektivitas!$D$3:$D$563,"&gt;0")+COUNTIFS(Input_Konektivitas!$A$3:$A$563,AE$3,Input_Konektivitas!$B$3:$B$563,$A26,Input_Konektivitas!$D$3:$D$563,"&gt;0"))=0,"",SUMIFS(Input_Konektivitas!$C$3:$C$563,Input_Konektivitas!$A$3:$A$563,$A26,Input_Konektivitas!$B$3:$B$563,AE$3)+SUMIFS(Input_Konektivitas!$C$3:$C$563,Input_Konektivitas!$A$3:$A$563,AE$3,Input_Konektivitas!$B$3:$B$563,$A26))</f>
        <v>0</v>
      </c>
      <c r="AF26" s="29">
        <f>IF((COUNTIFS(Input_Konektivitas!$A$3:$A$563,$A26,Input_Konektivitas!$B$3:$B$563,AF$3,Input_Konektivitas!$D$3:$D$563,"&gt;0")+COUNTIFS(Input_Konektivitas!$A$3:$A$563,AF$3,Input_Konektivitas!$B$3:$B$563,$A26,Input_Konektivitas!$D$3:$D$563,"&gt;0"))=0,"",SUMIFS(Input_Konektivitas!$C$3:$C$563,Input_Konektivitas!$A$3:$A$563,$A26,Input_Konektivitas!$B$3:$B$563,AF$3)+SUMIFS(Input_Konektivitas!$C$3:$C$563,Input_Konektivitas!$A$3:$A$563,AF$3,Input_Konektivitas!$B$3:$B$563,$A26))</f>
        <v>1</v>
      </c>
      <c r="AG26" s="29">
        <f>IF((COUNTIFS(Input_Konektivitas!$A$3:$A$563,$A26,Input_Konektivitas!$B$3:$B$563,AG$3,Input_Konektivitas!$D$3:$D$563,"&gt;0")+COUNTIFS(Input_Konektivitas!$A$3:$A$563,AG$3,Input_Konektivitas!$B$3:$B$563,$A26,Input_Konektivitas!$D$3:$D$563,"&gt;0"))=0,"",SUMIFS(Input_Konektivitas!$C$3:$C$563,Input_Konektivitas!$A$3:$A$563,$A26,Input_Konektivitas!$B$3:$B$563,AG$3)+SUMIFS(Input_Konektivitas!$C$3:$C$563,Input_Konektivitas!$A$3:$A$563,AG$3,Input_Konektivitas!$B$3:$B$563,$A26))</f>
        <v>1</v>
      </c>
      <c r="AH26" s="29">
        <f>IF((COUNTIFS(Input_Konektivitas!$A$3:$A$563,$A26,Input_Konektivitas!$B$3:$B$563,AH$3,Input_Konektivitas!$D$3:$D$563,"&gt;0")+COUNTIFS(Input_Konektivitas!$A$3:$A$563,AH$3,Input_Konektivitas!$B$3:$B$563,$A26,Input_Konektivitas!$D$3:$D$563,"&gt;0"))=0,"",SUMIFS(Input_Konektivitas!$C$3:$C$563,Input_Konektivitas!$A$3:$A$563,$A26,Input_Konektivitas!$B$3:$B$563,AH$3)+SUMIFS(Input_Konektivitas!$C$3:$C$563,Input_Konektivitas!$A$3:$A$563,AH$3,Input_Konektivitas!$B$3:$B$563,$A26))</f>
        <v>1</v>
      </c>
      <c r="AI26" s="29">
        <f>IF((COUNTIFS(Input_Konektivitas!$A$3:$A$563,$A26,Input_Konektivitas!$B$3:$B$563,AI$3,Input_Konektivitas!$D$3:$D$563,"&gt;0")+COUNTIFS(Input_Konektivitas!$A$3:$A$563,AI$3,Input_Konektivitas!$B$3:$B$563,$A26,Input_Konektivitas!$D$3:$D$563,"&gt;0"))=0,"",SUMIFS(Input_Konektivitas!$C$3:$C$563,Input_Konektivitas!$A$3:$A$563,$A26,Input_Konektivitas!$B$3:$B$563,AI$3)+SUMIFS(Input_Konektivitas!$C$3:$C$563,Input_Konektivitas!$A$3:$A$563,AI$3,Input_Konektivitas!$B$3:$B$563,$A26))</f>
        <v>1</v>
      </c>
    </row>
    <row r="27" ht="14.25" customHeight="1">
      <c r="A27" s="22" t="s">
        <v>71</v>
      </c>
      <c r="B27" s="29">
        <f>IF((COUNTIFS(Input_Konektivitas!$A$3:$A$563,$A27,Input_Konektivitas!$B$3:$B$563,B$3,Input_Konektivitas!$D$3:$D$563,"&gt;0")+COUNTIFS(Input_Konektivitas!$A$3:$A$563,B$3,Input_Konektivitas!$B$3:$B$563,$A27,Input_Konektivitas!$D$3:$D$563,"&gt;0"))=0,"",SUMIFS(Input_Konektivitas!$C$3:$C$563,Input_Konektivitas!$A$3:$A$563,$A27,Input_Konektivitas!$B$3:$B$563,B$3)+SUMIFS(Input_Konektivitas!$C$3:$C$563,Input_Konektivitas!$A$3:$A$563,B$3,Input_Konektivitas!$B$3:$B$563,$A27))</f>
        <v>3</v>
      </c>
      <c r="C27" s="29">
        <f>IF((COUNTIFS(Input_Konektivitas!$A$3:$A$563,$A27,Input_Konektivitas!$B$3:$B$563,C$3,Input_Konektivitas!$D$3:$D$563,"&gt;0")+COUNTIFS(Input_Konektivitas!$A$3:$A$563,C$3,Input_Konektivitas!$B$3:$B$563,$A27,Input_Konektivitas!$D$3:$D$563,"&gt;0"))=0,"",SUMIFS(Input_Konektivitas!$C$3:$C$563,Input_Konektivitas!$A$3:$A$563,$A27,Input_Konektivitas!$B$3:$B$563,C$3)+SUMIFS(Input_Konektivitas!$C$3:$C$563,Input_Konektivitas!$A$3:$A$563,C$3,Input_Konektivitas!$B$3:$B$563,$A27))</f>
        <v>1</v>
      </c>
      <c r="D27" s="29">
        <f>IF((COUNTIFS(Input_Konektivitas!$A$3:$A$563,$A27,Input_Konektivitas!$B$3:$B$563,D$3,Input_Konektivitas!$D$3:$D$563,"&gt;0")+COUNTIFS(Input_Konektivitas!$A$3:$A$563,D$3,Input_Konektivitas!$B$3:$B$563,$A27,Input_Konektivitas!$D$3:$D$563,"&gt;0"))=0,"",SUMIFS(Input_Konektivitas!$C$3:$C$563,Input_Konektivitas!$A$3:$A$563,$A27,Input_Konektivitas!$B$3:$B$563,D$3)+SUMIFS(Input_Konektivitas!$C$3:$C$563,Input_Konektivitas!$A$3:$A$563,D$3,Input_Konektivitas!$B$3:$B$563,$A27))</f>
        <v>1</v>
      </c>
      <c r="E27" s="29">
        <f>IF((COUNTIFS(Input_Konektivitas!$A$3:$A$563,$A27,Input_Konektivitas!$B$3:$B$563,E$3,Input_Konektivitas!$D$3:$D$563,"&gt;0")+COUNTIFS(Input_Konektivitas!$A$3:$A$563,E$3,Input_Konektivitas!$B$3:$B$563,$A27,Input_Konektivitas!$D$3:$D$563,"&gt;0"))=0,"",SUMIFS(Input_Konektivitas!$C$3:$C$563,Input_Konektivitas!$A$3:$A$563,$A27,Input_Konektivitas!$B$3:$B$563,E$3)+SUMIFS(Input_Konektivitas!$C$3:$C$563,Input_Konektivitas!$A$3:$A$563,E$3,Input_Konektivitas!$B$3:$B$563,$A27))</f>
        <v>1</v>
      </c>
      <c r="F27" s="29">
        <f>IF((COUNTIFS(Input_Konektivitas!$A$3:$A$563,$A27,Input_Konektivitas!$B$3:$B$563,F$3,Input_Konektivitas!$D$3:$D$563,"&gt;0")+COUNTIFS(Input_Konektivitas!$A$3:$A$563,F$3,Input_Konektivitas!$B$3:$B$563,$A27,Input_Konektivitas!$D$3:$D$563,"&gt;0"))=0,"",SUMIFS(Input_Konektivitas!$C$3:$C$563,Input_Konektivitas!$A$3:$A$563,$A27,Input_Konektivitas!$B$3:$B$563,F$3)+SUMIFS(Input_Konektivitas!$C$3:$C$563,Input_Konektivitas!$A$3:$A$563,F$3,Input_Konektivitas!$B$3:$B$563,$A27))</f>
        <v>1</v>
      </c>
      <c r="G27" s="29">
        <f>IF((COUNTIFS(Input_Konektivitas!$A$3:$A$563,$A27,Input_Konektivitas!$B$3:$B$563,G$3,Input_Konektivitas!$D$3:$D$563,"&gt;0")+COUNTIFS(Input_Konektivitas!$A$3:$A$563,G$3,Input_Konektivitas!$B$3:$B$563,$A27,Input_Konektivitas!$D$3:$D$563,"&gt;0"))=0,"",SUMIFS(Input_Konektivitas!$C$3:$C$563,Input_Konektivitas!$A$3:$A$563,$A27,Input_Konektivitas!$B$3:$B$563,G$3)+SUMIFS(Input_Konektivitas!$C$3:$C$563,Input_Konektivitas!$A$3:$A$563,G$3,Input_Konektivitas!$B$3:$B$563,$A27))</f>
        <v>1</v>
      </c>
      <c r="H27" s="29">
        <f>IF((COUNTIFS(Input_Konektivitas!$A$3:$A$563,$A27,Input_Konektivitas!$B$3:$B$563,H$3,Input_Konektivitas!$D$3:$D$563,"&gt;0")+COUNTIFS(Input_Konektivitas!$A$3:$A$563,H$3,Input_Konektivitas!$B$3:$B$563,$A27,Input_Konektivitas!$D$3:$D$563,"&gt;0"))=0,"",SUMIFS(Input_Konektivitas!$C$3:$C$563,Input_Konektivitas!$A$3:$A$563,$A27,Input_Konektivitas!$B$3:$B$563,H$3)+SUMIFS(Input_Konektivitas!$C$3:$C$563,Input_Konektivitas!$A$3:$A$563,H$3,Input_Konektivitas!$B$3:$B$563,$A27))</f>
        <v>1</v>
      </c>
      <c r="I27" s="29">
        <f>IF((COUNTIFS(Input_Konektivitas!$A$3:$A$563,$A27,Input_Konektivitas!$B$3:$B$563,I$3,Input_Konektivitas!$D$3:$D$563,"&gt;0")+COUNTIFS(Input_Konektivitas!$A$3:$A$563,I$3,Input_Konektivitas!$B$3:$B$563,$A27,Input_Konektivitas!$D$3:$D$563,"&gt;0"))=0,"",SUMIFS(Input_Konektivitas!$C$3:$C$563,Input_Konektivitas!$A$3:$A$563,$A27,Input_Konektivitas!$B$3:$B$563,I$3)+SUMIFS(Input_Konektivitas!$C$3:$C$563,Input_Konektivitas!$A$3:$A$563,I$3,Input_Konektivitas!$B$3:$B$563,$A27))</f>
        <v>1</v>
      </c>
      <c r="J27" s="29">
        <f>IF((COUNTIFS(Input_Konektivitas!$A$3:$A$563,$A27,Input_Konektivitas!$B$3:$B$563,J$3,Input_Konektivitas!$D$3:$D$563,"&gt;0")+COUNTIFS(Input_Konektivitas!$A$3:$A$563,J$3,Input_Konektivitas!$B$3:$B$563,$A27,Input_Konektivitas!$D$3:$D$563,"&gt;0"))=0,"",SUMIFS(Input_Konektivitas!$C$3:$C$563,Input_Konektivitas!$A$3:$A$563,$A27,Input_Konektivitas!$B$3:$B$563,J$3)+SUMIFS(Input_Konektivitas!$C$3:$C$563,Input_Konektivitas!$A$3:$A$563,J$3,Input_Konektivitas!$B$3:$B$563,$A27))</f>
        <v>3</v>
      </c>
      <c r="K27" s="29">
        <f>IF((COUNTIFS(Input_Konektivitas!$A$3:$A$563,$A27,Input_Konektivitas!$B$3:$B$563,K$3,Input_Konektivitas!$D$3:$D$563,"&gt;0")+COUNTIFS(Input_Konektivitas!$A$3:$A$563,K$3,Input_Konektivitas!$B$3:$B$563,$A27,Input_Konektivitas!$D$3:$D$563,"&gt;0"))=0,"",SUMIFS(Input_Konektivitas!$C$3:$C$563,Input_Konektivitas!$A$3:$A$563,$A27,Input_Konektivitas!$B$3:$B$563,K$3)+SUMIFS(Input_Konektivitas!$C$3:$C$563,Input_Konektivitas!$A$3:$A$563,K$3,Input_Konektivitas!$B$3:$B$563,$A27))</f>
        <v>1</v>
      </c>
      <c r="L27" s="29">
        <f>IF((COUNTIFS(Input_Konektivitas!$A$3:$A$563,$A27,Input_Konektivitas!$B$3:$B$563,L$3,Input_Konektivitas!$D$3:$D$563,"&gt;0")+COUNTIFS(Input_Konektivitas!$A$3:$A$563,L$3,Input_Konektivitas!$B$3:$B$563,$A27,Input_Konektivitas!$D$3:$D$563,"&gt;0"))=0,"",SUMIFS(Input_Konektivitas!$C$3:$C$563,Input_Konektivitas!$A$3:$A$563,$A27,Input_Konektivitas!$B$3:$B$563,L$3)+SUMIFS(Input_Konektivitas!$C$3:$C$563,Input_Konektivitas!$A$3:$A$563,L$3,Input_Konektivitas!$B$3:$B$563,$A27))</f>
        <v>0</v>
      </c>
      <c r="M27" s="29" t="str">
        <f>IF((COUNTIFS(Input_Konektivitas!$A$3:$A$563,$A27,Input_Konektivitas!$B$3:$B$563,M$3,Input_Konektivitas!$D$3:$D$563,"&gt;0")+COUNTIFS(Input_Konektivitas!$A$3:$A$563,M$3,Input_Konektivitas!$B$3:$B$563,$A27,Input_Konektivitas!$D$3:$D$563,"&gt;0"))=0,"",SUMIFS(Input_Konektivitas!$C$3:$C$563,Input_Konektivitas!$A$3:$A$563,$A27,Input_Konektivitas!$B$3:$B$563,M$3)+SUMIFS(Input_Konektivitas!$C$3:$C$563,Input_Konektivitas!$A$3:$A$563,M$3,Input_Konektivitas!$B$3:$B$563,$A27))</f>
        <v/>
      </c>
      <c r="N27" s="29">
        <f>IF((COUNTIFS(Input_Konektivitas!$A$3:$A$563,$A27,Input_Konektivitas!$B$3:$B$563,N$3,Input_Konektivitas!$D$3:$D$563,"&gt;0")+COUNTIFS(Input_Konektivitas!$A$3:$A$563,N$3,Input_Konektivitas!$B$3:$B$563,$A27,Input_Konektivitas!$D$3:$D$563,"&gt;0"))=0,"",SUMIFS(Input_Konektivitas!$C$3:$C$563,Input_Konektivitas!$A$3:$A$563,$A27,Input_Konektivitas!$B$3:$B$563,N$3)+SUMIFS(Input_Konektivitas!$C$3:$C$563,Input_Konektivitas!$A$3:$A$563,N$3,Input_Konektivitas!$B$3:$B$563,$A27))</f>
        <v>1</v>
      </c>
      <c r="O27" s="29">
        <f>IF((COUNTIFS(Input_Konektivitas!$A$3:$A$563,$A27,Input_Konektivitas!$B$3:$B$563,O$3,Input_Konektivitas!$D$3:$D$563,"&gt;0")+COUNTIFS(Input_Konektivitas!$A$3:$A$563,O$3,Input_Konektivitas!$B$3:$B$563,$A27,Input_Konektivitas!$D$3:$D$563,"&gt;0"))=0,"",SUMIFS(Input_Konektivitas!$C$3:$C$563,Input_Konektivitas!$A$3:$A$563,$A27,Input_Konektivitas!$B$3:$B$563,O$3)+SUMIFS(Input_Konektivitas!$C$3:$C$563,Input_Konektivitas!$A$3:$A$563,O$3,Input_Konektivitas!$B$3:$B$563,$A27))</f>
        <v>1</v>
      </c>
      <c r="P27" s="29">
        <f>IF((COUNTIFS(Input_Konektivitas!$A$3:$A$563,$A27,Input_Konektivitas!$B$3:$B$563,P$3,Input_Konektivitas!$D$3:$D$563,"&gt;0")+COUNTIFS(Input_Konektivitas!$A$3:$A$563,P$3,Input_Konektivitas!$B$3:$B$563,$A27,Input_Konektivitas!$D$3:$D$563,"&gt;0"))=0,"",SUMIFS(Input_Konektivitas!$C$3:$C$563,Input_Konektivitas!$A$3:$A$563,$A27,Input_Konektivitas!$B$3:$B$563,P$3)+SUMIFS(Input_Konektivitas!$C$3:$C$563,Input_Konektivitas!$A$3:$A$563,P$3,Input_Konektivitas!$B$3:$B$563,$A27))</f>
        <v>0</v>
      </c>
      <c r="Q27" s="29" t="str">
        <f>IF((COUNTIFS(Input_Konektivitas!$A$3:$A$563,$A27,Input_Konektivitas!$B$3:$B$563,Q$3,Input_Konektivitas!$D$3:$D$563,"&gt;0")+COUNTIFS(Input_Konektivitas!$A$3:$A$563,Q$3,Input_Konektivitas!$B$3:$B$563,$A27,Input_Konektivitas!$D$3:$D$563,"&gt;0"))=0,"",SUMIFS(Input_Konektivitas!$C$3:$C$563,Input_Konektivitas!$A$3:$A$563,$A27,Input_Konektivitas!$B$3:$B$563,Q$3)+SUMIFS(Input_Konektivitas!$C$3:$C$563,Input_Konektivitas!$A$3:$A$563,Q$3,Input_Konektivitas!$B$3:$B$563,$A27))</f>
        <v/>
      </c>
      <c r="R27" s="29">
        <f>IF((COUNTIFS(Input_Konektivitas!$A$3:$A$563,$A27,Input_Konektivitas!$B$3:$B$563,R$3,Input_Konektivitas!$D$3:$D$563,"&gt;0")+COUNTIFS(Input_Konektivitas!$A$3:$A$563,R$3,Input_Konektivitas!$B$3:$B$563,$A27,Input_Konektivitas!$D$3:$D$563,"&gt;0"))=0,"",SUMIFS(Input_Konektivitas!$C$3:$C$563,Input_Konektivitas!$A$3:$A$563,$A27,Input_Konektivitas!$B$3:$B$563,R$3)+SUMIFS(Input_Konektivitas!$C$3:$C$563,Input_Konektivitas!$A$3:$A$563,R$3,Input_Konektivitas!$B$3:$B$563,$A27))</f>
        <v>1</v>
      </c>
      <c r="S27" s="29">
        <f>IF((COUNTIFS(Input_Konektivitas!$A$3:$A$563,$A27,Input_Konektivitas!$B$3:$B$563,S$3,Input_Konektivitas!$D$3:$D$563,"&gt;0")+COUNTIFS(Input_Konektivitas!$A$3:$A$563,S$3,Input_Konektivitas!$B$3:$B$563,$A27,Input_Konektivitas!$D$3:$D$563,"&gt;0"))=0,"",SUMIFS(Input_Konektivitas!$C$3:$C$563,Input_Konektivitas!$A$3:$A$563,$A27,Input_Konektivitas!$B$3:$B$563,S$3)+SUMIFS(Input_Konektivitas!$C$3:$C$563,Input_Konektivitas!$A$3:$A$563,S$3,Input_Konektivitas!$B$3:$B$563,$A27))</f>
        <v>1</v>
      </c>
      <c r="T27" s="29">
        <f>IF((COUNTIFS(Input_Konektivitas!$A$3:$A$563,$A27,Input_Konektivitas!$B$3:$B$563,T$3,Input_Konektivitas!$D$3:$D$563,"&gt;0")+COUNTIFS(Input_Konektivitas!$A$3:$A$563,T$3,Input_Konektivitas!$B$3:$B$563,$A27,Input_Konektivitas!$D$3:$D$563,"&gt;0"))=0,"",SUMIFS(Input_Konektivitas!$C$3:$C$563,Input_Konektivitas!$A$3:$A$563,$A27,Input_Konektivitas!$B$3:$B$563,T$3)+SUMIFS(Input_Konektivitas!$C$3:$C$563,Input_Konektivitas!$A$3:$A$563,T$3,Input_Konektivitas!$B$3:$B$563,$A27))</f>
        <v>2</v>
      </c>
      <c r="U27" s="29">
        <f>IF((COUNTIFS(Input_Konektivitas!$A$3:$A$563,$A27,Input_Konektivitas!$B$3:$B$563,U$3,Input_Konektivitas!$D$3:$D$563,"&gt;0")+COUNTIFS(Input_Konektivitas!$A$3:$A$563,U$3,Input_Konektivitas!$B$3:$B$563,$A27,Input_Konektivitas!$D$3:$D$563,"&gt;0"))=0,"",SUMIFS(Input_Konektivitas!$C$3:$C$563,Input_Konektivitas!$A$3:$A$563,$A27,Input_Konektivitas!$B$3:$B$563,U$3)+SUMIFS(Input_Konektivitas!$C$3:$C$563,Input_Konektivitas!$A$3:$A$563,U$3,Input_Konektivitas!$B$3:$B$563,$A27))</f>
        <v>1</v>
      </c>
      <c r="V27" s="29">
        <f>IF((COUNTIFS(Input_Konektivitas!$A$3:$A$563,$A27,Input_Konektivitas!$B$3:$B$563,V$3,Input_Konektivitas!$D$3:$D$563,"&gt;0")+COUNTIFS(Input_Konektivitas!$A$3:$A$563,V$3,Input_Konektivitas!$B$3:$B$563,$A27,Input_Konektivitas!$D$3:$D$563,"&gt;0"))=0,"",SUMIFS(Input_Konektivitas!$C$3:$C$563,Input_Konektivitas!$A$3:$A$563,$A27,Input_Konektivitas!$B$3:$B$563,V$3)+SUMIFS(Input_Konektivitas!$C$3:$C$563,Input_Konektivitas!$A$3:$A$563,V$3,Input_Konektivitas!$B$3:$B$563,$A27))</f>
        <v>1</v>
      </c>
      <c r="W27" s="29">
        <f>IF((COUNTIFS(Input_Konektivitas!$A$3:$A$563,$A27,Input_Konektivitas!$B$3:$B$563,W$3,Input_Konektivitas!$D$3:$D$563,"&gt;0")+COUNTIFS(Input_Konektivitas!$A$3:$A$563,W$3,Input_Konektivitas!$B$3:$B$563,$A27,Input_Konektivitas!$D$3:$D$563,"&gt;0"))=0,"",SUMIFS(Input_Konektivitas!$C$3:$C$563,Input_Konektivitas!$A$3:$A$563,$A27,Input_Konektivitas!$B$3:$B$563,W$3)+SUMIFS(Input_Konektivitas!$C$3:$C$563,Input_Konektivitas!$A$3:$A$563,W$3,Input_Konektivitas!$B$3:$B$563,$A27))</f>
        <v>1</v>
      </c>
      <c r="X27" s="29">
        <f>IF((COUNTIFS(Input_Konektivitas!$A$3:$A$563,$A27,Input_Konektivitas!$B$3:$B$563,X$3,Input_Konektivitas!$D$3:$D$563,"&gt;0")+COUNTIFS(Input_Konektivitas!$A$3:$A$563,X$3,Input_Konektivitas!$B$3:$B$563,$A27,Input_Konektivitas!$D$3:$D$563,"&gt;0"))=0,"",SUMIFS(Input_Konektivitas!$C$3:$C$563,Input_Konektivitas!$A$3:$A$563,$A27,Input_Konektivitas!$B$3:$B$563,X$3)+SUMIFS(Input_Konektivitas!$C$3:$C$563,Input_Konektivitas!$A$3:$A$563,X$3,Input_Konektivitas!$B$3:$B$563,$A27))</f>
        <v>0</v>
      </c>
      <c r="Y27" s="26">
        <v>0.0</v>
      </c>
      <c r="Z27" s="29">
        <f>IF((COUNTIFS(Input_Konektivitas!$A$3:$A$563,$A27,Input_Konektivitas!$B$3:$B$563,Z$3,Input_Konektivitas!$D$3:$D$563,"&gt;0")+COUNTIFS(Input_Konektivitas!$A$3:$A$563,Z$3,Input_Konektivitas!$B$3:$B$563,$A27,Input_Konektivitas!$D$3:$D$563,"&gt;0"))=0,"",SUMIFS(Input_Konektivitas!$C$3:$C$563,Input_Konektivitas!$A$3:$A$563,$A27,Input_Konektivitas!$B$3:$B$563,Z$3)+SUMIFS(Input_Konektivitas!$C$3:$C$563,Input_Konektivitas!$A$3:$A$563,Z$3,Input_Konektivitas!$B$3:$B$563,$A27))</f>
        <v>1</v>
      </c>
      <c r="AA27" s="29">
        <f>IF((COUNTIFS(Input_Konektivitas!$A$3:$A$563,$A27,Input_Konektivitas!$B$3:$B$563,AA$3,Input_Konektivitas!$D$3:$D$563,"&gt;0")+COUNTIFS(Input_Konektivitas!$A$3:$A$563,AA$3,Input_Konektivitas!$B$3:$B$563,$A27,Input_Konektivitas!$D$3:$D$563,"&gt;0"))=0,"",SUMIFS(Input_Konektivitas!$C$3:$C$563,Input_Konektivitas!$A$3:$A$563,$A27,Input_Konektivitas!$B$3:$B$563,AA$3)+SUMIFS(Input_Konektivitas!$C$3:$C$563,Input_Konektivitas!$A$3:$A$563,AA$3,Input_Konektivitas!$B$3:$B$563,$A27))</f>
        <v>2</v>
      </c>
      <c r="AB27" s="29">
        <f>IF((COUNTIFS(Input_Konektivitas!$A$3:$A$563,$A27,Input_Konektivitas!$B$3:$B$563,AB$3,Input_Konektivitas!$D$3:$D$563,"&gt;0")+COUNTIFS(Input_Konektivitas!$A$3:$A$563,AB$3,Input_Konektivitas!$B$3:$B$563,$A27,Input_Konektivitas!$D$3:$D$563,"&gt;0"))=0,"",SUMIFS(Input_Konektivitas!$C$3:$C$563,Input_Konektivitas!$A$3:$A$563,$A27,Input_Konektivitas!$B$3:$B$563,AB$3)+SUMIFS(Input_Konektivitas!$C$3:$C$563,Input_Konektivitas!$A$3:$A$563,AB$3,Input_Konektivitas!$B$3:$B$563,$A27))</f>
        <v>1</v>
      </c>
      <c r="AC27" s="29">
        <f>IF((COUNTIFS(Input_Konektivitas!$A$3:$A$563,$A27,Input_Konektivitas!$B$3:$B$563,AC$3,Input_Konektivitas!$D$3:$D$563,"&gt;0")+COUNTIFS(Input_Konektivitas!$A$3:$A$563,AC$3,Input_Konektivitas!$B$3:$B$563,$A27,Input_Konektivitas!$D$3:$D$563,"&gt;0"))=0,"",SUMIFS(Input_Konektivitas!$C$3:$C$563,Input_Konektivitas!$A$3:$A$563,$A27,Input_Konektivitas!$B$3:$B$563,AC$3)+SUMIFS(Input_Konektivitas!$C$3:$C$563,Input_Konektivitas!$A$3:$A$563,AC$3,Input_Konektivitas!$B$3:$B$563,$A27))</f>
        <v>2</v>
      </c>
      <c r="AD27" s="29" t="str">
        <f>IF((COUNTIFS(Input_Konektivitas!$A$3:$A$563,$A27,Input_Konektivitas!$B$3:$B$563,AD$3,Input_Konektivitas!$D$3:$D$563,"&gt;0")+COUNTIFS(Input_Konektivitas!$A$3:$A$563,AD$3,Input_Konektivitas!$B$3:$B$563,$A27,Input_Konektivitas!$D$3:$D$563,"&gt;0"))=0,"",SUMIFS(Input_Konektivitas!$C$3:$C$563,Input_Konektivitas!$A$3:$A$563,$A27,Input_Konektivitas!$B$3:$B$563,AD$3)+SUMIFS(Input_Konektivitas!$C$3:$C$563,Input_Konektivitas!$A$3:$A$563,AD$3,Input_Konektivitas!$B$3:$B$563,$A27))</f>
        <v/>
      </c>
      <c r="AE27" s="29">
        <f>IF((COUNTIFS(Input_Konektivitas!$A$3:$A$563,$A27,Input_Konektivitas!$B$3:$B$563,AE$3,Input_Konektivitas!$D$3:$D$563,"&gt;0")+COUNTIFS(Input_Konektivitas!$A$3:$A$563,AE$3,Input_Konektivitas!$B$3:$B$563,$A27,Input_Konektivitas!$D$3:$D$563,"&gt;0"))=0,"",SUMIFS(Input_Konektivitas!$C$3:$C$563,Input_Konektivitas!$A$3:$A$563,$A27,Input_Konektivitas!$B$3:$B$563,AE$3)+SUMIFS(Input_Konektivitas!$C$3:$C$563,Input_Konektivitas!$A$3:$A$563,AE$3,Input_Konektivitas!$B$3:$B$563,$A27))</f>
        <v>2</v>
      </c>
      <c r="AF27" s="29">
        <f>IF((COUNTIFS(Input_Konektivitas!$A$3:$A$563,$A27,Input_Konektivitas!$B$3:$B$563,AF$3,Input_Konektivitas!$D$3:$D$563,"&gt;0")+COUNTIFS(Input_Konektivitas!$A$3:$A$563,AF$3,Input_Konektivitas!$B$3:$B$563,$A27,Input_Konektivitas!$D$3:$D$563,"&gt;0"))=0,"",SUMIFS(Input_Konektivitas!$C$3:$C$563,Input_Konektivitas!$A$3:$A$563,$A27,Input_Konektivitas!$B$3:$B$563,AF$3)+SUMIFS(Input_Konektivitas!$C$3:$C$563,Input_Konektivitas!$A$3:$A$563,AF$3,Input_Konektivitas!$B$3:$B$563,$A27))</f>
        <v>3</v>
      </c>
      <c r="AG27" s="29">
        <f>IF((COUNTIFS(Input_Konektivitas!$A$3:$A$563,$A27,Input_Konektivitas!$B$3:$B$563,AG$3,Input_Konektivitas!$D$3:$D$563,"&gt;0")+COUNTIFS(Input_Konektivitas!$A$3:$A$563,AG$3,Input_Konektivitas!$B$3:$B$563,$A27,Input_Konektivitas!$D$3:$D$563,"&gt;0"))=0,"",SUMIFS(Input_Konektivitas!$C$3:$C$563,Input_Konektivitas!$A$3:$A$563,$A27,Input_Konektivitas!$B$3:$B$563,AG$3)+SUMIFS(Input_Konektivitas!$C$3:$C$563,Input_Konektivitas!$A$3:$A$563,AG$3,Input_Konektivitas!$B$3:$B$563,$A27))</f>
        <v>2</v>
      </c>
      <c r="AH27" s="29">
        <f>IF((COUNTIFS(Input_Konektivitas!$A$3:$A$563,$A27,Input_Konektivitas!$B$3:$B$563,AH$3,Input_Konektivitas!$D$3:$D$563,"&gt;0")+COUNTIFS(Input_Konektivitas!$A$3:$A$563,AH$3,Input_Konektivitas!$B$3:$B$563,$A27,Input_Konektivitas!$D$3:$D$563,"&gt;0"))=0,"",SUMIFS(Input_Konektivitas!$C$3:$C$563,Input_Konektivitas!$A$3:$A$563,$A27,Input_Konektivitas!$B$3:$B$563,AH$3)+SUMIFS(Input_Konektivitas!$C$3:$C$563,Input_Konektivitas!$A$3:$A$563,AH$3,Input_Konektivitas!$B$3:$B$563,$A27))</f>
        <v>2</v>
      </c>
      <c r="AI27" s="29">
        <f>IF((COUNTIFS(Input_Konektivitas!$A$3:$A$563,$A27,Input_Konektivitas!$B$3:$B$563,AI$3,Input_Konektivitas!$D$3:$D$563,"&gt;0")+COUNTIFS(Input_Konektivitas!$A$3:$A$563,AI$3,Input_Konektivitas!$B$3:$B$563,$A27,Input_Konektivitas!$D$3:$D$563,"&gt;0"))=0,"",SUMIFS(Input_Konektivitas!$C$3:$C$563,Input_Konektivitas!$A$3:$A$563,$A27,Input_Konektivitas!$B$3:$B$563,AI$3)+SUMIFS(Input_Konektivitas!$C$3:$C$563,Input_Konektivitas!$A$3:$A$563,AI$3,Input_Konektivitas!$B$3:$B$563,$A27))</f>
        <v>3</v>
      </c>
    </row>
    <row r="28" ht="14.25" customHeight="1">
      <c r="A28" s="22" t="s">
        <v>75</v>
      </c>
      <c r="B28" s="29">
        <f>IF((COUNTIFS(Input_Konektivitas!$A$3:$A$563,$A28,Input_Konektivitas!$B$3:$B$563,B$3,Input_Konektivitas!$D$3:$D$563,"&gt;0")+COUNTIFS(Input_Konektivitas!$A$3:$A$563,B$3,Input_Konektivitas!$B$3:$B$563,$A28,Input_Konektivitas!$D$3:$D$563,"&gt;0"))=0,"",SUMIFS(Input_Konektivitas!$C$3:$C$563,Input_Konektivitas!$A$3:$A$563,$A28,Input_Konektivitas!$B$3:$B$563,B$3)+SUMIFS(Input_Konektivitas!$C$3:$C$563,Input_Konektivitas!$A$3:$A$563,B$3,Input_Konektivitas!$B$3:$B$563,$A28))</f>
        <v>2</v>
      </c>
      <c r="C28" s="29">
        <f>IF((COUNTIFS(Input_Konektivitas!$A$3:$A$563,$A28,Input_Konektivitas!$B$3:$B$563,C$3,Input_Konektivitas!$D$3:$D$563,"&gt;0")+COUNTIFS(Input_Konektivitas!$A$3:$A$563,C$3,Input_Konektivitas!$B$3:$B$563,$A28,Input_Konektivitas!$D$3:$D$563,"&gt;0"))=0,"",SUMIFS(Input_Konektivitas!$C$3:$C$563,Input_Konektivitas!$A$3:$A$563,$A28,Input_Konektivitas!$B$3:$B$563,C$3)+SUMIFS(Input_Konektivitas!$C$3:$C$563,Input_Konektivitas!$A$3:$A$563,C$3,Input_Konektivitas!$B$3:$B$563,$A28))</f>
        <v>1</v>
      </c>
      <c r="D28" s="29">
        <f>IF((COUNTIFS(Input_Konektivitas!$A$3:$A$563,$A28,Input_Konektivitas!$B$3:$B$563,D$3,Input_Konektivitas!$D$3:$D$563,"&gt;0")+COUNTIFS(Input_Konektivitas!$A$3:$A$563,D$3,Input_Konektivitas!$B$3:$B$563,$A28,Input_Konektivitas!$D$3:$D$563,"&gt;0"))=0,"",SUMIFS(Input_Konektivitas!$C$3:$C$563,Input_Konektivitas!$A$3:$A$563,$A28,Input_Konektivitas!$B$3:$B$563,D$3)+SUMIFS(Input_Konektivitas!$C$3:$C$563,Input_Konektivitas!$A$3:$A$563,D$3,Input_Konektivitas!$B$3:$B$563,$A28))</f>
        <v>1</v>
      </c>
      <c r="E28" s="29">
        <f>IF((COUNTIFS(Input_Konektivitas!$A$3:$A$563,$A28,Input_Konektivitas!$B$3:$B$563,E$3,Input_Konektivitas!$D$3:$D$563,"&gt;0")+COUNTIFS(Input_Konektivitas!$A$3:$A$563,E$3,Input_Konektivitas!$B$3:$B$563,$A28,Input_Konektivitas!$D$3:$D$563,"&gt;0"))=0,"",SUMIFS(Input_Konektivitas!$C$3:$C$563,Input_Konektivitas!$A$3:$A$563,$A28,Input_Konektivitas!$B$3:$B$563,E$3)+SUMIFS(Input_Konektivitas!$C$3:$C$563,Input_Konektivitas!$A$3:$A$563,E$3,Input_Konektivitas!$B$3:$B$563,$A28))</f>
        <v>1</v>
      </c>
      <c r="F28" s="29">
        <f>IF((COUNTIFS(Input_Konektivitas!$A$3:$A$563,$A28,Input_Konektivitas!$B$3:$B$563,F$3,Input_Konektivitas!$D$3:$D$563,"&gt;0")+COUNTIFS(Input_Konektivitas!$A$3:$A$563,F$3,Input_Konektivitas!$B$3:$B$563,$A28,Input_Konektivitas!$D$3:$D$563,"&gt;0"))=0,"",SUMIFS(Input_Konektivitas!$C$3:$C$563,Input_Konektivitas!$A$3:$A$563,$A28,Input_Konektivitas!$B$3:$B$563,F$3)+SUMIFS(Input_Konektivitas!$C$3:$C$563,Input_Konektivitas!$A$3:$A$563,F$3,Input_Konektivitas!$B$3:$B$563,$A28))</f>
        <v>1</v>
      </c>
      <c r="G28" s="29">
        <f>IF((COUNTIFS(Input_Konektivitas!$A$3:$A$563,$A28,Input_Konektivitas!$B$3:$B$563,G$3,Input_Konektivitas!$D$3:$D$563,"&gt;0")+COUNTIFS(Input_Konektivitas!$A$3:$A$563,G$3,Input_Konektivitas!$B$3:$B$563,$A28,Input_Konektivitas!$D$3:$D$563,"&gt;0"))=0,"",SUMIFS(Input_Konektivitas!$C$3:$C$563,Input_Konektivitas!$A$3:$A$563,$A28,Input_Konektivitas!$B$3:$B$563,G$3)+SUMIFS(Input_Konektivitas!$C$3:$C$563,Input_Konektivitas!$A$3:$A$563,G$3,Input_Konektivitas!$B$3:$B$563,$A28))</f>
        <v>1</v>
      </c>
      <c r="H28" s="29">
        <f>IF((COUNTIFS(Input_Konektivitas!$A$3:$A$563,$A28,Input_Konektivitas!$B$3:$B$563,H$3,Input_Konektivitas!$D$3:$D$563,"&gt;0")+COUNTIFS(Input_Konektivitas!$A$3:$A$563,H$3,Input_Konektivitas!$B$3:$B$563,$A28,Input_Konektivitas!$D$3:$D$563,"&gt;0"))=0,"",SUMIFS(Input_Konektivitas!$C$3:$C$563,Input_Konektivitas!$A$3:$A$563,$A28,Input_Konektivitas!$B$3:$B$563,H$3)+SUMIFS(Input_Konektivitas!$C$3:$C$563,Input_Konektivitas!$A$3:$A$563,H$3,Input_Konektivitas!$B$3:$B$563,$A28))</f>
        <v>1</v>
      </c>
      <c r="I28" s="29">
        <f>IF((COUNTIFS(Input_Konektivitas!$A$3:$A$563,$A28,Input_Konektivitas!$B$3:$B$563,I$3,Input_Konektivitas!$D$3:$D$563,"&gt;0")+COUNTIFS(Input_Konektivitas!$A$3:$A$563,I$3,Input_Konektivitas!$B$3:$B$563,$A28,Input_Konektivitas!$D$3:$D$563,"&gt;0"))=0,"",SUMIFS(Input_Konektivitas!$C$3:$C$563,Input_Konektivitas!$A$3:$A$563,$A28,Input_Konektivitas!$B$3:$B$563,I$3)+SUMIFS(Input_Konektivitas!$C$3:$C$563,Input_Konektivitas!$A$3:$A$563,I$3,Input_Konektivitas!$B$3:$B$563,$A28))</f>
        <v>1</v>
      </c>
      <c r="J28" s="29">
        <f>IF((COUNTIFS(Input_Konektivitas!$A$3:$A$563,$A28,Input_Konektivitas!$B$3:$B$563,J$3,Input_Konektivitas!$D$3:$D$563,"&gt;0")+COUNTIFS(Input_Konektivitas!$A$3:$A$563,J$3,Input_Konektivitas!$B$3:$B$563,$A28,Input_Konektivitas!$D$3:$D$563,"&gt;0"))=0,"",SUMIFS(Input_Konektivitas!$C$3:$C$563,Input_Konektivitas!$A$3:$A$563,$A28,Input_Konektivitas!$B$3:$B$563,J$3)+SUMIFS(Input_Konektivitas!$C$3:$C$563,Input_Konektivitas!$A$3:$A$563,J$3,Input_Konektivitas!$B$3:$B$563,$A28))</f>
        <v>1</v>
      </c>
      <c r="K28" s="29">
        <f>IF((COUNTIFS(Input_Konektivitas!$A$3:$A$563,$A28,Input_Konektivitas!$B$3:$B$563,K$3,Input_Konektivitas!$D$3:$D$563,"&gt;0")+COUNTIFS(Input_Konektivitas!$A$3:$A$563,K$3,Input_Konektivitas!$B$3:$B$563,$A28,Input_Konektivitas!$D$3:$D$563,"&gt;0"))=0,"",SUMIFS(Input_Konektivitas!$C$3:$C$563,Input_Konektivitas!$A$3:$A$563,$A28,Input_Konektivitas!$B$3:$B$563,K$3)+SUMIFS(Input_Konektivitas!$C$3:$C$563,Input_Konektivitas!$A$3:$A$563,K$3,Input_Konektivitas!$B$3:$B$563,$A28))</f>
        <v>1</v>
      </c>
      <c r="L28" s="29">
        <f>IF((COUNTIFS(Input_Konektivitas!$A$3:$A$563,$A28,Input_Konektivitas!$B$3:$B$563,L$3,Input_Konektivitas!$D$3:$D$563,"&gt;0")+COUNTIFS(Input_Konektivitas!$A$3:$A$563,L$3,Input_Konektivitas!$B$3:$B$563,$A28,Input_Konektivitas!$D$3:$D$563,"&gt;0"))=0,"",SUMIFS(Input_Konektivitas!$C$3:$C$563,Input_Konektivitas!$A$3:$A$563,$A28,Input_Konektivitas!$B$3:$B$563,L$3)+SUMIFS(Input_Konektivitas!$C$3:$C$563,Input_Konektivitas!$A$3:$A$563,L$3,Input_Konektivitas!$B$3:$B$563,$A28))</f>
        <v>0</v>
      </c>
      <c r="M28" s="29">
        <f>IF((COUNTIFS(Input_Konektivitas!$A$3:$A$563,$A28,Input_Konektivitas!$B$3:$B$563,M$3,Input_Konektivitas!$D$3:$D$563,"&gt;0")+COUNTIFS(Input_Konektivitas!$A$3:$A$563,M$3,Input_Konektivitas!$B$3:$B$563,$A28,Input_Konektivitas!$D$3:$D$563,"&gt;0"))=0,"",SUMIFS(Input_Konektivitas!$C$3:$C$563,Input_Konektivitas!$A$3:$A$563,$A28,Input_Konektivitas!$B$3:$B$563,M$3)+SUMIFS(Input_Konektivitas!$C$3:$C$563,Input_Konektivitas!$A$3:$A$563,M$3,Input_Konektivitas!$B$3:$B$563,$A28))</f>
        <v>2</v>
      </c>
      <c r="N28" s="29">
        <f>IF((COUNTIFS(Input_Konektivitas!$A$3:$A$563,$A28,Input_Konektivitas!$B$3:$B$563,N$3,Input_Konektivitas!$D$3:$D$563,"&gt;0")+COUNTIFS(Input_Konektivitas!$A$3:$A$563,N$3,Input_Konektivitas!$B$3:$B$563,$A28,Input_Konektivitas!$D$3:$D$563,"&gt;0"))=0,"",SUMIFS(Input_Konektivitas!$C$3:$C$563,Input_Konektivitas!$A$3:$A$563,$A28,Input_Konektivitas!$B$3:$B$563,N$3)+SUMIFS(Input_Konektivitas!$C$3:$C$563,Input_Konektivitas!$A$3:$A$563,N$3,Input_Konektivitas!$B$3:$B$563,$A28))</f>
        <v>1</v>
      </c>
      <c r="O28" s="29">
        <f>IF((COUNTIFS(Input_Konektivitas!$A$3:$A$563,$A28,Input_Konektivitas!$B$3:$B$563,O$3,Input_Konektivitas!$D$3:$D$563,"&gt;0")+COUNTIFS(Input_Konektivitas!$A$3:$A$563,O$3,Input_Konektivitas!$B$3:$B$563,$A28,Input_Konektivitas!$D$3:$D$563,"&gt;0"))=0,"",SUMIFS(Input_Konektivitas!$C$3:$C$563,Input_Konektivitas!$A$3:$A$563,$A28,Input_Konektivitas!$B$3:$B$563,O$3)+SUMIFS(Input_Konektivitas!$C$3:$C$563,Input_Konektivitas!$A$3:$A$563,O$3,Input_Konektivitas!$B$3:$B$563,$A28))</f>
        <v>1</v>
      </c>
      <c r="P28" s="29">
        <f>IF((COUNTIFS(Input_Konektivitas!$A$3:$A$563,$A28,Input_Konektivitas!$B$3:$B$563,P$3,Input_Konektivitas!$D$3:$D$563,"&gt;0")+COUNTIFS(Input_Konektivitas!$A$3:$A$563,P$3,Input_Konektivitas!$B$3:$B$563,$A28,Input_Konektivitas!$D$3:$D$563,"&gt;0"))=0,"",SUMIFS(Input_Konektivitas!$C$3:$C$563,Input_Konektivitas!$A$3:$A$563,$A28,Input_Konektivitas!$B$3:$B$563,P$3)+SUMIFS(Input_Konektivitas!$C$3:$C$563,Input_Konektivitas!$A$3:$A$563,P$3,Input_Konektivitas!$B$3:$B$563,$A28))</f>
        <v>0</v>
      </c>
      <c r="Q28" s="29" t="str">
        <f>IF((COUNTIFS(Input_Konektivitas!$A$3:$A$563,$A28,Input_Konektivitas!$B$3:$B$563,Q$3,Input_Konektivitas!$D$3:$D$563,"&gt;0")+COUNTIFS(Input_Konektivitas!$A$3:$A$563,Q$3,Input_Konektivitas!$B$3:$B$563,$A28,Input_Konektivitas!$D$3:$D$563,"&gt;0"))=0,"",SUMIFS(Input_Konektivitas!$C$3:$C$563,Input_Konektivitas!$A$3:$A$563,$A28,Input_Konektivitas!$B$3:$B$563,Q$3)+SUMIFS(Input_Konektivitas!$C$3:$C$563,Input_Konektivitas!$A$3:$A$563,Q$3,Input_Konektivitas!$B$3:$B$563,$A28))</f>
        <v/>
      </c>
      <c r="R28" s="29">
        <f>IF((COUNTIFS(Input_Konektivitas!$A$3:$A$563,$A28,Input_Konektivitas!$B$3:$B$563,R$3,Input_Konektivitas!$D$3:$D$563,"&gt;0")+COUNTIFS(Input_Konektivitas!$A$3:$A$563,R$3,Input_Konektivitas!$B$3:$B$563,$A28,Input_Konektivitas!$D$3:$D$563,"&gt;0"))=0,"",SUMIFS(Input_Konektivitas!$C$3:$C$563,Input_Konektivitas!$A$3:$A$563,$A28,Input_Konektivitas!$B$3:$B$563,R$3)+SUMIFS(Input_Konektivitas!$C$3:$C$563,Input_Konektivitas!$A$3:$A$563,R$3,Input_Konektivitas!$B$3:$B$563,$A28))</f>
        <v>0</v>
      </c>
      <c r="S28" s="29">
        <f>IF((COUNTIFS(Input_Konektivitas!$A$3:$A$563,$A28,Input_Konektivitas!$B$3:$B$563,S$3,Input_Konektivitas!$D$3:$D$563,"&gt;0")+COUNTIFS(Input_Konektivitas!$A$3:$A$563,S$3,Input_Konektivitas!$B$3:$B$563,$A28,Input_Konektivitas!$D$3:$D$563,"&gt;0"))=0,"",SUMIFS(Input_Konektivitas!$C$3:$C$563,Input_Konektivitas!$A$3:$A$563,$A28,Input_Konektivitas!$B$3:$B$563,S$3)+SUMIFS(Input_Konektivitas!$C$3:$C$563,Input_Konektivitas!$A$3:$A$563,S$3,Input_Konektivitas!$B$3:$B$563,$A28))</f>
        <v>1</v>
      </c>
      <c r="T28" s="29">
        <f>IF((COUNTIFS(Input_Konektivitas!$A$3:$A$563,$A28,Input_Konektivitas!$B$3:$B$563,T$3,Input_Konektivitas!$D$3:$D$563,"&gt;0")+COUNTIFS(Input_Konektivitas!$A$3:$A$563,T$3,Input_Konektivitas!$B$3:$B$563,$A28,Input_Konektivitas!$D$3:$D$563,"&gt;0"))=0,"",SUMIFS(Input_Konektivitas!$C$3:$C$563,Input_Konektivitas!$A$3:$A$563,$A28,Input_Konektivitas!$B$3:$B$563,T$3)+SUMIFS(Input_Konektivitas!$C$3:$C$563,Input_Konektivitas!$A$3:$A$563,T$3,Input_Konektivitas!$B$3:$B$563,$A28))</f>
        <v>1</v>
      </c>
      <c r="U28" s="29">
        <f>IF((COUNTIFS(Input_Konektivitas!$A$3:$A$563,$A28,Input_Konektivitas!$B$3:$B$563,U$3,Input_Konektivitas!$D$3:$D$563,"&gt;0")+COUNTIFS(Input_Konektivitas!$A$3:$A$563,U$3,Input_Konektivitas!$B$3:$B$563,$A28,Input_Konektivitas!$D$3:$D$563,"&gt;0"))=0,"",SUMIFS(Input_Konektivitas!$C$3:$C$563,Input_Konektivitas!$A$3:$A$563,$A28,Input_Konektivitas!$B$3:$B$563,U$3)+SUMIFS(Input_Konektivitas!$C$3:$C$563,Input_Konektivitas!$A$3:$A$563,U$3,Input_Konektivitas!$B$3:$B$563,$A28))</f>
        <v>1</v>
      </c>
      <c r="V28" s="29">
        <f>IF((COUNTIFS(Input_Konektivitas!$A$3:$A$563,$A28,Input_Konektivitas!$B$3:$B$563,V$3,Input_Konektivitas!$D$3:$D$563,"&gt;0")+COUNTIFS(Input_Konektivitas!$A$3:$A$563,V$3,Input_Konektivitas!$B$3:$B$563,$A28,Input_Konektivitas!$D$3:$D$563,"&gt;0"))=0,"",SUMIFS(Input_Konektivitas!$C$3:$C$563,Input_Konektivitas!$A$3:$A$563,$A28,Input_Konektivitas!$B$3:$B$563,V$3)+SUMIFS(Input_Konektivitas!$C$3:$C$563,Input_Konektivitas!$A$3:$A$563,V$3,Input_Konektivitas!$B$3:$B$563,$A28))</f>
        <v>1</v>
      </c>
      <c r="W28" s="29">
        <f>IF((COUNTIFS(Input_Konektivitas!$A$3:$A$563,$A28,Input_Konektivitas!$B$3:$B$563,W$3,Input_Konektivitas!$D$3:$D$563,"&gt;0")+COUNTIFS(Input_Konektivitas!$A$3:$A$563,W$3,Input_Konektivitas!$B$3:$B$563,$A28,Input_Konektivitas!$D$3:$D$563,"&gt;0"))=0,"",SUMIFS(Input_Konektivitas!$C$3:$C$563,Input_Konektivitas!$A$3:$A$563,$A28,Input_Konektivitas!$B$3:$B$563,W$3)+SUMIFS(Input_Konektivitas!$C$3:$C$563,Input_Konektivitas!$A$3:$A$563,W$3,Input_Konektivitas!$B$3:$B$563,$A28))</f>
        <v>1</v>
      </c>
      <c r="X28" s="29">
        <f>IF((COUNTIFS(Input_Konektivitas!$A$3:$A$563,$A28,Input_Konektivitas!$B$3:$B$563,X$3,Input_Konektivitas!$D$3:$D$563,"&gt;0")+COUNTIFS(Input_Konektivitas!$A$3:$A$563,X$3,Input_Konektivitas!$B$3:$B$563,$A28,Input_Konektivitas!$D$3:$D$563,"&gt;0"))=0,"",SUMIFS(Input_Konektivitas!$C$3:$C$563,Input_Konektivitas!$A$3:$A$563,$A28,Input_Konektivitas!$B$3:$B$563,X$3)+SUMIFS(Input_Konektivitas!$C$3:$C$563,Input_Konektivitas!$A$3:$A$563,X$3,Input_Konektivitas!$B$3:$B$563,$A28))</f>
        <v>0</v>
      </c>
      <c r="Y28" s="29">
        <f>IF((COUNTIFS(Input_Konektivitas!$A$3:$A$563,$A28,Input_Konektivitas!$B$3:$B$563,Y$3,Input_Konektivitas!$D$3:$D$563,"&gt;0")+COUNTIFS(Input_Konektivitas!$A$3:$A$563,Y$3,Input_Konektivitas!$B$3:$B$563,$A28,Input_Konektivitas!$D$3:$D$563,"&gt;0"))=0,"",SUMIFS(Input_Konektivitas!$C$3:$C$563,Input_Konektivitas!$A$3:$A$563,$A28,Input_Konektivitas!$B$3:$B$563,Y$3)+SUMIFS(Input_Konektivitas!$C$3:$C$563,Input_Konektivitas!$A$3:$A$563,Y$3,Input_Konektivitas!$B$3:$B$563,$A28))</f>
        <v>1</v>
      </c>
      <c r="Z28" s="26">
        <v>0.0</v>
      </c>
      <c r="AA28" s="29">
        <f>IF((COUNTIFS(Input_Konektivitas!$A$3:$A$563,$A28,Input_Konektivitas!$B$3:$B$563,AA$3,Input_Konektivitas!$D$3:$D$563,"&gt;0")+COUNTIFS(Input_Konektivitas!$A$3:$A$563,AA$3,Input_Konektivitas!$B$3:$B$563,$A28,Input_Konektivitas!$D$3:$D$563,"&gt;0"))=0,"",SUMIFS(Input_Konektivitas!$C$3:$C$563,Input_Konektivitas!$A$3:$A$563,$A28,Input_Konektivitas!$B$3:$B$563,AA$3)+SUMIFS(Input_Konektivitas!$C$3:$C$563,Input_Konektivitas!$A$3:$A$563,AA$3,Input_Konektivitas!$B$3:$B$563,$A28))</f>
        <v>1</v>
      </c>
      <c r="AB28" s="29">
        <f>IF((COUNTIFS(Input_Konektivitas!$A$3:$A$563,$A28,Input_Konektivitas!$B$3:$B$563,AB$3,Input_Konektivitas!$D$3:$D$563,"&gt;0")+COUNTIFS(Input_Konektivitas!$A$3:$A$563,AB$3,Input_Konektivitas!$B$3:$B$563,$A28,Input_Konektivitas!$D$3:$D$563,"&gt;0"))=0,"",SUMIFS(Input_Konektivitas!$C$3:$C$563,Input_Konektivitas!$A$3:$A$563,$A28,Input_Konektivitas!$B$3:$B$563,AB$3)+SUMIFS(Input_Konektivitas!$C$3:$C$563,Input_Konektivitas!$A$3:$A$563,AB$3,Input_Konektivitas!$B$3:$B$563,$A28))</f>
        <v>0</v>
      </c>
      <c r="AC28" s="29">
        <f>IF((COUNTIFS(Input_Konektivitas!$A$3:$A$563,$A28,Input_Konektivitas!$B$3:$B$563,AC$3,Input_Konektivitas!$D$3:$D$563,"&gt;0")+COUNTIFS(Input_Konektivitas!$A$3:$A$563,AC$3,Input_Konektivitas!$B$3:$B$563,$A28,Input_Konektivitas!$D$3:$D$563,"&gt;0"))=0,"",SUMIFS(Input_Konektivitas!$C$3:$C$563,Input_Konektivitas!$A$3:$A$563,$A28,Input_Konektivitas!$B$3:$B$563,AC$3)+SUMIFS(Input_Konektivitas!$C$3:$C$563,Input_Konektivitas!$A$3:$A$563,AC$3,Input_Konektivitas!$B$3:$B$563,$A28))</f>
        <v>1</v>
      </c>
      <c r="AD28" s="29">
        <f>IF((COUNTIFS(Input_Konektivitas!$A$3:$A$563,$A28,Input_Konektivitas!$B$3:$B$563,AD$3,Input_Konektivitas!$D$3:$D$563,"&gt;0")+COUNTIFS(Input_Konektivitas!$A$3:$A$563,AD$3,Input_Konektivitas!$B$3:$B$563,$A28,Input_Konektivitas!$D$3:$D$563,"&gt;0"))=0,"",SUMIFS(Input_Konektivitas!$C$3:$C$563,Input_Konektivitas!$A$3:$A$563,$A28,Input_Konektivitas!$B$3:$B$563,AD$3)+SUMIFS(Input_Konektivitas!$C$3:$C$563,Input_Konektivitas!$A$3:$A$563,AD$3,Input_Konektivitas!$B$3:$B$563,$A28))</f>
        <v>0</v>
      </c>
      <c r="AE28" s="29">
        <f>IF((COUNTIFS(Input_Konektivitas!$A$3:$A$563,$A28,Input_Konektivitas!$B$3:$B$563,AE$3,Input_Konektivitas!$D$3:$D$563,"&gt;0")+COUNTIFS(Input_Konektivitas!$A$3:$A$563,AE$3,Input_Konektivitas!$B$3:$B$563,$A28,Input_Konektivitas!$D$3:$D$563,"&gt;0"))=0,"",SUMIFS(Input_Konektivitas!$C$3:$C$563,Input_Konektivitas!$A$3:$A$563,$A28,Input_Konektivitas!$B$3:$B$563,AE$3)+SUMIFS(Input_Konektivitas!$C$3:$C$563,Input_Konektivitas!$A$3:$A$563,AE$3,Input_Konektivitas!$B$3:$B$563,$A28))</f>
        <v>1</v>
      </c>
      <c r="AF28" s="29">
        <f>IF((COUNTIFS(Input_Konektivitas!$A$3:$A$563,$A28,Input_Konektivitas!$B$3:$B$563,AF$3,Input_Konektivitas!$D$3:$D$563,"&gt;0")+COUNTIFS(Input_Konektivitas!$A$3:$A$563,AF$3,Input_Konektivitas!$B$3:$B$563,$A28,Input_Konektivitas!$D$3:$D$563,"&gt;0"))=0,"",SUMIFS(Input_Konektivitas!$C$3:$C$563,Input_Konektivitas!$A$3:$A$563,$A28,Input_Konektivitas!$B$3:$B$563,AF$3)+SUMIFS(Input_Konektivitas!$C$3:$C$563,Input_Konektivitas!$A$3:$A$563,AF$3,Input_Konektivitas!$B$3:$B$563,$A28))</f>
        <v>1</v>
      </c>
      <c r="AG28" s="29">
        <f>IF((COUNTIFS(Input_Konektivitas!$A$3:$A$563,$A28,Input_Konektivitas!$B$3:$B$563,AG$3,Input_Konektivitas!$D$3:$D$563,"&gt;0")+COUNTIFS(Input_Konektivitas!$A$3:$A$563,AG$3,Input_Konektivitas!$B$3:$B$563,$A28,Input_Konektivitas!$D$3:$D$563,"&gt;0"))=0,"",SUMIFS(Input_Konektivitas!$C$3:$C$563,Input_Konektivitas!$A$3:$A$563,$A28,Input_Konektivitas!$B$3:$B$563,AG$3)+SUMIFS(Input_Konektivitas!$C$3:$C$563,Input_Konektivitas!$A$3:$A$563,AG$3,Input_Konektivitas!$B$3:$B$563,$A28))</f>
        <v>0</v>
      </c>
      <c r="AH28" s="29">
        <f>IF((COUNTIFS(Input_Konektivitas!$A$3:$A$563,$A28,Input_Konektivitas!$B$3:$B$563,AH$3,Input_Konektivitas!$D$3:$D$563,"&gt;0")+COUNTIFS(Input_Konektivitas!$A$3:$A$563,AH$3,Input_Konektivitas!$B$3:$B$563,$A28,Input_Konektivitas!$D$3:$D$563,"&gt;0"))=0,"",SUMIFS(Input_Konektivitas!$C$3:$C$563,Input_Konektivitas!$A$3:$A$563,$A28,Input_Konektivitas!$B$3:$B$563,AH$3)+SUMIFS(Input_Konektivitas!$C$3:$C$563,Input_Konektivitas!$A$3:$A$563,AH$3,Input_Konektivitas!$B$3:$B$563,$A28))</f>
        <v>0</v>
      </c>
      <c r="AI28" s="29">
        <f>IF((COUNTIFS(Input_Konektivitas!$A$3:$A$563,$A28,Input_Konektivitas!$B$3:$B$563,AI$3,Input_Konektivitas!$D$3:$D$563,"&gt;0")+COUNTIFS(Input_Konektivitas!$A$3:$A$563,AI$3,Input_Konektivitas!$B$3:$B$563,$A28,Input_Konektivitas!$D$3:$D$563,"&gt;0"))=0,"",SUMIFS(Input_Konektivitas!$C$3:$C$563,Input_Konektivitas!$A$3:$A$563,$A28,Input_Konektivitas!$B$3:$B$563,AI$3)+SUMIFS(Input_Konektivitas!$C$3:$C$563,Input_Konektivitas!$A$3:$A$563,AI$3,Input_Konektivitas!$B$3:$B$563,$A28))</f>
        <v>1</v>
      </c>
    </row>
    <row r="29" ht="14.25" customHeight="1">
      <c r="A29" s="22" t="s">
        <v>78</v>
      </c>
      <c r="B29" s="29">
        <f>IF((COUNTIFS(Input_Konektivitas!$A$3:$A$563,$A29,Input_Konektivitas!$B$3:$B$563,B$3,Input_Konektivitas!$D$3:$D$563,"&gt;0")+COUNTIFS(Input_Konektivitas!$A$3:$A$563,B$3,Input_Konektivitas!$B$3:$B$563,$A29,Input_Konektivitas!$D$3:$D$563,"&gt;0"))=0,"",SUMIFS(Input_Konektivitas!$C$3:$C$563,Input_Konektivitas!$A$3:$A$563,$A29,Input_Konektivitas!$B$3:$B$563,B$3)+SUMIFS(Input_Konektivitas!$C$3:$C$563,Input_Konektivitas!$A$3:$A$563,B$3,Input_Konektivitas!$B$3:$B$563,$A29))</f>
        <v>1</v>
      </c>
      <c r="C29" s="29">
        <f>IF((COUNTIFS(Input_Konektivitas!$A$3:$A$563,$A29,Input_Konektivitas!$B$3:$B$563,C$3,Input_Konektivitas!$D$3:$D$563,"&gt;0")+COUNTIFS(Input_Konektivitas!$A$3:$A$563,C$3,Input_Konektivitas!$B$3:$B$563,$A29,Input_Konektivitas!$D$3:$D$563,"&gt;0"))=0,"",SUMIFS(Input_Konektivitas!$C$3:$C$563,Input_Konektivitas!$A$3:$A$563,$A29,Input_Konektivitas!$B$3:$B$563,C$3)+SUMIFS(Input_Konektivitas!$C$3:$C$563,Input_Konektivitas!$A$3:$A$563,C$3,Input_Konektivitas!$B$3:$B$563,$A29))</f>
        <v>1</v>
      </c>
      <c r="D29" s="29">
        <f>IF((COUNTIFS(Input_Konektivitas!$A$3:$A$563,$A29,Input_Konektivitas!$B$3:$B$563,D$3,Input_Konektivitas!$D$3:$D$563,"&gt;0")+COUNTIFS(Input_Konektivitas!$A$3:$A$563,D$3,Input_Konektivitas!$B$3:$B$563,$A29,Input_Konektivitas!$D$3:$D$563,"&gt;0"))=0,"",SUMIFS(Input_Konektivitas!$C$3:$C$563,Input_Konektivitas!$A$3:$A$563,$A29,Input_Konektivitas!$B$3:$B$563,D$3)+SUMIFS(Input_Konektivitas!$C$3:$C$563,Input_Konektivitas!$A$3:$A$563,D$3,Input_Konektivitas!$B$3:$B$563,$A29))</f>
        <v>1</v>
      </c>
      <c r="E29" s="29">
        <f>IF((COUNTIFS(Input_Konektivitas!$A$3:$A$563,$A29,Input_Konektivitas!$B$3:$B$563,E$3,Input_Konektivitas!$D$3:$D$563,"&gt;0")+COUNTIFS(Input_Konektivitas!$A$3:$A$563,E$3,Input_Konektivitas!$B$3:$B$563,$A29,Input_Konektivitas!$D$3:$D$563,"&gt;0"))=0,"",SUMIFS(Input_Konektivitas!$C$3:$C$563,Input_Konektivitas!$A$3:$A$563,$A29,Input_Konektivitas!$B$3:$B$563,E$3)+SUMIFS(Input_Konektivitas!$C$3:$C$563,Input_Konektivitas!$A$3:$A$563,E$3,Input_Konektivitas!$B$3:$B$563,$A29))</f>
        <v>2</v>
      </c>
      <c r="F29" s="29">
        <f>IF((COUNTIFS(Input_Konektivitas!$A$3:$A$563,$A29,Input_Konektivitas!$B$3:$B$563,F$3,Input_Konektivitas!$D$3:$D$563,"&gt;0")+COUNTIFS(Input_Konektivitas!$A$3:$A$563,F$3,Input_Konektivitas!$B$3:$B$563,$A29,Input_Konektivitas!$D$3:$D$563,"&gt;0"))=0,"",SUMIFS(Input_Konektivitas!$C$3:$C$563,Input_Konektivitas!$A$3:$A$563,$A29,Input_Konektivitas!$B$3:$B$563,F$3)+SUMIFS(Input_Konektivitas!$C$3:$C$563,Input_Konektivitas!$A$3:$A$563,F$3,Input_Konektivitas!$B$3:$B$563,$A29))</f>
        <v>2</v>
      </c>
      <c r="G29" s="29">
        <f>IF((COUNTIFS(Input_Konektivitas!$A$3:$A$563,$A29,Input_Konektivitas!$B$3:$B$563,G$3,Input_Konektivitas!$D$3:$D$563,"&gt;0")+COUNTIFS(Input_Konektivitas!$A$3:$A$563,G$3,Input_Konektivitas!$B$3:$B$563,$A29,Input_Konektivitas!$D$3:$D$563,"&gt;0"))=0,"",SUMIFS(Input_Konektivitas!$C$3:$C$563,Input_Konektivitas!$A$3:$A$563,$A29,Input_Konektivitas!$B$3:$B$563,G$3)+SUMIFS(Input_Konektivitas!$C$3:$C$563,Input_Konektivitas!$A$3:$A$563,G$3,Input_Konektivitas!$B$3:$B$563,$A29))</f>
        <v>2</v>
      </c>
      <c r="H29" s="29">
        <f>IF((COUNTIFS(Input_Konektivitas!$A$3:$A$563,$A29,Input_Konektivitas!$B$3:$B$563,H$3,Input_Konektivitas!$D$3:$D$563,"&gt;0")+COUNTIFS(Input_Konektivitas!$A$3:$A$563,H$3,Input_Konektivitas!$B$3:$B$563,$A29,Input_Konektivitas!$D$3:$D$563,"&gt;0"))=0,"",SUMIFS(Input_Konektivitas!$C$3:$C$563,Input_Konektivitas!$A$3:$A$563,$A29,Input_Konektivitas!$B$3:$B$563,H$3)+SUMIFS(Input_Konektivitas!$C$3:$C$563,Input_Konektivitas!$A$3:$A$563,H$3,Input_Konektivitas!$B$3:$B$563,$A29))</f>
        <v>2</v>
      </c>
      <c r="I29" s="29">
        <f>IF((COUNTIFS(Input_Konektivitas!$A$3:$A$563,$A29,Input_Konektivitas!$B$3:$B$563,I$3,Input_Konektivitas!$D$3:$D$563,"&gt;0")+COUNTIFS(Input_Konektivitas!$A$3:$A$563,I$3,Input_Konektivitas!$B$3:$B$563,$A29,Input_Konektivitas!$D$3:$D$563,"&gt;0"))=0,"",SUMIFS(Input_Konektivitas!$C$3:$C$563,Input_Konektivitas!$A$3:$A$563,$A29,Input_Konektivitas!$B$3:$B$563,I$3)+SUMIFS(Input_Konektivitas!$C$3:$C$563,Input_Konektivitas!$A$3:$A$563,I$3,Input_Konektivitas!$B$3:$B$563,$A29))</f>
        <v>1</v>
      </c>
      <c r="J29" s="29">
        <f>IF((COUNTIFS(Input_Konektivitas!$A$3:$A$563,$A29,Input_Konektivitas!$B$3:$B$563,J$3,Input_Konektivitas!$D$3:$D$563,"&gt;0")+COUNTIFS(Input_Konektivitas!$A$3:$A$563,J$3,Input_Konektivitas!$B$3:$B$563,$A29,Input_Konektivitas!$D$3:$D$563,"&gt;0"))=0,"",SUMIFS(Input_Konektivitas!$C$3:$C$563,Input_Konektivitas!$A$3:$A$563,$A29,Input_Konektivitas!$B$3:$B$563,J$3)+SUMIFS(Input_Konektivitas!$C$3:$C$563,Input_Konektivitas!$A$3:$A$563,J$3,Input_Konektivitas!$B$3:$B$563,$A29))</f>
        <v>1</v>
      </c>
      <c r="K29" s="29">
        <f>IF((COUNTIFS(Input_Konektivitas!$A$3:$A$563,$A29,Input_Konektivitas!$B$3:$B$563,K$3,Input_Konektivitas!$D$3:$D$563,"&gt;0")+COUNTIFS(Input_Konektivitas!$A$3:$A$563,K$3,Input_Konektivitas!$B$3:$B$563,$A29,Input_Konektivitas!$D$3:$D$563,"&gt;0"))=0,"",SUMIFS(Input_Konektivitas!$C$3:$C$563,Input_Konektivitas!$A$3:$A$563,$A29,Input_Konektivitas!$B$3:$B$563,K$3)+SUMIFS(Input_Konektivitas!$C$3:$C$563,Input_Konektivitas!$A$3:$A$563,K$3,Input_Konektivitas!$B$3:$B$563,$A29))</f>
        <v>1</v>
      </c>
      <c r="L29" s="29">
        <f>IF((COUNTIFS(Input_Konektivitas!$A$3:$A$563,$A29,Input_Konektivitas!$B$3:$B$563,L$3,Input_Konektivitas!$D$3:$D$563,"&gt;0")+COUNTIFS(Input_Konektivitas!$A$3:$A$563,L$3,Input_Konektivitas!$B$3:$B$563,$A29,Input_Konektivitas!$D$3:$D$563,"&gt;0"))=0,"",SUMIFS(Input_Konektivitas!$C$3:$C$563,Input_Konektivitas!$A$3:$A$563,$A29,Input_Konektivitas!$B$3:$B$563,L$3)+SUMIFS(Input_Konektivitas!$C$3:$C$563,Input_Konektivitas!$A$3:$A$563,L$3,Input_Konektivitas!$B$3:$B$563,$A29))</f>
        <v>1</v>
      </c>
      <c r="M29" s="29" t="str">
        <f>IF((COUNTIFS(Input_Konektivitas!$A$3:$A$563,$A29,Input_Konektivitas!$B$3:$B$563,M$3,Input_Konektivitas!$D$3:$D$563,"&gt;0")+COUNTIFS(Input_Konektivitas!$A$3:$A$563,M$3,Input_Konektivitas!$B$3:$B$563,$A29,Input_Konektivitas!$D$3:$D$563,"&gt;0"))=0,"",SUMIFS(Input_Konektivitas!$C$3:$C$563,Input_Konektivitas!$A$3:$A$563,$A29,Input_Konektivitas!$B$3:$B$563,M$3)+SUMIFS(Input_Konektivitas!$C$3:$C$563,Input_Konektivitas!$A$3:$A$563,M$3,Input_Konektivitas!$B$3:$B$563,$A29))</f>
        <v/>
      </c>
      <c r="N29" s="29">
        <f>IF((COUNTIFS(Input_Konektivitas!$A$3:$A$563,$A29,Input_Konektivitas!$B$3:$B$563,N$3,Input_Konektivitas!$D$3:$D$563,"&gt;0")+COUNTIFS(Input_Konektivitas!$A$3:$A$563,N$3,Input_Konektivitas!$B$3:$B$563,$A29,Input_Konektivitas!$D$3:$D$563,"&gt;0"))=0,"",SUMIFS(Input_Konektivitas!$C$3:$C$563,Input_Konektivitas!$A$3:$A$563,$A29,Input_Konektivitas!$B$3:$B$563,N$3)+SUMIFS(Input_Konektivitas!$C$3:$C$563,Input_Konektivitas!$A$3:$A$563,N$3,Input_Konektivitas!$B$3:$B$563,$A29))</f>
        <v>2</v>
      </c>
      <c r="O29" s="29">
        <f>IF((COUNTIFS(Input_Konektivitas!$A$3:$A$563,$A29,Input_Konektivitas!$B$3:$B$563,O$3,Input_Konektivitas!$D$3:$D$563,"&gt;0")+COUNTIFS(Input_Konektivitas!$A$3:$A$563,O$3,Input_Konektivitas!$B$3:$B$563,$A29,Input_Konektivitas!$D$3:$D$563,"&gt;0"))=0,"",SUMIFS(Input_Konektivitas!$C$3:$C$563,Input_Konektivitas!$A$3:$A$563,$A29,Input_Konektivitas!$B$3:$B$563,O$3)+SUMIFS(Input_Konektivitas!$C$3:$C$563,Input_Konektivitas!$A$3:$A$563,O$3,Input_Konektivitas!$B$3:$B$563,$A29))</f>
        <v>1</v>
      </c>
      <c r="P29" s="29">
        <f>IF((COUNTIFS(Input_Konektivitas!$A$3:$A$563,$A29,Input_Konektivitas!$B$3:$B$563,P$3,Input_Konektivitas!$D$3:$D$563,"&gt;0")+COUNTIFS(Input_Konektivitas!$A$3:$A$563,P$3,Input_Konektivitas!$B$3:$B$563,$A29,Input_Konektivitas!$D$3:$D$563,"&gt;0"))=0,"",SUMIFS(Input_Konektivitas!$C$3:$C$563,Input_Konektivitas!$A$3:$A$563,$A29,Input_Konektivitas!$B$3:$B$563,P$3)+SUMIFS(Input_Konektivitas!$C$3:$C$563,Input_Konektivitas!$A$3:$A$563,P$3,Input_Konektivitas!$B$3:$B$563,$A29))</f>
        <v>1</v>
      </c>
      <c r="Q29" s="29" t="str">
        <f>IF((COUNTIFS(Input_Konektivitas!$A$3:$A$563,$A29,Input_Konektivitas!$B$3:$B$563,Q$3,Input_Konektivitas!$D$3:$D$563,"&gt;0")+COUNTIFS(Input_Konektivitas!$A$3:$A$563,Q$3,Input_Konektivitas!$B$3:$B$563,$A29,Input_Konektivitas!$D$3:$D$563,"&gt;0"))=0,"",SUMIFS(Input_Konektivitas!$C$3:$C$563,Input_Konektivitas!$A$3:$A$563,$A29,Input_Konektivitas!$B$3:$B$563,Q$3)+SUMIFS(Input_Konektivitas!$C$3:$C$563,Input_Konektivitas!$A$3:$A$563,Q$3,Input_Konektivitas!$B$3:$B$563,$A29))</f>
        <v/>
      </c>
      <c r="R29" s="29">
        <f>IF((COUNTIFS(Input_Konektivitas!$A$3:$A$563,$A29,Input_Konektivitas!$B$3:$B$563,R$3,Input_Konektivitas!$D$3:$D$563,"&gt;0")+COUNTIFS(Input_Konektivitas!$A$3:$A$563,R$3,Input_Konektivitas!$B$3:$B$563,$A29,Input_Konektivitas!$D$3:$D$563,"&gt;0"))=0,"",SUMIFS(Input_Konektivitas!$C$3:$C$563,Input_Konektivitas!$A$3:$A$563,$A29,Input_Konektivitas!$B$3:$B$563,R$3)+SUMIFS(Input_Konektivitas!$C$3:$C$563,Input_Konektivitas!$A$3:$A$563,R$3,Input_Konektivitas!$B$3:$B$563,$A29))</f>
        <v>1</v>
      </c>
      <c r="S29" s="29">
        <f>IF((COUNTIFS(Input_Konektivitas!$A$3:$A$563,$A29,Input_Konektivitas!$B$3:$B$563,S$3,Input_Konektivitas!$D$3:$D$563,"&gt;0")+COUNTIFS(Input_Konektivitas!$A$3:$A$563,S$3,Input_Konektivitas!$B$3:$B$563,$A29,Input_Konektivitas!$D$3:$D$563,"&gt;0"))=0,"",SUMIFS(Input_Konektivitas!$C$3:$C$563,Input_Konektivitas!$A$3:$A$563,$A29,Input_Konektivitas!$B$3:$B$563,S$3)+SUMIFS(Input_Konektivitas!$C$3:$C$563,Input_Konektivitas!$A$3:$A$563,S$3,Input_Konektivitas!$B$3:$B$563,$A29))</f>
        <v>2</v>
      </c>
      <c r="T29" s="29">
        <f>IF((COUNTIFS(Input_Konektivitas!$A$3:$A$563,$A29,Input_Konektivitas!$B$3:$B$563,T$3,Input_Konektivitas!$D$3:$D$563,"&gt;0")+COUNTIFS(Input_Konektivitas!$A$3:$A$563,T$3,Input_Konektivitas!$B$3:$B$563,$A29,Input_Konektivitas!$D$3:$D$563,"&gt;0"))=0,"",SUMIFS(Input_Konektivitas!$C$3:$C$563,Input_Konektivitas!$A$3:$A$563,$A29,Input_Konektivitas!$B$3:$B$563,T$3)+SUMIFS(Input_Konektivitas!$C$3:$C$563,Input_Konektivitas!$A$3:$A$563,T$3,Input_Konektivitas!$B$3:$B$563,$A29))</f>
        <v>2</v>
      </c>
      <c r="U29" s="29">
        <f>IF((COUNTIFS(Input_Konektivitas!$A$3:$A$563,$A29,Input_Konektivitas!$B$3:$B$563,U$3,Input_Konektivitas!$D$3:$D$563,"&gt;0")+COUNTIFS(Input_Konektivitas!$A$3:$A$563,U$3,Input_Konektivitas!$B$3:$B$563,$A29,Input_Konektivitas!$D$3:$D$563,"&gt;0"))=0,"",SUMIFS(Input_Konektivitas!$C$3:$C$563,Input_Konektivitas!$A$3:$A$563,$A29,Input_Konektivitas!$B$3:$B$563,U$3)+SUMIFS(Input_Konektivitas!$C$3:$C$563,Input_Konektivitas!$A$3:$A$563,U$3,Input_Konektivitas!$B$3:$B$563,$A29))</f>
        <v>2</v>
      </c>
      <c r="V29" s="29">
        <f>IF((COUNTIFS(Input_Konektivitas!$A$3:$A$563,$A29,Input_Konektivitas!$B$3:$B$563,V$3,Input_Konektivitas!$D$3:$D$563,"&gt;0")+COUNTIFS(Input_Konektivitas!$A$3:$A$563,V$3,Input_Konektivitas!$B$3:$B$563,$A29,Input_Konektivitas!$D$3:$D$563,"&gt;0"))=0,"",SUMIFS(Input_Konektivitas!$C$3:$C$563,Input_Konektivitas!$A$3:$A$563,$A29,Input_Konektivitas!$B$3:$B$563,V$3)+SUMIFS(Input_Konektivitas!$C$3:$C$563,Input_Konektivitas!$A$3:$A$563,V$3,Input_Konektivitas!$B$3:$B$563,$A29))</f>
        <v>2</v>
      </c>
      <c r="W29" s="29">
        <f>IF((COUNTIFS(Input_Konektivitas!$A$3:$A$563,$A29,Input_Konektivitas!$B$3:$B$563,W$3,Input_Konektivitas!$D$3:$D$563,"&gt;0")+COUNTIFS(Input_Konektivitas!$A$3:$A$563,W$3,Input_Konektivitas!$B$3:$B$563,$A29,Input_Konektivitas!$D$3:$D$563,"&gt;0"))=0,"",SUMIFS(Input_Konektivitas!$C$3:$C$563,Input_Konektivitas!$A$3:$A$563,$A29,Input_Konektivitas!$B$3:$B$563,W$3)+SUMIFS(Input_Konektivitas!$C$3:$C$563,Input_Konektivitas!$A$3:$A$563,W$3,Input_Konektivitas!$B$3:$B$563,$A29))</f>
        <v>2</v>
      </c>
      <c r="X29" s="29">
        <f>IF((COUNTIFS(Input_Konektivitas!$A$3:$A$563,$A29,Input_Konektivitas!$B$3:$B$563,X$3,Input_Konektivitas!$D$3:$D$563,"&gt;0")+COUNTIFS(Input_Konektivitas!$A$3:$A$563,X$3,Input_Konektivitas!$B$3:$B$563,$A29,Input_Konektivitas!$D$3:$D$563,"&gt;0"))=0,"",SUMIFS(Input_Konektivitas!$C$3:$C$563,Input_Konektivitas!$A$3:$A$563,$A29,Input_Konektivitas!$B$3:$B$563,X$3)+SUMIFS(Input_Konektivitas!$C$3:$C$563,Input_Konektivitas!$A$3:$A$563,X$3,Input_Konektivitas!$B$3:$B$563,$A29))</f>
        <v>1</v>
      </c>
      <c r="Y29" s="29">
        <f>IF((COUNTIFS(Input_Konektivitas!$A$3:$A$563,$A29,Input_Konektivitas!$B$3:$B$563,Y$3,Input_Konektivitas!$D$3:$D$563,"&gt;0")+COUNTIFS(Input_Konektivitas!$A$3:$A$563,Y$3,Input_Konektivitas!$B$3:$B$563,$A29,Input_Konektivitas!$D$3:$D$563,"&gt;0"))=0,"",SUMIFS(Input_Konektivitas!$C$3:$C$563,Input_Konektivitas!$A$3:$A$563,$A29,Input_Konektivitas!$B$3:$B$563,Y$3)+SUMIFS(Input_Konektivitas!$C$3:$C$563,Input_Konektivitas!$A$3:$A$563,Y$3,Input_Konektivitas!$B$3:$B$563,$A29))</f>
        <v>2</v>
      </c>
      <c r="Z29" s="29">
        <f>IF((COUNTIFS(Input_Konektivitas!$A$3:$A$563,$A29,Input_Konektivitas!$B$3:$B$563,Z$3,Input_Konektivitas!$D$3:$D$563,"&gt;0")+COUNTIFS(Input_Konektivitas!$A$3:$A$563,Z$3,Input_Konektivitas!$B$3:$B$563,$A29,Input_Konektivitas!$D$3:$D$563,"&gt;0"))=0,"",SUMIFS(Input_Konektivitas!$C$3:$C$563,Input_Konektivitas!$A$3:$A$563,$A29,Input_Konektivitas!$B$3:$B$563,Z$3)+SUMIFS(Input_Konektivitas!$C$3:$C$563,Input_Konektivitas!$A$3:$A$563,Z$3,Input_Konektivitas!$B$3:$B$563,$A29))</f>
        <v>1</v>
      </c>
      <c r="AA29" s="26">
        <v>0.0</v>
      </c>
      <c r="AB29" s="29">
        <f>IF((COUNTIFS(Input_Konektivitas!$A$3:$A$563,$A29,Input_Konektivitas!$B$3:$B$563,AB$3,Input_Konektivitas!$D$3:$D$563,"&gt;0")+COUNTIFS(Input_Konektivitas!$A$3:$A$563,AB$3,Input_Konektivitas!$B$3:$B$563,$A29,Input_Konektivitas!$D$3:$D$563,"&gt;0"))=0,"",SUMIFS(Input_Konektivitas!$C$3:$C$563,Input_Konektivitas!$A$3:$A$563,$A29,Input_Konektivitas!$B$3:$B$563,AB$3)+SUMIFS(Input_Konektivitas!$C$3:$C$563,Input_Konektivitas!$A$3:$A$563,AB$3,Input_Konektivitas!$B$3:$B$563,$A29))</f>
        <v>0</v>
      </c>
      <c r="AC29" s="29">
        <f>IF((COUNTIFS(Input_Konektivitas!$A$3:$A$563,$A29,Input_Konektivitas!$B$3:$B$563,AC$3,Input_Konektivitas!$D$3:$D$563,"&gt;0")+COUNTIFS(Input_Konektivitas!$A$3:$A$563,AC$3,Input_Konektivitas!$B$3:$B$563,$A29,Input_Konektivitas!$D$3:$D$563,"&gt;0"))=0,"",SUMIFS(Input_Konektivitas!$C$3:$C$563,Input_Konektivitas!$A$3:$A$563,$A29,Input_Konektivitas!$B$3:$B$563,AC$3)+SUMIFS(Input_Konektivitas!$C$3:$C$563,Input_Konektivitas!$A$3:$A$563,AC$3,Input_Konektivitas!$B$3:$B$563,$A29))</f>
        <v>1</v>
      </c>
      <c r="AD29" s="29">
        <f>IF((COUNTIFS(Input_Konektivitas!$A$3:$A$563,$A29,Input_Konektivitas!$B$3:$B$563,AD$3,Input_Konektivitas!$D$3:$D$563,"&gt;0")+COUNTIFS(Input_Konektivitas!$A$3:$A$563,AD$3,Input_Konektivitas!$B$3:$B$563,$A29,Input_Konektivitas!$D$3:$D$563,"&gt;0"))=0,"",SUMIFS(Input_Konektivitas!$C$3:$C$563,Input_Konektivitas!$A$3:$A$563,$A29,Input_Konektivitas!$B$3:$B$563,AD$3)+SUMIFS(Input_Konektivitas!$C$3:$C$563,Input_Konektivitas!$A$3:$A$563,AD$3,Input_Konektivitas!$B$3:$B$563,$A29))</f>
        <v>1</v>
      </c>
      <c r="AE29" s="29">
        <f>IF((COUNTIFS(Input_Konektivitas!$A$3:$A$563,$A29,Input_Konektivitas!$B$3:$B$563,AE$3,Input_Konektivitas!$D$3:$D$563,"&gt;0")+COUNTIFS(Input_Konektivitas!$A$3:$A$563,AE$3,Input_Konektivitas!$B$3:$B$563,$A29,Input_Konektivitas!$D$3:$D$563,"&gt;0"))=0,"",SUMIFS(Input_Konektivitas!$C$3:$C$563,Input_Konektivitas!$A$3:$A$563,$A29,Input_Konektivitas!$B$3:$B$563,AE$3)+SUMIFS(Input_Konektivitas!$C$3:$C$563,Input_Konektivitas!$A$3:$A$563,AE$3,Input_Konektivitas!$B$3:$B$563,$A29))</f>
        <v>1</v>
      </c>
      <c r="AF29" s="29">
        <f>IF((COUNTIFS(Input_Konektivitas!$A$3:$A$563,$A29,Input_Konektivitas!$B$3:$B$563,AF$3,Input_Konektivitas!$D$3:$D$563,"&gt;0")+COUNTIFS(Input_Konektivitas!$A$3:$A$563,AF$3,Input_Konektivitas!$B$3:$B$563,$A29,Input_Konektivitas!$D$3:$D$563,"&gt;0"))=0,"",SUMIFS(Input_Konektivitas!$C$3:$C$563,Input_Konektivitas!$A$3:$A$563,$A29,Input_Konektivitas!$B$3:$B$563,AF$3)+SUMIFS(Input_Konektivitas!$C$3:$C$563,Input_Konektivitas!$A$3:$A$563,AF$3,Input_Konektivitas!$B$3:$B$563,$A29))</f>
        <v>3</v>
      </c>
      <c r="AG29" s="29">
        <f>IF((COUNTIFS(Input_Konektivitas!$A$3:$A$563,$A29,Input_Konektivitas!$B$3:$B$563,AG$3,Input_Konektivitas!$D$3:$D$563,"&gt;0")+COUNTIFS(Input_Konektivitas!$A$3:$A$563,AG$3,Input_Konektivitas!$B$3:$B$563,$A29,Input_Konektivitas!$D$3:$D$563,"&gt;0"))=0,"",SUMIFS(Input_Konektivitas!$C$3:$C$563,Input_Konektivitas!$A$3:$A$563,$A29,Input_Konektivitas!$B$3:$B$563,AG$3)+SUMIFS(Input_Konektivitas!$C$3:$C$563,Input_Konektivitas!$A$3:$A$563,AG$3,Input_Konektivitas!$B$3:$B$563,$A29))</f>
        <v>1</v>
      </c>
      <c r="AH29" s="29">
        <f>IF((COUNTIFS(Input_Konektivitas!$A$3:$A$563,$A29,Input_Konektivitas!$B$3:$B$563,AH$3,Input_Konektivitas!$D$3:$D$563,"&gt;0")+COUNTIFS(Input_Konektivitas!$A$3:$A$563,AH$3,Input_Konektivitas!$B$3:$B$563,$A29,Input_Konektivitas!$D$3:$D$563,"&gt;0"))=0,"",SUMIFS(Input_Konektivitas!$C$3:$C$563,Input_Konektivitas!$A$3:$A$563,$A29,Input_Konektivitas!$B$3:$B$563,AH$3)+SUMIFS(Input_Konektivitas!$C$3:$C$563,Input_Konektivitas!$A$3:$A$563,AH$3,Input_Konektivitas!$B$3:$B$563,$A29))</f>
        <v>1</v>
      </c>
      <c r="AI29" s="29">
        <f>IF((COUNTIFS(Input_Konektivitas!$A$3:$A$563,$A29,Input_Konektivitas!$B$3:$B$563,AI$3,Input_Konektivitas!$D$3:$D$563,"&gt;0")+COUNTIFS(Input_Konektivitas!$A$3:$A$563,AI$3,Input_Konektivitas!$B$3:$B$563,$A29,Input_Konektivitas!$D$3:$D$563,"&gt;0"))=0,"",SUMIFS(Input_Konektivitas!$C$3:$C$563,Input_Konektivitas!$A$3:$A$563,$A29,Input_Konektivitas!$B$3:$B$563,AI$3)+SUMIFS(Input_Konektivitas!$C$3:$C$563,Input_Konektivitas!$A$3:$A$563,AI$3,Input_Konektivitas!$B$3:$B$563,$A29))</f>
        <v>1</v>
      </c>
    </row>
    <row r="30" ht="14.25" customHeight="1">
      <c r="A30" s="22" t="s">
        <v>81</v>
      </c>
      <c r="B30" s="29">
        <f>IF((COUNTIFS(Input_Konektivitas!$A$3:$A$563,$A30,Input_Konektivitas!$B$3:$B$563,B$3,Input_Konektivitas!$D$3:$D$563,"&gt;0")+COUNTIFS(Input_Konektivitas!$A$3:$A$563,B$3,Input_Konektivitas!$B$3:$B$563,$A30,Input_Konektivitas!$D$3:$D$563,"&gt;0"))=0,"",SUMIFS(Input_Konektivitas!$C$3:$C$563,Input_Konektivitas!$A$3:$A$563,$A30,Input_Konektivitas!$B$3:$B$563,B$3)+SUMIFS(Input_Konektivitas!$C$3:$C$563,Input_Konektivitas!$A$3:$A$563,B$3,Input_Konektivitas!$B$3:$B$563,$A30))</f>
        <v>1</v>
      </c>
      <c r="C30" s="29">
        <f>IF((COUNTIFS(Input_Konektivitas!$A$3:$A$563,$A30,Input_Konektivitas!$B$3:$B$563,C$3,Input_Konektivitas!$D$3:$D$563,"&gt;0")+COUNTIFS(Input_Konektivitas!$A$3:$A$563,C$3,Input_Konektivitas!$B$3:$B$563,$A30,Input_Konektivitas!$D$3:$D$563,"&gt;0"))=0,"",SUMIFS(Input_Konektivitas!$C$3:$C$563,Input_Konektivitas!$A$3:$A$563,$A30,Input_Konektivitas!$B$3:$B$563,C$3)+SUMIFS(Input_Konektivitas!$C$3:$C$563,Input_Konektivitas!$A$3:$A$563,C$3,Input_Konektivitas!$B$3:$B$563,$A30))</f>
        <v>1</v>
      </c>
      <c r="D30" s="29">
        <f>IF((COUNTIFS(Input_Konektivitas!$A$3:$A$563,$A30,Input_Konektivitas!$B$3:$B$563,D$3,Input_Konektivitas!$D$3:$D$563,"&gt;0")+COUNTIFS(Input_Konektivitas!$A$3:$A$563,D$3,Input_Konektivitas!$B$3:$B$563,$A30,Input_Konektivitas!$D$3:$D$563,"&gt;0"))=0,"",SUMIFS(Input_Konektivitas!$C$3:$C$563,Input_Konektivitas!$A$3:$A$563,$A30,Input_Konektivitas!$B$3:$B$563,D$3)+SUMIFS(Input_Konektivitas!$C$3:$C$563,Input_Konektivitas!$A$3:$A$563,D$3,Input_Konektivitas!$B$3:$B$563,$A30))</f>
        <v>1</v>
      </c>
      <c r="E30" s="29">
        <f>IF((COUNTIFS(Input_Konektivitas!$A$3:$A$563,$A30,Input_Konektivitas!$B$3:$B$563,E$3,Input_Konektivitas!$D$3:$D$563,"&gt;0")+COUNTIFS(Input_Konektivitas!$A$3:$A$563,E$3,Input_Konektivitas!$B$3:$B$563,$A30,Input_Konektivitas!$D$3:$D$563,"&gt;0"))=0,"",SUMIFS(Input_Konektivitas!$C$3:$C$563,Input_Konektivitas!$A$3:$A$563,$A30,Input_Konektivitas!$B$3:$B$563,E$3)+SUMIFS(Input_Konektivitas!$C$3:$C$563,Input_Konektivitas!$A$3:$A$563,E$3,Input_Konektivitas!$B$3:$B$563,$A30))</f>
        <v>1</v>
      </c>
      <c r="F30" s="29">
        <f>IF((COUNTIFS(Input_Konektivitas!$A$3:$A$563,$A30,Input_Konektivitas!$B$3:$B$563,F$3,Input_Konektivitas!$D$3:$D$563,"&gt;0")+COUNTIFS(Input_Konektivitas!$A$3:$A$563,F$3,Input_Konektivitas!$B$3:$B$563,$A30,Input_Konektivitas!$D$3:$D$563,"&gt;0"))=0,"",SUMIFS(Input_Konektivitas!$C$3:$C$563,Input_Konektivitas!$A$3:$A$563,$A30,Input_Konektivitas!$B$3:$B$563,F$3)+SUMIFS(Input_Konektivitas!$C$3:$C$563,Input_Konektivitas!$A$3:$A$563,F$3,Input_Konektivitas!$B$3:$B$563,$A30))</f>
        <v>1</v>
      </c>
      <c r="G30" s="29">
        <f>IF((COUNTIFS(Input_Konektivitas!$A$3:$A$563,$A30,Input_Konektivitas!$B$3:$B$563,G$3,Input_Konektivitas!$D$3:$D$563,"&gt;0")+COUNTIFS(Input_Konektivitas!$A$3:$A$563,G$3,Input_Konektivitas!$B$3:$B$563,$A30,Input_Konektivitas!$D$3:$D$563,"&gt;0"))=0,"",SUMIFS(Input_Konektivitas!$C$3:$C$563,Input_Konektivitas!$A$3:$A$563,$A30,Input_Konektivitas!$B$3:$B$563,G$3)+SUMIFS(Input_Konektivitas!$C$3:$C$563,Input_Konektivitas!$A$3:$A$563,G$3,Input_Konektivitas!$B$3:$B$563,$A30))</f>
        <v>1</v>
      </c>
      <c r="H30" s="29">
        <f>IF((COUNTIFS(Input_Konektivitas!$A$3:$A$563,$A30,Input_Konektivitas!$B$3:$B$563,H$3,Input_Konektivitas!$D$3:$D$563,"&gt;0")+COUNTIFS(Input_Konektivitas!$A$3:$A$563,H$3,Input_Konektivitas!$B$3:$B$563,$A30,Input_Konektivitas!$D$3:$D$563,"&gt;0"))=0,"",SUMIFS(Input_Konektivitas!$C$3:$C$563,Input_Konektivitas!$A$3:$A$563,$A30,Input_Konektivitas!$B$3:$B$563,H$3)+SUMIFS(Input_Konektivitas!$C$3:$C$563,Input_Konektivitas!$A$3:$A$563,H$3,Input_Konektivitas!$B$3:$B$563,$A30))</f>
        <v>1</v>
      </c>
      <c r="I30" s="29">
        <f>IF((COUNTIFS(Input_Konektivitas!$A$3:$A$563,$A30,Input_Konektivitas!$B$3:$B$563,I$3,Input_Konektivitas!$D$3:$D$563,"&gt;0")+COUNTIFS(Input_Konektivitas!$A$3:$A$563,I$3,Input_Konektivitas!$B$3:$B$563,$A30,Input_Konektivitas!$D$3:$D$563,"&gt;0"))=0,"",SUMIFS(Input_Konektivitas!$C$3:$C$563,Input_Konektivitas!$A$3:$A$563,$A30,Input_Konektivitas!$B$3:$B$563,I$3)+SUMIFS(Input_Konektivitas!$C$3:$C$563,Input_Konektivitas!$A$3:$A$563,I$3,Input_Konektivitas!$B$3:$B$563,$A30))</f>
        <v>1</v>
      </c>
      <c r="J30" s="29">
        <f>IF((COUNTIFS(Input_Konektivitas!$A$3:$A$563,$A30,Input_Konektivitas!$B$3:$B$563,J$3,Input_Konektivitas!$D$3:$D$563,"&gt;0")+COUNTIFS(Input_Konektivitas!$A$3:$A$563,J$3,Input_Konektivitas!$B$3:$B$563,$A30,Input_Konektivitas!$D$3:$D$563,"&gt;0"))=0,"",SUMIFS(Input_Konektivitas!$C$3:$C$563,Input_Konektivitas!$A$3:$A$563,$A30,Input_Konektivitas!$B$3:$B$563,J$3)+SUMIFS(Input_Konektivitas!$C$3:$C$563,Input_Konektivitas!$A$3:$A$563,J$3,Input_Konektivitas!$B$3:$B$563,$A30))</f>
        <v>1</v>
      </c>
      <c r="K30" s="29">
        <f>IF((COUNTIFS(Input_Konektivitas!$A$3:$A$563,$A30,Input_Konektivitas!$B$3:$B$563,K$3,Input_Konektivitas!$D$3:$D$563,"&gt;0")+COUNTIFS(Input_Konektivitas!$A$3:$A$563,K$3,Input_Konektivitas!$B$3:$B$563,$A30,Input_Konektivitas!$D$3:$D$563,"&gt;0"))=0,"",SUMIFS(Input_Konektivitas!$C$3:$C$563,Input_Konektivitas!$A$3:$A$563,$A30,Input_Konektivitas!$B$3:$B$563,K$3)+SUMIFS(Input_Konektivitas!$C$3:$C$563,Input_Konektivitas!$A$3:$A$563,K$3,Input_Konektivitas!$B$3:$B$563,$A30))</f>
        <v>1</v>
      </c>
      <c r="L30" s="29">
        <f>IF((COUNTIFS(Input_Konektivitas!$A$3:$A$563,$A30,Input_Konektivitas!$B$3:$B$563,L$3,Input_Konektivitas!$D$3:$D$563,"&gt;0")+COUNTIFS(Input_Konektivitas!$A$3:$A$563,L$3,Input_Konektivitas!$B$3:$B$563,$A30,Input_Konektivitas!$D$3:$D$563,"&gt;0"))=0,"",SUMIFS(Input_Konektivitas!$C$3:$C$563,Input_Konektivitas!$A$3:$A$563,$A30,Input_Konektivitas!$B$3:$B$563,L$3)+SUMIFS(Input_Konektivitas!$C$3:$C$563,Input_Konektivitas!$A$3:$A$563,L$3,Input_Konektivitas!$B$3:$B$563,$A30))</f>
        <v>0</v>
      </c>
      <c r="M30" s="29">
        <f>IF((COUNTIFS(Input_Konektivitas!$A$3:$A$563,$A30,Input_Konektivitas!$B$3:$B$563,M$3,Input_Konektivitas!$D$3:$D$563,"&gt;0")+COUNTIFS(Input_Konektivitas!$A$3:$A$563,M$3,Input_Konektivitas!$B$3:$B$563,$A30,Input_Konektivitas!$D$3:$D$563,"&gt;0"))=0,"",SUMIFS(Input_Konektivitas!$C$3:$C$563,Input_Konektivitas!$A$3:$A$563,$A30,Input_Konektivitas!$B$3:$B$563,M$3)+SUMIFS(Input_Konektivitas!$C$3:$C$563,Input_Konektivitas!$A$3:$A$563,M$3,Input_Konektivitas!$B$3:$B$563,$A30))</f>
        <v>1</v>
      </c>
      <c r="N30" s="29">
        <f>IF((COUNTIFS(Input_Konektivitas!$A$3:$A$563,$A30,Input_Konektivitas!$B$3:$B$563,N$3,Input_Konektivitas!$D$3:$D$563,"&gt;0")+COUNTIFS(Input_Konektivitas!$A$3:$A$563,N$3,Input_Konektivitas!$B$3:$B$563,$A30,Input_Konektivitas!$D$3:$D$563,"&gt;0"))=0,"",SUMIFS(Input_Konektivitas!$C$3:$C$563,Input_Konektivitas!$A$3:$A$563,$A30,Input_Konektivitas!$B$3:$B$563,N$3)+SUMIFS(Input_Konektivitas!$C$3:$C$563,Input_Konektivitas!$A$3:$A$563,N$3,Input_Konektivitas!$B$3:$B$563,$A30))</f>
        <v>0</v>
      </c>
      <c r="O30" s="29">
        <f>IF((COUNTIFS(Input_Konektivitas!$A$3:$A$563,$A30,Input_Konektivitas!$B$3:$B$563,O$3,Input_Konektivitas!$D$3:$D$563,"&gt;0")+COUNTIFS(Input_Konektivitas!$A$3:$A$563,O$3,Input_Konektivitas!$B$3:$B$563,$A30,Input_Konektivitas!$D$3:$D$563,"&gt;0"))=0,"",SUMIFS(Input_Konektivitas!$C$3:$C$563,Input_Konektivitas!$A$3:$A$563,$A30,Input_Konektivitas!$B$3:$B$563,O$3)+SUMIFS(Input_Konektivitas!$C$3:$C$563,Input_Konektivitas!$A$3:$A$563,O$3,Input_Konektivitas!$B$3:$B$563,$A30))</f>
        <v>0</v>
      </c>
      <c r="P30" s="29">
        <f>IF((COUNTIFS(Input_Konektivitas!$A$3:$A$563,$A30,Input_Konektivitas!$B$3:$B$563,P$3,Input_Konektivitas!$D$3:$D$563,"&gt;0")+COUNTIFS(Input_Konektivitas!$A$3:$A$563,P$3,Input_Konektivitas!$B$3:$B$563,$A30,Input_Konektivitas!$D$3:$D$563,"&gt;0"))=0,"",SUMIFS(Input_Konektivitas!$C$3:$C$563,Input_Konektivitas!$A$3:$A$563,$A30,Input_Konektivitas!$B$3:$B$563,P$3)+SUMIFS(Input_Konektivitas!$C$3:$C$563,Input_Konektivitas!$A$3:$A$563,P$3,Input_Konektivitas!$B$3:$B$563,$A30))</f>
        <v>0</v>
      </c>
      <c r="Q30" s="29" t="str">
        <f>IF((COUNTIFS(Input_Konektivitas!$A$3:$A$563,$A30,Input_Konektivitas!$B$3:$B$563,Q$3,Input_Konektivitas!$D$3:$D$563,"&gt;0")+COUNTIFS(Input_Konektivitas!$A$3:$A$563,Q$3,Input_Konektivitas!$B$3:$B$563,$A30,Input_Konektivitas!$D$3:$D$563,"&gt;0"))=0,"",SUMIFS(Input_Konektivitas!$C$3:$C$563,Input_Konektivitas!$A$3:$A$563,$A30,Input_Konektivitas!$B$3:$B$563,Q$3)+SUMIFS(Input_Konektivitas!$C$3:$C$563,Input_Konektivitas!$A$3:$A$563,Q$3,Input_Konektivitas!$B$3:$B$563,$A30))</f>
        <v/>
      </c>
      <c r="R30" s="29">
        <f>IF((COUNTIFS(Input_Konektivitas!$A$3:$A$563,$A30,Input_Konektivitas!$B$3:$B$563,R$3,Input_Konektivitas!$D$3:$D$563,"&gt;0")+COUNTIFS(Input_Konektivitas!$A$3:$A$563,R$3,Input_Konektivitas!$B$3:$B$563,$A30,Input_Konektivitas!$D$3:$D$563,"&gt;0"))=0,"",SUMIFS(Input_Konektivitas!$C$3:$C$563,Input_Konektivitas!$A$3:$A$563,$A30,Input_Konektivitas!$B$3:$B$563,R$3)+SUMIFS(Input_Konektivitas!$C$3:$C$563,Input_Konektivitas!$A$3:$A$563,R$3,Input_Konektivitas!$B$3:$B$563,$A30))</f>
        <v>0</v>
      </c>
      <c r="S30" s="29">
        <f>IF((COUNTIFS(Input_Konektivitas!$A$3:$A$563,$A30,Input_Konektivitas!$B$3:$B$563,S$3,Input_Konektivitas!$D$3:$D$563,"&gt;0")+COUNTIFS(Input_Konektivitas!$A$3:$A$563,S$3,Input_Konektivitas!$B$3:$B$563,$A30,Input_Konektivitas!$D$3:$D$563,"&gt;0"))=0,"",SUMIFS(Input_Konektivitas!$C$3:$C$563,Input_Konektivitas!$A$3:$A$563,$A30,Input_Konektivitas!$B$3:$B$563,S$3)+SUMIFS(Input_Konektivitas!$C$3:$C$563,Input_Konektivitas!$A$3:$A$563,S$3,Input_Konektivitas!$B$3:$B$563,$A30))</f>
        <v>0</v>
      </c>
      <c r="T30" s="29">
        <f>IF((COUNTIFS(Input_Konektivitas!$A$3:$A$563,$A30,Input_Konektivitas!$B$3:$B$563,T$3,Input_Konektivitas!$D$3:$D$563,"&gt;0")+COUNTIFS(Input_Konektivitas!$A$3:$A$563,T$3,Input_Konektivitas!$B$3:$B$563,$A30,Input_Konektivitas!$D$3:$D$563,"&gt;0"))=0,"",SUMIFS(Input_Konektivitas!$C$3:$C$563,Input_Konektivitas!$A$3:$A$563,$A30,Input_Konektivitas!$B$3:$B$563,T$3)+SUMIFS(Input_Konektivitas!$C$3:$C$563,Input_Konektivitas!$A$3:$A$563,T$3,Input_Konektivitas!$B$3:$B$563,$A30))</f>
        <v>0</v>
      </c>
      <c r="U30" s="29">
        <f>IF((COUNTIFS(Input_Konektivitas!$A$3:$A$563,$A30,Input_Konektivitas!$B$3:$B$563,U$3,Input_Konektivitas!$D$3:$D$563,"&gt;0")+COUNTIFS(Input_Konektivitas!$A$3:$A$563,U$3,Input_Konektivitas!$B$3:$B$563,$A30,Input_Konektivitas!$D$3:$D$563,"&gt;0"))=0,"",SUMIFS(Input_Konektivitas!$C$3:$C$563,Input_Konektivitas!$A$3:$A$563,$A30,Input_Konektivitas!$B$3:$B$563,U$3)+SUMIFS(Input_Konektivitas!$C$3:$C$563,Input_Konektivitas!$A$3:$A$563,U$3,Input_Konektivitas!$B$3:$B$563,$A30))</f>
        <v>1</v>
      </c>
      <c r="V30" s="29">
        <f>IF((COUNTIFS(Input_Konektivitas!$A$3:$A$563,$A30,Input_Konektivitas!$B$3:$B$563,V$3,Input_Konektivitas!$D$3:$D$563,"&gt;0")+COUNTIFS(Input_Konektivitas!$A$3:$A$563,V$3,Input_Konektivitas!$B$3:$B$563,$A30,Input_Konektivitas!$D$3:$D$563,"&gt;0"))=0,"",SUMIFS(Input_Konektivitas!$C$3:$C$563,Input_Konektivitas!$A$3:$A$563,$A30,Input_Konektivitas!$B$3:$B$563,V$3)+SUMIFS(Input_Konektivitas!$C$3:$C$563,Input_Konektivitas!$A$3:$A$563,V$3,Input_Konektivitas!$B$3:$B$563,$A30))</f>
        <v>1</v>
      </c>
      <c r="W30" s="29">
        <f>IF((COUNTIFS(Input_Konektivitas!$A$3:$A$563,$A30,Input_Konektivitas!$B$3:$B$563,W$3,Input_Konektivitas!$D$3:$D$563,"&gt;0")+COUNTIFS(Input_Konektivitas!$A$3:$A$563,W$3,Input_Konektivitas!$B$3:$B$563,$A30,Input_Konektivitas!$D$3:$D$563,"&gt;0"))=0,"",SUMIFS(Input_Konektivitas!$C$3:$C$563,Input_Konektivitas!$A$3:$A$563,$A30,Input_Konektivitas!$B$3:$B$563,W$3)+SUMIFS(Input_Konektivitas!$C$3:$C$563,Input_Konektivitas!$A$3:$A$563,W$3,Input_Konektivitas!$B$3:$B$563,$A30))</f>
        <v>0</v>
      </c>
      <c r="X30" s="29">
        <f>IF((COUNTIFS(Input_Konektivitas!$A$3:$A$563,$A30,Input_Konektivitas!$B$3:$B$563,X$3,Input_Konektivitas!$D$3:$D$563,"&gt;0")+COUNTIFS(Input_Konektivitas!$A$3:$A$563,X$3,Input_Konektivitas!$B$3:$B$563,$A30,Input_Konektivitas!$D$3:$D$563,"&gt;0"))=0,"",SUMIFS(Input_Konektivitas!$C$3:$C$563,Input_Konektivitas!$A$3:$A$563,$A30,Input_Konektivitas!$B$3:$B$563,X$3)+SUMIFS(Input_Konektivitas!$C$3:$C$563,Input_Konektivitas!$A$3:$A$563,X$3,Input_Konektivitas!$B$3:$B$563,$A30))</f>
        <v>0</v>
      </c>
      <c r="Y30" s="29">
        <f>IF((COUNTIFS(Input_Konektivitas!$A$3:$A$563,$A30,Input_Konektivitas!$B$3:$B$563,Y$3,Input_Konektivitas!$D$3:$D$563,"&gt;0")+COUNTIFS(Input_Konektivitas!$A$3:$A$563,Y$3,Input_Konektivitas!$B$3:$B$563,$A30,Input_Konektivitas!$D$3:$D$563,"&gt;0"))=0,"",SUMIFS(Input_Konektivitas!$C$3:$C$563,Input_Konektivitas!$A$3:$A$563,$A30,Input_Konektivitas!$B$3:$B$563,Y$3)+SUMIFS(Input_Konektivitas!$C$3:$C$563,Input_Konektivitas!$A$3:$A$563,Y$3,Input_Konektivitas!$B$3:$B$563,$A30))</f>
        <v>1</v>
      </c>
      <c r="Z30" s="29">
        <f>IF((COUNTIFS(Input_Konektivitas!$A$3:$A$563,$A30,Input_Konektivitas!$B$3:$B$563,Z$3,Input_Konektivitas!$D$3:$D$563,"&gt;0")+COUNTIFS(Input_Konektivitas!$A$3:$A$563,Z$3,Input_Konektivitas!$B$3:$B$563,$A30,Input_Konektivitas!$D$3:$D$563,"&gt;0"))=0,"",SUMIFS(Input_Konektivitas!$C$3:$C$563,Input_Konektivitas!$A$3:$A$563,$A30,Input_Konektivitas!$B$3:$B$563,Z$3)+SUMIFS(Input_Konektivitas!$C$3:$C$563,Input_Konektivitas!$A$3:$A$563,Z$3,Input_Konektivitas!$B$3:$B$563,$A30))</f>
        <v>0</v>
      </c>
      <c r="AA30" s="29">
        <f>IF((COUNTIFS(Input_Konektivitas!$A$3:$A$563,$A30,Input_Konektivitas!$B$3:$B$563,AA$3,Input_Konektivitas!$D$3:$D$563,"&gt;0")+COUNTIFS(Input_Konektivitas!$A$3:$A$563,AA$3,Input_Konektivitas!$B$3:$B$563,$A30,Input_Konektivitas!$D$3:$D$563,"&gt;0"))=0,"",SUMIFS(Input_Konektivitas!$C$3:$C$563,Input_Konektivitas!$A$3:$A$563,$A30,Input_Konektivitas!$B$3:$B$563,AA$3)+SUMIFS(Input_Konektivitas!$C$3:$C$563,Input_Konektivitas!$A$3:$A$563,AA$3,Input_Konektivitas!$B$3:$B$563,$A30))</f>
        <v>0</v>
      </c>
      <c r="AB30" s="26">
        <v>0.0</v>
      </c>
      <c r="AC30" s="29">
        <f>IF((COUNTIFS(Input_Konektivitas!$A$3:$A$563,$A30,Input_Konektivitas!$B$3:$B$563,AC$3,Input_Konektivitas!$D$3:$D$563,"&gt;0")+COUNTIFS(Input_Konektivitas!$A$3:$A$563,AC$3,Input_Konektivitas!$B$3:$B$563,$A30,Input_Konektivitas!$D$3:$D$563,"&gt;0"))=0,"",SUMIFS(Input_Konektivitas!$C$3:$C$563,Input_Konektivitas!$A$3:$A$563,$A30,Input_Konektivitas!$B$3:$B$563,AC$3)+SUMIFS(Input_Konektivitas!$C$3:$C$563,Input_Konektivitas!$A$3:$A$563,AC$3,Input_Konektivitas!$B$3:$B$563,$A30))</f>
        <v>0</v>
      </c>
      <c r="AD30" s="29">
        <f>IF((COUNTIFS(Input_Konektivitas!$A$3:$A$563,$A30,Input_Konektivitas!$B$3:$B$563,AD$3,Input_Konektivitas!$D$3:$D$563,"&gt;0")+COUNTIFS(Input_Konektivitas!$A$3:$A$563,AD$3,Input_Konektivitas!$B$3:$B$563,$A30,Input_Konektivitas!$D$3:$D$563,"&gt;0"))=0,"",SUMIFS(Input_Konektivitas!$C$3:$C$563,Input_Konektivitas!$A$3:$A$563,$A30,Input_Konektivitas!$B$3:$B$563,AD$3)+SUMIFS(Input_Konektivitas!$C$3:$C$563,Input_Konektivitas!$A$3:$A$563,AD$3,Input_Konektivitas!$B$3:$B$563,$A30))</f>
        <v>0</v>
      </c>
      <c r="AE30" s="29">
        <f>IF((COUNTIFS(Input_Konektivitas!$A$3:$A$563,$A30,Input_Konektivitas!$B$3:$B$563,AE$3,Input_Konektivitas!$D$3:$D$563,"&gt;0")+COUNTIFS(Input_Konektivitas!$A$3:$A$563,AE$3,Input_Konektivitas!$B$3:$B$563,$A30,Input_Konektivitas!$D$3:$D$563,"&gt;0"))=0,"",SUMIFS(Input_Konektivitas!$C$3:$C$563,Input_Konektivitas!$A$3:$A$563,$A30,Input_Konektivitas!$B$3:$B$563,AE$3)+SUMIFS(Input_Konektivitas!$C$3:$C$563,Input_Konektivitas!$A$3:$A$563,AE$3,Input_Konektivitas!$B$3:$B$563,$A30))</f>
        <v>0</v>
      </c>
      <c r="AF30" s="29">
        <f>IF((COUNTIFS(Input_Konektivitas!$A$3:$A$563,$A30,Input_Konektivitas!$B$3:$B$563,AF$3,Input_Konektivitas!$D$3:$D$563,"&gt;0")+COUNTIFS(Input_Konektivitas!$A$3:$A$563,AF$3,Input_Konektivitas!$B$3:$B$563,$A30,Input_Konektivitas!$D$3:$D$563,"&gt;0"))=0,"",SUMIFS(Input_Konektivitas!$C$3:$C$563,Input_Konektivitas!$A$3:$A$563,$A30,Input_Konektivitas!$B$3:$B$563,AF$3)+SUMIFS(Input_Konektivitas!$C$3:$C$563,Input_Konektivitas!$A$3:$A$563,AF$3,Input_Konektivitas!$B$3:$B$563,$A30))</f>
        <v>0</v>
      </c>
      <c r="AG30" s="29">
        <f>IF((COUNTIFS(Input_Konektivitas!$A$3:$A$563,$A30,Input_Konektivitas!$B$3:$B$563,AG$3,Input_Konektivitas!$D$3:$D$563,"&gt;0")+COUNTIFS(Input_Konektivitas!$A$3:$A$563,AG$3,Input_Konektivitas!$B$3:$B$563,$A30,Input_Konektivitas!$D$3:$D$563,"&gt;0"))=0,"",SUMIFS(Input_Konektivitas!$C$3:$C$563,Input_Konektivitas!$A$3:$A$563,$A30,Input_Konektivitas!$B$3:$B$563,AG$3)+SUMIFS(Input_Konektivitas!$C$3:$C$563,Input_Konektivitas!$A$3:$A$563,AG$3,Input_Konektivitas!$B$3:$B$563,$A30))</f>
        <v>0</v>
      </c>
      <c r="AH30" s="29">
        <f>IF((COUNTIFS(Input_Konektivitas!$A$3:$A$563,$A30,Input_Konektivitas!$B$3:$B$563,AH$3,Input_Konektivitas!$D$3:$D$563,"&gt;0")+COUNTIFS(Input_Konektivitas!$A$3:$A$563,AH$3,Input_Konektivitas!$B$3:$B$563,$A30,Input_Konektivitas!$D$3:$D$563,"&gt;0"))=0,"",SUMIFS(Input_Konektivitas!$C$3:$C$563,Input_Konektivitas!$A$3:$A$563,$A30,Input_Konektivitas!$B$3:$B$563,AH$3)+SUMIFS(Input_Konektivitas!$C$3:$C$563,Input_Konektivitas!$A$3:$A$563,AH$3,Input_Konektivitas!$B$3:$B$563,$A30))</f>
        <v>0</v>
      </c>
      <c r="AI30" s="29">
        <f>IF((COUNTIFS(Input_Konektivitas!$A$3:$A$563,$A30,Input_Konektivitas!$B$3:$B$563,AI$3,Input_Konektivitas!$D$3:$D$563,"&gt;0")+COUNTIFS(Input_Konektivitas!$A$3:$A$563,AI$3,Input_Konektivitas!$B$3:$B$563,$A30,Input_Konektivitas!$D$3:$D$563,"&gt;0"))=0,"",SUMIFS(Input_Konektivitas!$C$3:$C$563,Input_Konektivitas!$A$3:$A$563,$A30,Input_Konektivitas!$B$3:$B$563,AI$3)+SUMIFS(Input_Konektivitas!$C$3:$C$563,Input_Konektivitas!$A$3:$A$563,AI$3,Input_Konektivitas!$B$3:$B$563,$A30))</f>
        <v>0</v>
      </c>
    </row>
    <row r="31" ht="14.25" customHeight="1">
      <c r="A31" s="22" t="s">
        <v>84</v>
      </c>
      <c r="B31" s="29">
        <f>IF((COUNTIFS(Input_Konektivitas!$A$3:$A$563,$A31,Input_Konektivitas!$B$3:$B$563,B$3,Input_Konektivitas!$D$3:$D$563,"&gt;0")+COUNTIFS(Input_Konektivitas!$A$3:$A$563,B$3,Input_Konektivitas!$B$3:$B$563,$A31,Input_Konektivitas!$D$3:$D$563,"&gt;0"))=0,"",SUMIFS(Input_Konektivitas!$C$3:$C$563,Input_Konektivitas!$A$3:$A$563,$A31,Input_Konektivitas!$B$3:$B$563,B$3)+SUMIFS(Input_Konektivitas!$C$3:$C$563,Input_Konektivitas!$A$3:$A$563,B$3,Input_Konektivitas!$B$3:$B$563,$A31))</f>
        <v>1</v>
      </c>
      <c r="C31" s="29">
        <f>IF((COUNTIFS(Input_Konektivitas!$A$3:$A$563,$A31,Input_Konektivitas!$B$3:$B$563,C$3,Input_Konektivitas!$D$3:$D$563,"&gt;0")+COUNTIFS(Input_Konektivitas!$A$3:$A$563,C$3,Input_Konektivitas!$B$3:$B$563,$A31,Input_Konektivitas!$D$3:$D$563,"&gt;0"))=0,"",SUMIFS(Input_Konektivitas!$C$3:$C$563,Input_Konektivitas!$A$3:$A$563,$A31,Input_Konektivitas!$B$3:$B$563,C$3)+SUMIFS(Input_Konektivitas!$C$3:$C$563,Input_Konektivitas!$A$3:$A$563,C$3,Input_Konektivitas!$B$3:$B$563,$A31))</f>
        <v>1</v>
      </c>
      <c r="D31" s="29">
        <f>IF((COUNTIFS(Input_Konektivitas!$A$3:$A$563,$A31,Input_Konektivitas!$B$3:$B$563,D$3,Input_Konektivitas!$D$3:$D$563,"&gt;0")+COUNTIFS(Input_Konektivitas!$A$3:$A$563,D$3,Input_Konektivitas!$B$3:$B$563,$A31,Input_Konektivitas!$D$3:$D$563,"&gt;0"))=0,"",SUMIFS(Input_Konektivitas!$C$3:$C$563,Input_Konektivitas!$A$3:$A$563,$A31,Input_Konektivitas!$B$3:$B$563,D$3)+SUMIFS(Input_Konektivitas!$C$3:$C$563,Input_Konektivitas!$A$3:$A$563,D$3,Input_Konektivitas!$B$3:$B$563,$A31))</f>
        <v>1</v>
      </c>
      <c r="E31" s="29">
        <f>IF((COUNTIFS(Input_Konektivitas!$A$3:$A$563,$A31,Input_Konektivitas!$B$3:$B$563,E$3,Input_Konektivitas!$D$3:$D$563,"&gt;0")+COUNTIFS(Input_Konektivitas!$A$3:$A$563,E$3,Input_Konektivitas!$B$3:$B$563,$A31,Input_Konektivitas!$D$3:$D$563,"&gt;0"))=0,"",SUMIFS(Input_Konektivitas!$C$3:$C$563,Input_Konektivitas!$A$3:$A$563,$A31,Input_Konektivitas!$B$3:$B$563,E$3)+SUMIFS(Input_Konektivitas!$C$3:$C$563,Input_Konektivitas!$A$3:$A$563,E$3,Input_Konektivitas!$B$3:$B$563,$A31))</f>
        <v>1</v>
      </c>
      <c r="F31" s="29">
        <f>IF((COUNTIFS(Input_Konektivitas!$A$3:$A$563,$A31,Input_Konektivitas!$B$3:$B$563,F$3,Input_Konektivitas!$D$3:$D$563,"&gt;0")+COUNTIFS(Input_Konektivitas!$A$3:$A$563,F$3,Input_Konektivitas!$B$3:$B$563,$A31,Input_Konektivitas!$D$3:$D$563,"&gt;0"))=0,"",SUMIFS(Input_Konektivitas!$C$3:$C$563,Input_Konektivitas!$A$3:$A$563,$A31,Input_Konektivitas!$B$3:$B$563,F$3)+SUMIFS(Input_Konektivitas!$C$3:$C$563,Input_Konektivitas!$A$3:$A$563,F$3,Input_Konektivitas!$B$3:$B$563,$A31))</f>
        <v>1</v>
      </c>
      <c r="G31" s="29">
        <f>IF((COUNTIFS(Input_Konektivitas!$A$3:$A$563,$A31,Input_Konektivitas!$B$3:$B$563,G$3,Input_Konektivitas!$D$3:$D$563,"&gt;0")+COUNTIFS(Input_Konektivitas!$A$3:$A$563,G$3,Input_Konektivitas!$B$3:$B$563,$A31,Input_Konektivitas!$D$3:$D$563,"&gt;0"))=0,"",SUMIFS(Input_Konektivitas!$C$3:$C$563,Input_Konektivitas!$A$3:$A$563,$A31,Input_Konektivitas!$B$3:$B$563,G$3)+SUMIFS(Input_Konektivitas!$C$3:$C$563,Input_Konektivitas!$A$3:$A$563,G$3,Input_Konektivitas!$B$3:$B$563,$A31))</f>
        <v>1</v>
      </c>
      <c r="H31" s="29">
        <f>IF((COUNTIFS(Input_Konektivitas!$A$3:$A$563,$A31,Input_Konektivitas!$B$3:$B$563,H$3,Input_Konektivitas!$D$3:$D$563,"&gt;0")+COUNTIFS(Input_Konektivitas!$A$3:$A$563,H$3,Input_Konektivitas!$B$3:$B$563,$A31,Input_Konektivitas!$D$3:$D$563,"&gt;0"))=0,"",SUMIFS(Input_Konektivitas!$C$3:$C$563,Input_Konektivitas!$A$3:$A$563,$A31,Input_Konektivitas!$B$3:$B$563,H$3)+SUMIFS(Input_Konektivitas!$C$3:$C$563,Input_Konektivitas!$A$3:$A$563,H$3,Input_Konektivitas!$B$3:$B$563,$A31))</f>
        <v>1</v>
      </c>
      <c r="I31" s="29">
        <f>IF((COUNTIFS(Input_Konektivitas!$A$3:$A$563,$A31,Input_Konektivitas!$B$3:$B$563,I$3,Input_Konektivitas!$D$3:$D$563,"&gt;0")+COUNTIFS(Input_Konektivitas!$A$3:$A$563,I$3,Input_Konektivitas!$B$3:$B$563,$A31,Input_Konektivitas!$D$3:$D$563,"&gt;0"))=0,"",SUMIFS(Input_Konektivitas!$C$3:$C$563,Input_Konektivitas!$A$3:$A$563,$A31,Input_Konektivitas!$B$3:$B$563,I$3)+SUMIFS(Input_Konektivitas!$C$3:$C$563,Input_Konektivitas!$A$3:$A$563,I$3,Input_Konektivitas!$B$3:$B$563,$A31))</f>
        <v>1</v>
      </c>
      <c r="J31" s="29">
        <f>IF((COUNTIFS(Input_Konektivitas!$A$3:$A$563,$A31,Input_Konektivitas!$B$3:$B$563,J$3,Input_Konektivitas!$D$3:$D$563,"&gt;0")+COUNTIFS(Input_Konektivitas!$A$3:$A$563,J$3,Input_Konektivitas!$B$3:$B$563,$A31,Input_Konektivitas!$D$3:$D$563,"&gt;0"))=0,"",SUMIFS(Input_Konektivitas!$C$3:$C$563,Input_Konektivitas!$A$3:$A$563,$A31,Input_Konektivitas!$B$3:$B$563,J$3)+SUMIFS(Input_Konektivitas!$C$3:$C$563,Input_Konektivitas!$A$3:$A$563,J$3,Input_Konektivitas!$B$3:$B$563,$A31))</f>
        <v>1</v>
      </c>
      <c r="K31" s="29">
        <f>IF((COUNTIFS(Input_Konektivitas!$A$3:$A$563,$A31,Input_Konektivitas!$B$3:$B$563,K$3,Input_Konektivitas!$D$3:$D$563,"&gt;0")+COUNTIFS(Input_Konektivitas!$A$3:$A$563,K$3,Input_Konektivitas!$B$3:$B$563,$A31,Input_Konektivitas!$D$3:$D$563,"&gt;0"))=0,"",SUMIFS(Input_Konektivitas!$C$3:$C$563,Input_Konektivitas!$A$3:$A$563,$A31,Input_Konektivitas!$B$3:$B$563,K$3)+SUMIFS(Input_Konektivitas!$C$3:$C$563,Input_Konektivitas!$A$3:$A$563,K$3,Input_Konektivitas!$B$3:$B$563,$A31))</f>
        <v>1</v>
      </c>
      <c r="L31" s="29">
        <f>IF((COUNTIFS(Input_Konektivitas!$A$3:$A$563,$A31,Input_Konektivitas!$B$3:$B$563,L$3,Input_Konektivitas!$D$3:$D$563,"&gt;0")+COUNTIFS(Input_Konektivitas!$A$3:$A$563,L$3,Input_Konektivitas!$B$3:$B$563,$A31,Input_Konektivitas!$D$3:$D$563,"&gt;0"))=0,"",SUMIFS(Input_Konektivitas!$C$3:$C$563,Input_Konektivitas!$A$3:$A$563,$A31,Input_Konektivitas!$B$3:$B$563,L$3)+SUMIFS(Input_Konektivitas!$C$3:$C$563,Input_Konektivitas!$A$3:$A$563,L$3,Input_Konektivitas!$B$3:$B$563,$A31))</f>
        <v>0</v>
      </c>
      <c r="M31" s="29">
        <f>IF((COUNTIFS(Input_Konektivitas!$A$3:$A$563,$A31,Input_Konektivitas!$B$3:$B$563,M$3,Input_Konektivitas!$D$3:$D$563,"&gt;0")+COUNTIFS(Input_Konektivitas!$A$3:$A$563,M$3,Input_Konektivitas!$B$3:$B$563,$A31,Input_Konektivitas!$D$3:$D$563,"&gt;0"))=0,"",SUMIFS(Input_Konektivitas!$C$3:$C$563,Input_Konektivitas!$A$3:$A$563,$A31,Input_Konektivitas!$B$3:$B$563,M$3)+SUMIFS(Input_Konektivitas!$C$3:$C$563,Input_Konektivitas!$A$3:$A$563,M$3,Input_Konektivitas!$B$3:$B$563,$A31))</f>
        <v>3</v>
      </c>
      <c r="N31" s="29">
        <f>IF((COUNTIFS(Input_Konektivitas!$A$3:$A$563,$A31,Input_Konektivitas!$B$3:$B$563,N$3,Input_Konektivitas!$D$3:$D$563,"&gt;0")+COUNTIFS(Input_Konektivitas!$A$3:$A$563,N$3,Input_Konektivitas!$B$3:$B$563,$A31,Input_Konektivitas!$D$3:$D$563,"&gt;0"))=0,"",SUMIFS(Input_Konektivitas!$C$3:$C$563,Input_Konektivitas!$A$3:$A$563,$A31,Input_Konektivitas!$B$3:$B$563,N$3)+SUMIFS(Input_Konektivitas!$C$3:$C$563,Input_Konektivitas!$A$3:$A$563,N$3,Input_Konektivitas!$B$3:$B$563,$A31))</f>
        <v>1</v>
      </c>
      <c r="O31" s="29">
        <f>IF((COUNTIFS(Input_Konektivitas!$A$3:$A$563,$A31,Input_Konektivitas!$B$3:$B$563,O$3,Input_Konektivitas!$D$3:$D$563,"&gt;0")+COUNTIFS(Input_Konektivitas!$A$3:$A$563,O$3,Input_Konektivitas!$B$3:$B$563,$A31,Input_Konektivitas!$D$3:$D$563,"&gt;0"))=0,"",SUMIFS(Input_Konektivitas!$C$3:$C$563,Input_Konektivitas!$A$3:$A$563,$A31,Input_Konektivitas!$B$3:$B$563,O$3)+SUMIFS(Input_Konektivitas!$C$3:$C$563,Input_Konektivitas!$A$3:$A$563,O$3,Input_Konektivitas!$B$3:$B$563,$A31))</f>
        <v>1</v>
      </c>
      <c r="P31" s="29">
        <f>IF((COUNTIFS(Input_Konektivitas!$A$3:$A$563,$A31,Input_Konektivitas!$B$3:$B$563,P$3,Input_Konektivitas!$D$3:$D$563,"&gt;0")+COUNTIFS(Input_Konektivitas!$A$3:$A$563,P$3,Input_Konektivitas!$B$3:$B$563,$A31,Input_Konektivitas!$D$3:$D$563,"&gt;0"))=0,"",SUMIFS(Input_Konektivitas!$C$3:$C$563,Input_Konektivitas!$A$3:$A$563,$A31,Input_Konektivitas!$B$3:$B$563,P$3)+SUMIFS(Input_Konektivitas!$C$3:$C$563,Input_Konektivitas!$A$3:$A$563,P$3,Input_Konektivitas!$B$3:$B$563,$A31))</f>
        <v>0</v>
      </c>
      <c r="Q31" s="29" t="str">
        <f>IF((COUNTIFS(Input_Konektivitas!$A$3:$A$563,$A31,Input_Konektivitas!$B$3:$B$563,Q$3,Input_Konektivitas!$D$3:$D$563,"&gt;0")+COUNTIFS(Input_Konektivitas!$A$3:$A$563,Q$3,Input_Konektivitas!$B$3:$B$563,$A31,Input_Konektivitas!$D$3:$D$563,"&gt;0"))=0,"",SUMIFS(Input_Konektivitas!$C$3:$C$563,Input_Konektivitas!$A$3:$A$563,$A31,Input_Konektivitas!$B$3:$B$563,Q$3)+SUMIFS(Input_Konektivitas!$C$3:$C$563,Input_Konektivitas!$A$3:$A$563,Q$3,Input_Konektivitas!$B$3:$B$563,$A31))</f>
        <v/>
      </c>
      <c r="R31" s="29">
        <f>IF((COUNTIFS(Input_Konektivitas!$A$3:$A$563,$A31,Input_Konektivitas!$B$3:$B$563,R$3,Input_Konektivitas!$D$3:$D$563,"&gt;0")+COUNTIFS(Input_Konektivitas!$A$3:$A$563,R$3,Input_Konektivitas!$B$3:$B$563,$A31,Input_Konektivitas!$D$3:$D$563,"&gt;0"))=0,"",SUMIFS(Input_Konektivitas!$C$3:$C$563,Input_Konektivitas!$A$3:$A$563,$A31,Input_Konektivitas!$B$3:$B$563,R$3)+SUMIFS(Input_Konektivitas!$C$3:$C$563,Input_Konektivitas!$A$3:$A$563,R$3,Input_Konektivitas!$B$3:$B$563,$A31))</f>
        <v>1</v>
      </c>
      <c r="S31" s="29">
        <f>IF((COUNTIFS(Input_Konektivitas!$A$3:$A$563,$A31,Input_Konektivitas!$B$3:$B$563,S$3,Input_Konektivitas!$D$3:$D$563,"&gt;0")+COUNTIFS(Input_Konektivitas!$A$3:$A$563,S$3,Input_Konektivitas!$B$3:$B$563,$A31,Input_Konektivitas!$D$3:$D$563,"&gt;0"))=0,"",SUMIFS(Input_Konektivitas!$C$3:$C$563,Input_Konektivitas!$A$3:$A$563,$A31,Input_Konektivitas!$B$3:$B$563,S$3)+SUMIFS(Input_Konektivitas!$C$3:$C$563,Input_Konektivitas!$A$3:$A$563,S$3,Input_Konektivitas!$B$3:$B$563,$A31))</f>
        <v>1</v>
      </c>
      <c r="T31" s="29">
        <f>IF((COUNTIFS(Input_Konektivitas!$A$3:$A$563,$A31,Input_Konektivitas!$B$3:$B$563,T$3,Input_Konektivitas!$D$3:$D$563,"&gt;0")+COUNTIFS(Input_Konektivitas!$A$3:$A$563,T$3,Input_Konektivitas!$B$3:$B$563,$A31,Input_Konektivitas!$D$3:$D$563,"&gt;0"))=0,"",SUMIFS(Input_Konektivitas!$C$3:$C$563,Input_Konektivitas!$A$3:$A$563,$A31,Input_Konektivitas!$B$3:$B$563,T$3)+SUMIFS(Input_Konektivitas!$C$3:$C$563,Input_Konektivitas!$A$3:$A$563,T$3,Input_Konektivitas!$B$3:$B$563,$A31))</f>
        <v>1</v>
      </c>
      <c r="U31" s="29">
        <f>IF((COUNTIFS(Input_Konektivitas!$A$3:$A$563,$A31,Input_Konektivitas!$B$3:$B$563,U$3,Input_Konektivitas!$D$3:$D$563,"&gt;0")+COUNTIFS(Input_Konektivitas!$A$3:$A$563,U$3,Input_Konektivitas!$B$3:$B$563,$A31,Input_Konektivitas!$D$3:$D$563,"&gt;0"))=0,"",SUMIFS(Input_Konektivitas!$C$3:$C$563,Input_Konektivitas!$A$3:$A$563,$A31,Input_Konektivitas!$B$3:$B$563,U$3)+SUMIFS(Input_Konektivitas!$C$3:$C$563,Input_Konektivitas!$A$3:$A$563,U$3,Input_Konektivitas!$B$3:$B$563,$A31))</f>
        <v>1</v>
      </c>
      <c r="V31" s="29">
        <f>IF((COUNTIFS(Input_Konektivitas!$A$3:$A$563,$A31,Input_Konektivitas!$B$3:$B$563,V$3,Input_Konektivitas!$D$3:$D$563,"&gt;0")+COUNTIFS(Input_Konektivitas!$A$3:$A$563,V$3,Input_Konektivitas!$B$3:$B$563,$A31,Input_Konektivitas!$D$3:$D$563,"&gt;0"))=0,"",SUMIFS(Input_Konektivitas!$C$3:$C$563,Input_Konektivitas!$A$3:$A$563,$A31,Input_Konektivitas!$B$3:$B$563,V$3)+SUMIFS(Input_Konektivitas!$C$3:$C$563,Input_Konektivitas!$A$3:$A$563,V$3,Input_Konektivitas!$B$3:$B$563,$A31))</f>
        <v>1</v>
      </c>
      <c r="W31" s="29">
        <f>IF((COUNTIFS(Input_Konektivitas!$A$3:$A$563,$A31,Input_Konektivitas!$B$3:$B$563,W$3,Input_Konektivitas!$D$3:$D$563,"&gt;0")+COUNTIFS(Input_Konektivitas!$A$3:$A$563,W$3,Input_Konektivitas!$B$3:$B$563,$A31,Input_Konektivitas!$D$3:$D$563,"&gt;0"))=0,"",SUMIFS(Input_Konektivitas!$C$3:$C$563,Input_Konektivitas!$A$3:$A$563,$A31,Input_Konektivitas!$B$3:$B$563,W$3)+SUMIFS(Input_Konektivitas!$C$3:$C$563,Input_Konektivitas!$A$3:$A$563,W$3,Input_Konektivitas!$B$3:$B$563,$A31))</f>
        <v>1</v>
      </c>
      <c r="X31" s="29">
        <f>IF((COUNTIFS(Input_Konektivitas!$A$3:$A$563,$A31,Input_Konektivitas!$B$3:$B$563,X$3,Input_Konektivitas!$D$3:$D$563,"&gt;0")+COUNTIFS(Input_Konektivitas!$A$3:$A$563,X$3,Input_Konektivitas!$B$3:$B$563,$A31,Input_Konektivitas!$D$3:$D$563,"&gt;0"))=0,"",SUMIFS(Input_Konektivitas!$C$3:$C$563,Input_Konektivitas!$A$3:$A$563,$A31,Input_Konektivitas!$B$3:$B$563,X$3)+SUMIFS(Input_Konektivitas!$C$3:$C$563,Input_Konektivitas!$A$3:$A$563,X$3,Input_Konektivitas!$B$3:$B$563,$A31))</f>
        <v>1</v>
      </c>
      <c r="Y31" s="29">
        <f>IF((COUNTIFS(Input_Konektivitas!$A$3:$A$563,$A31,Input_Konektivitas!$B$3:$B$563,Y$3,Input_Konektivitas!$D$3:$D$563,"&gt;0")+COUNTIFS(Input_Konektivitas!$A$3:$A$563,Y$3,Input_Konektivitas!$B$3:$B$563,$A31,Input_Konektivitas!$D$3:$D$563,"&gt;0"))=0,"",SUMIFS(Input_Konektivitas!$C$3:$C$563,Input_Konektivitas!$A$3:$A$563,$A31,Input_Konektivitas!$B$3:$B$563,Y$3)+SUMIFS(Input_Konektivitas!$C$3:$C$563,Input_Konektivitas!$A$3:$A$563,Y$3,Input_Konektivitas!$B$3:$B$563,$A31))</f>
        <v>2</v>
      </c>
      <c r="Z31" s="29">
        <f>IF((COUNTIFS(Input_Konektivitas!$A$3:$A$563,$A31,Input_Konektivitas!$B$3:$B$563,Z$3,Input_Konektivitas!$D$3:$D$563,"&gt;0")+COUNTIFS(Input_Konektivitas!$A$3:$A$563,Z$3,Input_Konektivitas!$B$3:$B$563,$A31,Input_Konektivitas!$D$3:$D$563,"&gt;0"))=0,"",SUMIFS(Input_Konektivitas!$C$3:$C$563,Input_Konektivitas!$A$3:$A$563,$A31,Input_Konektivitas!$B$3:$B$563,Z$3)+SUMIFS(Input_Konektivitas!$C$3:$C$563,Input_Konektivitas!$A$3:$A$563,Z$3,Input_Konektivitas!$B$3:$B$563,$A31))</f>
        <v>1</v>
      </c>
      <c r="AA31" s="29">
        <f>IF((COUNTIFS(Input_Konektivitas!$A$3:$A$563,$A31,Input_Konektivitas!$B$3:$B$563,AA$3,Input_Konektivitas!$D$3:$D$563,"&gt;0")+COUNTIFS(Input_Konektivitas!$A$3:$A$563,AA$3,Input_Konektivitas!$B$3:$B$563,$A31,Input_Konektivitas!$D$3:$D$563,"&gt;0"))=0,"",SUMIFS(Input_Konektivitas!$C$3:$C$563,Input_Konektivitas!$A$3:$A$563,$A31,Input_Konektivitas!$B$3:$B$563,AA$3)+SUMIFS(Input_Konektivitas!$C$3:$C$563,Input_Konektivitas!$A$3:$A$563,AA$3,Input_Konektivitas!$B$3:$B$563,$A31))</f>
        <v>1</v>
      </c>
      <c r="AB31" s="29">
        <f>IF((COUNTIFS(Input_Konektivitas!$A$3:$A$563,$A31,Input_Konektivitas!$B$3:$B$563,AB$3,Input_Konektivitas!$D$3:$D$563,"&gt;0")+COUNTIFS(Input_Konektivitas!$A$3:$A$563,AB$3,Input_Konektivitas!$B$3:$B$563,$A31,Input_Konektivitas!$D$3:$D$563,"&gt;0"))=0,"",SUMIFS(Input_Konektivitas!$C$3:$C$563,Input_Konektivitas!$A$3:$A$563,$A31,Input_Konektivitas!$B$3:$B$563,AB$3)+SUMIFS(Input_Konektivitas!$C$3:$C$563,Input_Konektivitas!$A$3:$A$563,AB$3,Input_Konektivitas!$B$3:$B$563,$A31))</f>
        <v>0</v>
      </c>
      <c r="AC31" s="26">
        <v>0.0</v>
      </c>
      <c r="AD31" s="29">
        <f>IF((COUNTIFS(Input_Konektivitas!$A$3:$A$563,$A31,Input_Konektivitas!$B$3:$B$563,AD$3,Input_Konektivitas!$D$3:$D$563,"&gt;0")+COUNTIFS(Input_Konektivitas!$A$3:$A$563,AD$3,Input_Konektivitas!$B$3:$B$563,$A31,Input_Konektivitas!$D$3:$D$563,"&gt;0"))=0,"",SUMIFS(Input_Konektivitas!$C$3:$C$563,Input_Konektivitas!$A$3:$A$563,$A31,Input_Konektivitas!$B$3:$B$563,AD$3)+SUMIFS(Input_Konektivitas!$C$3:$C$563,Input_Konektivitas!$A$3:$A$563,AD$3,Input_Konektivitas!$B$3:$B$563,$A31))</f>
        <v>1</v>
      </c>
      <c r="AE31" s="29">
        <f>IF((COUNTIFS(Input_Konektivitas!$A$3:$A$563,$A31,Input_Konektivitas!$B$3:$B$563,AE$3,Input_Konektivitas!$D$3:$D$563,"&gt;0")+COUNTIFS(Input_Konektivitas!$A$3:$A$563,AE$3,Input_Konektivitas!$B$3:$B$563,$A31,Input_Konektivitas!$D$3:$D$563,"&gt;0"))=0,"",SUMIFS(Input_Konektivitas!$C$3:$C$563,Input_Konektivitas!$A$3:$A$563,$A31,Input_Konektivitas!$B$3:$B$563,AE$3)+SUMIFS(Input_Konektivitas!$C$3:$C$563,Input_Konektivitas!$A$3:$A$563,AE$3,Input_Konektivitas!$B$3:$B$563,$A31))</f>
        <v>1</v>
      </c>
      <c r="AF31" s="29">
        <f>IF((COUNTIFS(Input_Konektivitas!$A$3:$A$563,$A31,Input_Konektivitas!$B$3:$B$563,AF$3,Input_Konektivitas!$D$3:$D$563,"&gt;0")+COUNTIFS(Input_Konektivitas!$A$3:$A$563,AF$3,Input_Konektivitas!$B$3:$B$563,$A31,Input_Konektivitas!$D$3:$D$563,"&gt;0"))=0,"",SUMIFS(Input_Konektivitas!$C$3:$C$563,Input_Konektivitas!$A$3:$A$563,$A31,Input_Konektivitas!$B$3:$B$563,AF$3)+SUMIFS(Input_Konektivitas!$C$3:$C$563,Input_Konektivitas!$A$3:$A$563,AF$3,Input_Konektivitas!$B$3:$B$563,$A31))</f>
        <v>2</v>
      </c>
      <c r="AG31" s="29">
        <f>IF((COUNTIFS(Input_Konektivitas!$A$3:$A$563,$A31,Input_Konektivitas!$B$3:$B$563,AG$3,Input_Konektivitas!$D$3:$D$563,"&gt;0")+COUNTIFS(Input_Konektivitas!$A$3:$A$563,AG$3,Input_Konektivitas!$B$3:$B$563,$A31,Input_Konektivitas!$D$3:$D$563,"&gt;0"))=0,"",SUMIFS(Input_Konektivitas!$C$3:$C$563,Input_Konektivitas!$A$3:$A$563,$A31,Input_Konektivitas!$B$3:$B$563,AG$3)+SUMIFS(Input_Konektivitas!$C$3:$C$563,Input_Konektivitas!$A$3:$A$563,AG$3,Input_Konektivitas!$B$3:$B$563,$A31))</f>
        <v>1</v>
      </c>
      <c r="AH31" s="29">
        <f>IF((COUNTIFS(Input_Konektivitas!$A$3:$A$563,$A31,Input_Konektivitas!$B$3:$B$563,AH$3,Input_Konektivitas!$D$3:$D$563,"&gt;0")+COUNTIFS(Input_Konektivitas!$A$3:$A$563,AH$3,Input_Konektivitas!$B$3:$B$563,$A31,Input_Konektivitas!$D$3:$D$563,"&gt;0"))=0,"",SUMIFS(Input_Konektivitas!$C$3:$C$563,Input_Konektivitas!$A$3:$A$563,$A31,Input_Konektivitas!$B$3:$B$563,AH$3)+SUMIFS(Input_Konektivitas!$C$3:$C$563,Input_Konektivitas!$A$3:$A$563,AH$3,Input_Konektivitas!$B$3:$B$563,$A31))</f>
        <v>1</v>
      </c>
      <c r="AI31" s="29">
        <f>IF((COUNTIFS(Input_Konektivitas!$A$3:$A$563,$A31,Input_Konektivitas!$B$3:$B$563,AI$3,Input_Konektivitas!$D$3:$D$563,"&gt;0")+COUNTIFS(Input_Konektivitas!$A$3:$A$563,AI$3,Input_Konektivitas!$B$3:$B$563,$A31,Input_Konektivitas!$D$3:$D$563,"&gt;0"))=0,"",SUMIFS(Input_Konektivitas!$C$3:$C$563,Input_Konektivitas!$A$3:$A$563,$A31,Input_Konektivitas!$B$3:$B$563,AI$3)+SUMIFS(Input_Konektivitas!$C$3:$C$563,Input_Konektivitas!$A$3:$A$563,AI$3,Input_Konektivitas!$B$3:$B$563,$A31))</f>
        <v>2</v>
      </c>
    </row>
    <row r="32" ht="14.25" customHeight="1">
      <c r="A32" s="22" t="s">
        <v>89</v>
      </c>
      <c r="B32" s="29">
        <f>IF((COUNTIFS(Input_Konektivitas!$A$3:$A$563,$A32,Input_Konektivitas!$B$3:$B$563,B$3,Input_Konektivitas!$D$3:$D$563,"&gt;0")+COUNTIFS(Input_Konektivitas!$A$3:$A$563,B$3,Input_Konektivitas!$B$3:$B$563,$A32,Input_Konektivitas!$D$3:$D$563,"&gt;0"))=0,"",SUMIFS(Input_Konektivitas!$C$3:$C$563,Input_Konektivitas!$A$3:$A$563,$A32,Input_Konektivitas!$B$3:$B$563,B$3)+SUMIFS(Input_Konektivitas!$C$3:$C$563,Input_Konektivitas!$A$3:$A$563,B$3,Input_Konektivitas!$B$3:$B$563,$A32))</f>
        <v>1</v>
      </c>
      <c r="C32" s="29">
        <f>IF((COUNTIFS(Input_Konektivitas!$A$3:$A$563,$A32,Input_Konektivitas!$B$3:$B$563,C$3,Input_Konektivitas!$D$3:$D$563,"&gt;0")+COUNTIFS(Input_Konektivitas!$A$3:$A$563,C$3,Input_Konektivitas!$B$3:$B$563,$A32,Input_Konektivitas!$D$3:$D$563,"&gt;0"))=0,"",SUMIFS(Input_Konektivitas!$C$3:$C$563,Input_Konektivitas!$A$3:$A$563,$A32,Input_Konektivitas!$B$3:$B$563,C$3)+SUMIFS(Input_Konektivitas!$C$3:$C$563,Input_Konektivitas!$A$3:$A$563,C$3,Input_Konektivitas!$B$3:$B$563,$A32))</f>
        <v>1</v>
      </c>
      <c r="D32" s="29">
        <f>IF((COUNTIFS(Input_Konektivitas!$A$3:$A$563,$A32,Input_Konektivitas!$B$3:$B$563,D$3,Input_Konektivitas!$D$3:$D$563,"&gt;0")+COUNTIFS(Input_Konektivitas!$A$3:$A$563,D$3,Input_Konektivitas!$B$3:$B$563,$A32,Input_Konektivitas!$D$3:$D$563,"&gt;0"))=0,"",SUMIFS(Input_Konektivitas!$C$3:$C$563,Input_Konektivitas!$A$3:$A$563,$A32,Input_Konektivitas!$B$3:$B$563,D$3)+SUMIFS(Input_Konektivitas!$C$3:$C$563,Input_Konektivitas!$A$3:$A$563,D$3,Input_Konektivitas!$B$3:$B$563,$A32))</f>
        <v>1</v>
      </c>
      <c r="E32" s="29">
        <f>IF((COUNTIFS(Input_Konektivitas!$A$3:$A$563,$A32,Input_Konektivitas!$B$3:$B$563,E$3,Input_Konektivitas!$D$3:$D$563,"&gt;0")+COUNTIFS(Input_Konektivitas!$A$3:$A$563,E$3,Input_Konektivitas!$B$3:$B$563,$A32,Input_Konektivitas!$D$3:$D$563,"&gt;0"))=0,"",SUMIFS(Input_Konektivitas!$C$3:$C$563,Input_Konektivitas!$A$3:$A$563,$A32,Input_Konektivitas!$B$3:$B$563,E$3)+SUMIFS(Input_Konektivitas!$C$3:$C$563,Input_Konektivitas!$A$3:$A$563,E$3,Input_Konektivitas!$B$3:$B$563,$A32))</f>
        <v>1</v>
      </c>
      <c r="F32" s="29">
        <f>IF((COUNTIFS(Input_Konektivitas!$A$3:$A$563,$A32,Input_Konektivitas!$B$3:$B$563,F$3,Input_Konektivitas!$D$3:$D$563,"&gt;0")+COUNTIFS(Input_Konektivitas!$A$3:$A$563,F$3,Input_Konektivitas!$B$3:$B$563,$A32,Input_Konektivitas!$D$3:$D$563,"&gt;0"))=0,"",SUMIFS(Input_Konektivitas!$C$3:$C$563,Input_Konektivitas!$A$3:$A$563,$A32,Input_Konektivitas!$B$3:$B$563,F$3)+SUMIFS(Input_Konektivitas!$C$3:$C$563,Input_Konektivitas!$A$3:$A$563,F$3,Input_Konektivitas!$B$3:$B$563,$A32))</f>
        <v>1</v>
      </c>
      <c r="G32" s="29">
        <f>IF((COUNTIFS(Input_Konektivitas!$A$3:$A$563,$A32,Input_Konektivitas!$B$3:$B$563,G$3,Input_Konektivitas!$D$3:$D$563,"&gt;0")+COUNTIFS(Input_Konektivitas!$A$3:$A$563,G$3,Input_Konektivitas!$B$3:$B$563,$A32,Input_Konektivitas!$D$3:$D$563,"&gt;0"))=0,"",SUMIFS(Input_Konektivitas!$C$3:$C$563,Input_Konektivitas!$A$3:$A$563,$A32,Input_Konektivitas!$B$3:$B$563,G$3)+SUMIFS(Input_Konektivitas!$C$3:$C$563,Input_Konektivitas!$A$3:$A$563,G$3,Input_Konektivitas!$B$3:$B$563,$A32))</f>
        <v>1</v>
      </c>
      <c r="H32" s="29">
        <f>IF((COUNTIFS(Input_Konektivitas!$A$3:$A$563,$A32,Input_Konektivitas!$B$3:$B$563,H$3,Input_Konektivitas!$D$3:$D$563,"&gt;0")+COUNTIFS(Input_Konektivitas!$A$3:$A$563,H$3,Input_Konektivitas!$B$3:$B$563,$A32,Input_Konektivitas!$D$3:$D$563,"&gt;0"))=0,"",SUMIFS(Input_Konektivitas!$C$3:$C$563,Input_Konektivitas!$A$3:$A$563,$A32,Input_Konektivitas!$B$3:$B$563,H$3)+SUMIFS(Input_Konektivitas!$C$3:$C$563,Input_Konektivitas!$A$3:$A$563,H$3,Input_Konektivitas!$B$3:$B$563,$A32))</f>
        <v>2</v>
      </c>
      <c r="I32" s="29">
        <f>IF((COUNTIFS(Input_Konektivitas!$A$3:$A$563,$A32,Input_Konektivitas!$B$3:$B$563,I$3,Input_Konektivitas!$D$3:$D$563,"&gt;0")+COUNTIFS(Input_Konektivitas!$A$3:$A$563,I$3,Input_Konektivitas!$B$3:$B$563,$A32,Input_Konektivitas!$D$3:$D$563,"&gt;0"))=0,"",SUMIFS(Input_Konektivitas!$C$3:$C$563,Input_Konektivitas!$A$3:$A$563,$A32,Input_Konektivitas!$B$3:$B$563,I$3)+SUMIFS(Input_Konektivitas!$C$3:$C$563,Input_Konektivitas!$A$3:$A$563,I$3,Input_Konektivitas!$B$3:$B$563,$A32))</f>
        <v>1</v>
      </c>
      <c r="J32" s="29">
        <f>IF((COUNTIFS(Input_Konektivitas!$A$3:$A$563,$A32,Input_Konektivitas!$B$3:$B$563,J$3,Input_Konektivitas!$D$3:$D$563,"&gt;0")+COUNTIFS(Input_Konektivitas!$A$3:$A$563,J$3,Input_Konektivitas!$B$3:$B$563,$A32,Input_Konektivitas!$D$3:$D$563,"&gt;0"))=0,"",SUMIFS(Input_Konektivitas!$C$3:$C$563,Input_Konektivitas!$A$3:$A$563,$A32,Input_Konektivitas!$B$3:$B$563,J$3)+SUMIFS(Input_Konektivitas!$C$3:$C$563,Input_Konektivitas!$A$3:$A$563,J$3,Input_Konektivitas!$B$3:$B$563,$A32))</f>
        <v>1</v>
      </c>
      <c r="K32" s="29">
        <f>IF((COUNTIFS(Input_Konektivitas!$A$3:$A$563,$A32,Input_Konektivitas!$B$3:$B$563,K$3,Input_Konektivitas!$D$3:$D$563,"&gt;0")+COUNTIFS(Input_Konektivitas!$A$3:$A$563,K$3,Input_Konektivitas!$B$3:$B$563,$A32,Input_Konektivitas!$D$3:$D$563,"&gt;0"))=0,"",SUMIFS(Input_Konektivitas!$C$3:$C$563,Input_Konektivitas!$A$3:$A$563,$A32,Input_Konektivitas!$B$3:$B$563,K$3)+SUMIFS(Input_Konektivitas!$C$3:$C$563,Input_Konektivitas!$A$3:$A$563,K$3,Input_Konektivitas!$B$3:$B$563,$A32))</f>
        <v>1</v>
      </c>
      <c r="L32" s="29">
        <f>IF((COUNTIFS(Input_Konektivitas!$A$3:$A$563,$A32,Input_Konektivitas!$B$3:$B$563,L$3,Input_Konektivitas!$D$3:$D$563,"&gt;0")+COUNTIFS(Input_Konektivitas!$A$3:$A$563,L$3,Input_Konektivitas!$B$3:$B$563,$A32,Input_Konektivitas!$D$3:$D$563,"&gt;0"))=0,"",SUMIFS(Input_Konektivitas!$C$3:$C$563,Input_Konektivitas!$A$3:$A$563,$A32,Input_Konektivitas!$B$3:$B$563,L$3)+SUMIFS(Input_Konektivitas!$C$3:$C$563,Input_Konektivitas!$A$3:$A$563,L$3,Input_Konektivitas!$B$3:$B$563,$A32))</f>
        <v>0</v>
      </c>
      <c r="M32" s="29">
        <f>IF((COUNTIFS(Input_Konektivitas!$A$3:$A$563,$A32,Input_Konektivitas!$B$3:$B$563,M$3,Input_Konektivitas!$D$3:$D$563,"&gt;0")+COUNTIFS(Input_Konektivitas!$A$3:$A$563,M$3,Input_Konektivitas!$B$3:$B$563,$A32,Input_Konektivitas!$D$3:$D$563,"&gt;0"))=0,"",SUMIFS(Input_Konektivitas!$C$3:$C$563,Input_Konektivitas!$A$3:$A$563,$A32,Input_Konektivitas!$B$3:$B$563,M$3)+SUMIFS(Input_Konektivitas!$C$3:$C$563,Input_Konektivitas!$A$3:$A$563,M$3,Input_Konektivitas!$B$3:$B$563,$A32))</f>
        <v>2</v>
      </c>
      <c r="N32" s="29">
        <f>IF((COUNTIFS(Input_Konektivitas!$A$3:$A$563,$A32,Input_Konektivitas!$B$3:$B$563,N$3,Input_Konektivitas!$D$3:$D$563,"&gt;0")+COUNTIFS(Input_Konektivitas!$A$3:$A$563,N$3,Input_Konektivitas!$B$3:$B$563,$A32,Input_Konektivitas!$D$3:$D$563,"&gt;0"))=0,"",SUMIFS(Input_Konektivitas!$C$3:$C$563,Input_Konektivitas!$A$3:$A$563,$A32,Input_Konektivitas!$B$3:$B$563,N$3)+SUMIFS(Input_Konektivitas!$C$3:$C$563,Input_Konektivitas!$A$3:$A$563,N$3,Input_Konektivitas!$B$3:$B$563,$A32))</f>
        <v>1</v>
      </c>
      <c r="O32" s="29">
        <f>IF((COUNTIFS(Input_Konektivitas!$A$3:$A$563,$A32,Input_Konektivitas!$B$3:$B$563,O$3,Input_Konektivitas!$D$3:$D$563,"&gt;0")+COUNTIFS(Input_Konektivitas!$A$3:$A$563,O$3,Input_Konektivitas!$B$3:$B$563,$A32,Input_Konektivitas!$D$3:$D$563,"&gt;0"))=0,"",SUMIFS(Input_Konektivitas!$C$3:$C$563,Input_Konektivitas!$A$3:$A$563,$A32,Input_Konektivitas!$B$3:$B$563,O$3)+SUMIFS(Input_Konektivitas!$C$3:$C$563,Input_Konektivitas!$A$3:$A$563,O$3,Input_Konektivitas!$B$3:$B$563,$A32))</f>
        <v>1</v>
      </c>
      <c r="P32" s="29">
        <f>IF((COUNTIFS(Input_Konektivitas!$A$3:$A$563,$A32,Input_Konektivitas!$B$3:$B$563,P$3,Input_Konektivitas!$D$3:$D$563,"&gt;0")+COUNTIFS(Input_Konektivitas!$A$3:$A$563,P$3,Input_Konektivitas!$B$3:$B$563,$A32,Input_Konektivitas!$D$3:$D$563,"&gt;0"))=0,"",SUMIFS(Input_Konektivitas!$C$3:$C$563,Input_Konektivitas!$A$3:$A$563,$A32,Input_Konektivitas!$B$3:$B$563,P$3)+SUMIFS(Input_Konektivitas!$C$3:$C$563,Input_Konektivitas!$A$3:$A$563,P$3,Input_Konektivitas!$B$3:$B$563,$A32))</f>
        <v>1</v>
      </c>
      <c r="Q32" s="29" t="str">
        <f>IF((COUNTIFS(Input_Konektivitas!$A$3:$A$563,$A32,Input_Konektivitas!$B$3:$B$563,Q$3,Input_Konektivitas!$D$3:$D$563,"&gt;0")+COUNTIFS(Input_Konektivitas!$A$3:$A$563,Q$3,Input_Konektivitas!$B$3:$B$563,$A32,Input_Konektivitas!$D$3:$D$563,"&gt;0"))=0,"",SUMIFS(Input_Konektivitas!$C$3:$C$563,Input_Konektivitas!$A$3:$A$563,$A32,Input_Konektivitas!$B$3:$B$563,Q$3)+SUMIFS(Input_Konektivitas!$C$3:$C$563,Input_Konektivitas!$A$3:$A$563,Q$3,Input_Konektivitas!$B$3:$B$563,$A32))</f>
        <v/>
      </c>
      <c r="R32" s="29">
        <f>IF((COUNTIFS(Input_Konektivitas!$A$3:$A$563,$A32,Input_Konektivitas!$B$3:$B$563,R$3,Input_Konektivitas!$D$3:$D$563,"&gt;0")+COUNTIFS(Input_Konektivitas!$A$3:$A$563,R$3,Input_Konektivitas!$B$3:$B$563,$A32,Input_Konektivitas!$D$3:$D$563,"&gt;0"))=0,"",SUMIFS(Input_Konektivitas!$C$3:$C$563,Input_Konektivitas!$A$3:$A$563,$A32,Input_Konektivitas!$B$3:$B$563,R$3)+SUMIFS(Input_Konektivitas!$C$3:$C$563,Input_Konektivitas!$A$3:$A$563,R$3,Input_Konektivitas!$B$3:$B$563,$A32))</f>
        <v>1</v>
      </c>
      <c r="S32" s="29">
        <f>IF((COUNTIFS(Input_Konektivitas!$A$3:$A$563,$A32,Input_Konektivitas!$B$3:$B$563,S$3,Input_Konektivitas!$D$3:$D$563,"&gt;0")+COUNTIFS(Input_Konektivitas!$A$3:$A$563,S$3,Input_Konektivitas!$B$3:$B$563,$A32,Input_Konektivitas!$D$3:$D$563,"&gt;0"))=0,"",SUMIFS(Input_Konektivitas!$C$3:$C$563,Input_Konektivitas!$A$3:$A$563,$A32,Input_Konektivitas!$B$3:$B$563,S$3)+SUMIFS(Input_Konektivitas!$C$3:$C$563,Input_Konektivitas!$A$3:$A$563,S$3,Input_Konektivitas!$B$3:$B$563,$A32))</f>
        <v>2</v>
      </c>
      <c r="T32" s="29">
        <f>IF((COUNTIFS(Input_Konektivitas!$A$3:$A$563,$A32,Input_Konektivitas!$B$3:$B$563,T$3,Input_Konektivitas!$D$3:$D$563,"&gt;0")+COUNTIFS(Input_Konektivitas!$A$3:$A$563,T$3,Input_Konektivitas!$B$3:$B$563,$A32,Input_Konektivitas!$D$3:$D$563,"&gt;0"))=0,"",SUMIFS(Input_Konektivitas!$C$3:$C$563,Input_Konektivitas!$A$3:$A$563,$A32,Input_Konektivitas!$B$3:$B$563,T$3)+SUMIFS(Input_Konektivitas!$C$3:$C$563,Input_Konektivitas!$A$3:$A$563,T$3,Input_Konektivitas!$B$3:$B$563,$A32))</f>
        <v>2</v>
      </c>
      <c r="U32" s="29">
        <f>IF((COUNTIFS(Input_Konektivitas!$A$3:$A$563,$A32,Input_Konektivitas!$B$3:$B$563,U$3,Input_Konektivitas!$D$3:$D$563,"&gt;0")+COUNTIFS(Input_Konektivitas!$A$3:$A$563,U$3,Input_Konektivitas!$B$3:$B$563,$A32,Input_Konektivitas!$D$3:$D$563,"&gt;0"))=0,"",SUMIFS(Input_Konektivitas!$C$3:$C$563,Input_Konektivitas!$A$3:$A$563,$A32,Input_Konektivitas!$B$3:$B$563,U$3)+SUMIFS(Input_Konektivitas!$C$3:$C$563,Input_Konektivitas!$A$3:$A$563,U$3,Input_Konektivitas!$B$3:$B$563,$A32))</f>
        <v>1</v>
      </c>
      <c r="V32" s="29">
        <f>IF((COUNTIFS(Input_Konektivitas!$A$3:$A$563,$A32,Input_Konektivitas!$B$3:$B$563,V$3,Input_Konektivitas!$D$3:$D$563,"&gt;0")+COUNTIFS(Input_Konektivitas!$A$3:$A$563,V$3,Input_Konektivitas!$B$3:$B$563,$A32,Input_Konektivitas!$D$3:$D$563,"&gt;0"))=0,"",SUMIFS(Input_Konektivitas!$C$3:$C$563,Input_Konektivitas!$A$3:$A$563,$A32,Input_Konektivitas!$B$3:$B$563,V$3)+SUMIFS(Input_Konektivitas!$C$3:$C$563,Input_Konektivitas!$A$3:$A$563,V$3,Input_Konektivitas!$B$3:$B$563,$A32))</f>
        <v>2</v>
      </c>
      <c r="W32" s="29">
        <f>IF((COUNTIFS(Input_Konektivitas!$A$3:$A$563,$A32,Input_Konektivitas!$B$3:$B$563,W$3,Input_Konektivitas!$D$3:$D$563,"&gt;0")+COUNTIFS(Input_Konektivitas!$A$3:$A$563,W$3,Input_Konektivitas!$B$3:$B$563,$A32,Input_Konektivitas!$D$3:$D$563,"&gt;0"))=0,"",SUMIFS(Input_Konektivitas!$C$3:$C$563,Input_Konektivitas!$A$3:$A$563,$A32,Input_Konektivitas!$B$3:$B$563,W$3)+SUMIFS(Input_Konektivitas!$C$3:$C$563,Input_Konektivitas!$A$3:$A$563,W$3,Input_Konektivitas!$B$3:$B$563,$A32))</f>
        <v>2</v>
      </c>
      <c r="X32" s="29">
        <f>IF((COUNTIFS(Input_Konektivitas!$A$3:$A$563,$A32,Input_Konektivitas!$B$3:$B$563,X$3,Input_Konektivitas!$D$3:$D$563,"&gt;0")+COUNTIFS(Input_Konektivitas!$A$3:$A$563,X$3,Input_Konektivitas!$B$3:$B$563,$A32,Input_Konektivitas!$D$3:$D$563,"&gt;0"))=0,"",SUMIFS(Input_Konektivitas!$C$3:$C$563,Input_Konektivitas!$A$3:$A$563,$A32,Input_Konektivitas!$B$3:$B$563,X$3)+SUMIFS(Input_Konektivitas!$C$3:$C$563,Input_Konektivitas!$A$3:$A$563,X$3,Input_Konektivitas!$B$3:$B$563,$A32))</f>
        <v>1</v>
      </c>
      <c r="Y32" s="29" t="str">
        <f>IF((COUNTIFS(Input_Konektivitas!$A$3:$A$563,$A32,Input_Konektivitas!$B$3:$B$563,Y$3,Input_Konektivitas!$D$3:$D$563,"&gt;0")+COUNTIFS(Input_Konektivitas!$A$3:$A$563,Y$3,Input_Konektivitas!$B$3:$B$563,$A32,Input_Konektivitas!$D$3:$D$563,"&gt;0"))=0,"",SUMIFS(Input_Konektivitas!$C$3:$C$563,Input_Konektivitas!$A$3:$A$563,$A32,Input_Konektivitas!$B$3:$B$563,Y$3)+SUMIFS(Input_Konektivitas!$C$3:$C$563,Input_Konektivitas!$A$3:$A$563,Y$3,Input_Konektivitas!$B$3:$B$563,$A32))</f>
        <v/>
      </c>
      <c r="Z32" s="29">
        <f>IF((COUNTIFS(Input_Konektivitas!$A$3:$A$563,$A32,Input_Konektivitas!$B$3:$B$563,Z$3,Input_Konektivitas!$D$3:$D$563,"&gt;0")+COUNTIFS(Input_Konektivitas!$A$3:$A$563,Z$3,Input_Konektivitas!$B$3:$B$563,$A32,Input_Konektivitas!$D$3:$D$563,"&gt;0"))=0,"",SUMIFS(Input_Konektivitas!$C$3:$C$563,Input_Konektivitas!$A$3:$A$563,$A32,Input_Konektivitas!$B$3:$B$563,Z$3)+SUMIFS(Input_Konektivitas!$C$3:$C$563,Input_Konektivitas!$A$3:$A$563,Z$3,Input_Konektivitas!$B$3:$B$563,$A32))</f>
        <v>0</v>
      </c>
      <c r="AA32" s="29">
        <f>IF((COUNTIFS(Input_Konektivitas!$A$3:$A$563,$A32,Input_Konektivitas!$B$3:$B$563,AA$3,Input_Konektivitas!$D$3:$D$563,"&gt;0")+COUNTIFS(Input_Konektivitas!$A$3:$A$563,AA$3,Input_Konektivitas!$B$3:$B$563,$A32,Input_Konektivitas!$D$3:$D$563,"&gt;0"))=0,"",SUMIFS(Input_Konektivitas!$C$3:$C$563,Input_Konektivitas!$A$3:$A$563,$A32,Input_Konektivitas!$B$3:$B$563,AA$3)+SUMIFS(Input_Konektivitas!$C$3:$C$563,Input_Konektivitas!$A$3:$A$563,AA$3,Input_Konektivitas!$B$3:$B$563,$A32))</f>
        <v>1</v>
      </c>
      <c r="AB32" s="29">
        <f>IF((COUNTIFS(Input_Konektivitas!$A$3:$A$563,$A32,Input_Konektivitas!$B$3:$B$563,AB$3,Input_Konektivitas!$D$3:$D$563,"&gt;0")+COUNTIFS(Input_Konektivitas!$A$3:$A$563,AB$3,Input_Konektivitas!$B$3:$B$563,$A32,Input_Konektivitas!$D$3:$D$563,"&gt;0"))=0,"",SUMIFS(Input_Konektivitas!$C$3:$C$563,Input_Konektivitas!$A$3:$A$563,$A32,Input_Konektivitas!$B$3:$B$563,AB$3)+SUMIFS(Input_Konektivitas!$C$3:$C$563,Input_Konektivitas!$A$3:$A$563,AB$3,Input_Konektivitas!$B$3:$B$563,$A32))</f>
        <v>0</v>
      </c>
      <c r="AC32" s="29">
        <f>IF((COUNTIFS(Input_Konektivitas!$A$3:$A$563,$A32,Input_Konektivitas!$B$3:$B$563,AC$3,Input_Konektivitas!$D$3:$D$563,"&gt;0")+COUNTIFS(Input_Konektivitas!$A$3:$A$563,AC$3,Input_Konektivitas!$B$3:$B$563,$A32,Input_Konektivitas!$D$3:$D$563,"&gt;0"))=0,"",SUMIFS(Input_Konektivitas!$C$3:$C$563,Input_Konektivitas!$A$3:$A$563,$A32,Input_Konektivitas!$B$3:$B$563,AC$3)+SUMIFS(Input_Konektivitas!$C$3:$C$563,Input_Konektivitas!$A$3:$A$563,AC$3,Input_Konektivitas!$B$3:$B$563,$A32))</f>
        <v>1</v>
      </c>
      <c r="AD32" s="26">
        <v>0.0</v>
      </c>
      <c r="AE32" s="29" t="str">
        <f>IF((COUNTIFS(Input_Konektivitas!$A$3:$A$563,$A32,Input_Konektivitas!$B$3:$B$563,AE$3,Input_Konektivitas!$D$3:$D$563,"&gt;0")+COUNTIFS(Input_Konektivitas!$A$3:$A$563,AE$3,Input_Konektivitas!$B$3:$B$563,$A32,Input_Konektivitas!$D$3:$D$563,"&gt;0"))=0,"",SUMIFS(Input_Konektivitas!$C$3:$C$563,Input_Konektivitas!$A$3:$A$563,$A32,Input_Konektivitas!$B$3:$B$563,AE$3)+SUMIFS(Input_Konektivitas!$C$3:$C$563,Input_Konektivitas!$A$3:$A$563,AE$3,Input_Konektivitas!$B$3:$B$563,$A32))</f>
        <v/>
      </c>
      <c r="AF32" s="29">
        <f>IF((COUNTIFS(Input_Konektivitas!$A$3:$A$563,$A32,Input_Konektivitas!$B$3:$B$563,AF$3,Input_Konektivitas!$D$3:$D$563,"&gt;0")+COUNTIFS(Input_Konektivitas!$A$3:$A$563,AF$3,Input_Konektivitas!$B$3:$B$563,$A32,Input_Konektivitas!$D$3:$D$563,"&gt;0"))=0,"",SUMIFS(Input_Konektivitas!$C$3:$C$563,Input_Konektivitas!$A$3:$A$563,$A32,Input_Konektivitas!$B$3:$B$563,AF$3)+SUMIFS(Input_Konektivitas!$C$3:$C$563,Input_Konektivitas!$A$3:$A$563,AF$3,Input_Konektivitas!$B$3:$B$563,$A32))</f>
        <v>2</v>
      </c>
      <c r="AG32" s="29">
        <f>IF((COUNTIFS(Input_Konektivitas!$A$3:$A$563,$A32,Input_Konektivitas!$B$3:$B$563,AG$3,Input_Konektivitas!$D$3:$D$563,"&gt;0")+COUNTIFS(Input_Konektivitas!$A$3:$A$563,AG$3,Input_Konektivitas!$B$3:$B$563,$A32,Input_Konektivitas!$D$3:$D$563,"&gt;0"))=0,"",SUMIFS(Input_Konektivitas!$C$3:$C$563,Input_Konektivitas!$A$3:$A$563,$A32,Input_Konektivitas!$B$3:$B$563,AG$3)+SUMIFS(Input_Konektivitas!$C$3:$C$563,Input_Konektivitas!$A$3:$A$563,AG$3,Input_Konektivitas!$B$3:$B$563,$A32))</f>
        <v>1</v>
      </c>
      <c r="AH32" s="29">
        <f>IF((COUNTIFS(Input_Konektivitas!$A$3:$A$563,$A32,Input_Konektivitas!$B$3:$B$563,AH$3,Input_Konektivitas!$D$3:$D$563,"&gt;0")+COUNTIFS(Input_Konektivitas!$A$3:$A$563,AH$3,Input_Konektivitas!$B$3:$B$563,$A32,Input_Konektivitas!$D$3:$D$563,"&gt;0"))=0,"",SUMIFS(Input_Konektivitas!$C$3:$C$563,Input_Konektivitas!$A$3:$A$563,$A32,Input_Konektivitas!$B$3:$B$563,AH$3)+SUMIFS(Input_Konektivitas!$C$3:$C$563,Input_Konektivitas!$A$3:$A$563,AH$3,Input_Konektivitas!$B$3:$B$563,$A32))</f>
        <v>2</v>
      </c>
      <c r="AI32" s="29">
        <f>IF((COUNTIFS(Input_Konektivitas!$A$3:$A$563,$A32,Input_Konektivitas!$B$3:$B$563,AI$3,Input_Konektivitas!$D$3:$D$563,"&gt;0")+COUNTIFS(Input_Konektivitas!$A$3:$A$563,AI$3,Input_Konektivitas!$B$3:$B$563,$A32,Input_Konektivitas!$D$3:$D$563,"&gt;0"))=0,"",SUMIFS(Input_Konektivitas!$C$3:$C$563,Input_Konektivitas!$A$3:$A$563,$A32,Input_Konektivitas!$B$3:$B$563,AI$3)+SUMIFS(Input_Konektivitas!$C$3:$C$563,Input_Konektivitas!$A$3:$A$563,AI$3,Input_Konektivitas!$B$3:$B$563,$A32))</f>
        <v>1</v>
      </c>
    </row>
    <row r="33" ht="14.25" customHeight="1">
      <c r="A33" s="22" t="s">
        <v>92</v>
      </c>
      <c r="B33" s="29">
        <f>IF((COUNTIFS(Input_Konektivitas!$A$3:$A$563,$A33,Input_Konektivitas!$B$3:$B$563,B$3,Input_Konektivitas!$D$3:$D$563,"&gt;0")+COUNTIFS(Input_Konektivitas!$A$3:$A$563,B$3,Input_Konektivitas!$B$3:$B$563,$A33,Input_Konektivitas!$D$3:$D$563,"&gt;0"))=0,"",SUMIFS(Input_Konektivitas!$C$3:$C$563,Input_Konektivitas!$A$3:$A$563,$A33,Input_Konektivitas!$B$3:$B$563,B$3)+SUMIFS(Input_Konektivitas!$C$3:$C$563,Input_Konektivitas!$A$3:$A$563,B$3,Input_Konektivitas!$B$3:$B$563,$A33))</f>
        <v>2</v>
      </c>
      <c r="C33" s="29">
        <f>IF((COUNTIFS(Input_Konektivitas!$A$3:$A$563,$A33,Input_Konektivitas!$B$3:$B$563,C$3,Input_Konektivitas!$D$3:$D$563,"&gt;0")+COUNTIFS(Input_Konektivitas!$A$3:$A$563,C$3,Input_Konektivitas!$B$3:$B$563,$A33,Input_Konektivitas!$D$3:$D$563,"&gt;0"))=0,"",SUMIFS(Input_Konektivitas!$C$3:$C$563,Input_Konektivitas!$A$3:$A$563,$A33,Input_Konektivitas!$B$3:$B$563,C$3)+SUMIFS(Input_Konektivitas!$C$3:$C$563,Input_Konektivitas!$A$3:$A$563,C$3,Input_Konektivitas!$B$3:$B$563,$A33))</f>
        <v>2</v>
      </c>
      <c r="D33" s="29">
        <f>IF((COUNTIFS(Input_Konektivitas!$A$3:$A$563,$A33,Input_Konektivitas!$B$3:$B$563,D$3,Input_Konektivitas!$D$3:$D$563,"&gt;0")+COUNTIFS(Input_Konektivitas!$A$3:$A$563,D$3,Input_Konektivitas!$B$3:$B$563,$A33,Input_Konektivitas!$D$3:$D$563,"&gt;0"))=0,"",SUMIFS(Input_Konektivitas!$C$3:$C$563,Input_Konektivitas!$A$3:$A$563,$A33,Input_Konektivitas!$B$3:$B$563,D$3)+SUMIFS(Input_Konektivitas!$C$3:$C$563,Input_Konektivitas!$A$3:$A$563,D$3,Input_Konektivitas!$B$3:$B$563,$A33))</f>
        <v>2</v>
      </c>
      <c r="E33" s="29">
        <f>IF((COUNTIFS(Input_Konektivitas!$A$3:$A$563,$A33,Input_Konektivitas!$B$3:$B$563,E$3,Input_Konektivitas!$D$3:$D$563,"&gt;0")+COUNTIFS(Input_Konektivitas!$A$3:$A$563,E$3,Input_Konektivitas!$B$3:$B$563,$A33,Input_Konektivitas!$D$3:$D$563,"&gt;0"))=0,"",SUMIFS(Input_Konektivitas!$C$3:$C$563,Input_Konektivitas!$A$3:$A$563,$A33,Input_Konektivitas!$B$3:$B$563,E$3)+SUMIFS(Input_Konektivitas!$C$3:$C$563,Input_Konektivitas!$A$3:$A$563,E$3,Input_Konektivitas!$B$3:$B$563,$A33))</f>
        <v>1</v>
      </c>
      <c r="F33" s="29">
        <f>IF((COUNTIFS(Input_Konektivitas!$A$3:$A$563,$A33,Input_Konektivitas!$B$3:$B$563,F$3,Input_Konektivitas!$D$3:$D$563,"&gt;0")+COUNTIFS(Input_Konektivitas!$A$3:$A$563,F$3,Input_Konektivitas!$B$3:$B$563,$A33,Input_Konektivitas!$D$3:$D$563,"&gt;0"))=0,"",SUMIFS(Input_Konektivitas!$C$3:$C$563,Input_Konektivitas!$A$3:$A$563,$A33,Input_Konektivitas!$B$3:$B$563,F$3)+SUMIFS(Input_Konektivitas!$C$3:$C$563,Input_Konektivitas!$A$3:$A$563,F$3,Input_Konektivitas!$B$3:$B$563,$A33))</f>
        <v>2</v>
      </c>
      <c r="G33" s="29">
        <f>IF((COUNTIFS(Input_Konektivitas!$A$3:$A$563,$A33,Input_Konektivitas!$B$3:$B$563,G$3,Input_Konektivitas!$D$3:$D$563,"&gt;0")+COUNTIFS(Input_Konektivitas!$A$3:$A$563,G$3,Input_Konektivitas!$B$3:$B$563,$A33,Input_Konektivitas!$D$3:$D$563,"&gt;0"))=0,"",SUMIFS(Input_Konektivitas!$C$3:$C$563,Input_Konektivitas!$A$3:$A$563,$A33,Input_Konektivitas!$B$3:$B$563,G$3)+SUMIFS(Input_Konektivitas!$C$3:$C$563,Input_Konektivitas!$A$3:$A$563,G$3,Input_Konektivitas!$B$3:$B$563,$A33))</f>
        <v>1</v>
      </c>
      <c r="H33" s="29">
        <f>IF((COUNTIFS(Input_Konektivitas!$A$3:$A$563,$A33,Input_Konektivitas!$B$3:$B$563,H$3,Input_Konektivitas!$D$3:$D$563,"&gt;0")+COUNTIFS(Input_Konektivitas!$A$3:$A$563,H$3,Input_Konektivitas!$B$3:$B$563,$A33,Input_Konektivitas!$D$3:$D$563,"&gt;0"))=0,"",SUMIFS(Input_Konektivitas!$C$3:$C$563,Input_Konektivitas!$A$3:$A$563,$A33,Input_Konektivitas!$B$3:$B$563,H$3)+SUMIFS(Input_Konektivitas!$C$3:$C$563,Input_Konektivitas!$A$3:$A$563,H$3,Input_Konektivitas!$B$3:$B$563,$A33))</f>
        <v>2</v>
      </c>
      <c r="I33" s="29">
        <f>IF((COUNTIFS(Input_Konektivitas!$A$3:$A$563,$A33,Input_Konektivitas!$B$3:$B$563,I$3,Input_Konektivitas!$D$3:$D$563,"&gt;0")+COUNTIFS(Input_Konektivitas!$A$3:$A$563,I$3,Input_Konektivitas!$B$3:$B$563,$A33,Input_Konektivitas!$D$3:$D$563,"&gt;0"))=0,"",SUMIFS(Input_Konektivitas!$C$3:$C$563,Input_Konektivitas!$A$3:$A$563,$A33,Input_Konektivitas!$B$3:$B$563,I$3)+SUMIFS(Input_Konektivitas!$C$3:$C$563,Input_Konektivitas!$A$3:$A$563,I$3,Input_Konektivitas!$B$3:$B$563,$A33))</f>
        <v>1</v>
      </c>
      <c r="J33" s="29">
        <f>IF((COUNTIFS(Input_Konektivitas!$A$3:$A$563,$A33,Input_Konektivitas!$B$3:$B$563,J$3,Input_Konektivitas!$D$3:$D$563,"&gt;0")+COUNTIFS(Input_Konektivitas!$A$3:$A$563,J$3,Input_Konektivitas!$B$3:$B$563,$A33,Input_Konektivitas!$D$3:$D$563,"&gt;0"))=0,"",SUMIFS(Input_Konektivitas!$C$3:$C$563,Input_Konektivitas!$A$3:$A$563,$A33,Input_Konektivitas!$B$3:$B$563,J$3)+SUMIFS(Input_Konektivitas!$C$3:$C$563,Input_Konektivitas!$A$3:$A$563,J$3,Input_Konektivitas!$B$3:$B$563,$A33))</f>
        <v>1</v>
      </c>
      <c r="K33" s="29">
        <f>IF((COUNTIFS(Input_Konektivitas!$A$3:$A$563,$A33,Input_Konektivitas!$B$3:$B$563,K$3,Input_Konektivitas!$D$3:$D$563,"&gt;0")+COUNTIFS(Input_Konektivitas!$A$3:$A$563,K$3,Input_Konektivitas!$B$3:$B$563,$A33,Input_Konektivitas!$D$3:$D$563,"&gt;0"))=0,"",SUMIFS(Input_Konektivitas!$C$3:$C$563,Input_Konektivitas!$A$3:$A$563,$A33,Input_Konektivitas!$B$3:$B$563,K$3)+SUMIFS(Input_Konektivitas!$C$3:$C$563,Input_Konektivitas!$A$3:$A$563,K$3,Input_Konektivitas!$B$3:$B$563,$A33))</f>
        <v>2</v>
      </c>
      <c r="L33" s="29">
        <f>IF((COUNTIFS(Input_Konektivitas!$A$3:$A$563,$A33,Input_Konektivitas!$B$3:$B$563,L$3,Input_Konektivitas!$D$3:$D$563,"&gt;0")+COUNTIFS(Input_Konektivitas!$A$3:$A$563,L$3,Input_Konektivitas!$B$3:$B$563,$A33,Input_Konektivitas!$D$3:$D$563,"&gt;0"))=0,"",SUMIFS(Input_Konektivitas!$C$3:$C$563,Input_Konektivitas!$A$3:$A$563,$A33,Input_Konektivitas!$B$3:$B$563,L$3)+SUMIFS(Input_Konektivitas!$C$3:$C$563,Input_Konektivitas!$A$3:$A$563,L$3,Input_Konektivitas!$B$3:$B$563,$A33))</f>
        <v>1</v>
      </c>
      <c r="M33" s="29">
        <f>IF((COUNTIFS(Input_Konektivitas!$A$3:$A$563,$A33,Input_Konektivitas!$B$3:$B$563,M$3,Input_Konektivitas!$D$3:$D$563,"&gt;0")+COUNTIFS(Input_Konektivitas!$A$3:$A$563,M$3,Input_Konektivitas!$B$3:$B$563,$A33,Input_Konektivitas!$D$3:$D$563,"&gt;0"))=0,"",SUMIFS(Input_Konektivitas!$C$3:$C$563,Input_Konektivitas!$A$3:$A$563,$A33,Input_Konektivitas!$B$3:$B$563,M$3)+SUMIFS(Input_Konektivitas!$C$3:$C$563,Input_Konektivitas!$A$3:$A$563,M$3,Input_Konektivitas!$B$3:$B$563,$A33))</f>
        <v>3</v>
      </c>
      <c r="N33" s="29">
        <f>IF((COUNTIFS(Input_Konektivitas!$A$3:$A$563,$A33,Input_Konektivitas!$B$3:$B$563,N$3,Input_Konektivitas!$D$3:$D$563,"&gt;0")+COUNTIFS(Input_Konektivitas!$A$3:$A$563,N$3,Input_Konektivitas!$B$3:$B$563,$A33,Input_Konektivitas!$D$3:$D$563,"&gt;0"))=0,"",SUMIFS(Input_Konektivitas!$C$3:$C$563,Input_Konektivitas!$A$3:$A$563,$A33,Input_Konektivitas!$B$3:$B$563,N$3)+SUMIFS(Input_Konektivitas!$C$3:$C$563,Input_Konektivitas!$A$3:$A$563,N$3,Input_Konektivitas!$B$3:$B$563,$A33))</f>
        <v>2</v>
      </c>
      <c r="O33" s="29">
        <f>IF((COUNTIFS(Input_Konektivitas!$A$3:$A$563,$A33,Input_Konektivitas!$B$3:$B$563,O$3,Input_Konektivitas!$D$3:$D$563,"&gt;0")+COUNTIFS(Input_Konektivitas!$A$3:$A$563,O$3,Input_Konektivitas!$B$3:$B$563,$A33,Input_Konektivitas!$D$3:$D$563,"&gt;0"))=0,"",SUMIFS(Input_Konektivitas!$C$3:$C$563,Input_Konektivitas!$A$3:$A$563,$A33,Input_Konektivitas!$B$3:$B$563,O$3)+SUMIFS(Input_Konektivitas!$C$3:$C$563,Input_Konektivitas!$A$3:$A$563,O$3,Input_Konektivitas!$B$3:$B$563,$A33))</f>
        <v>1</v>
      </c>
      <c r="P33" s="29">
        <f>IF((COUNTIFS(Input_Konektivitas!$A$3:$A$563,$A33,Input_Konektivitas!$B$3:$B$563,P$3,Input_Konektivitas!$D$3:$D$563,"&gt;0")+COUNTIFS(Input_Konektivitas!$A$3:$A$563,P$3,Input_Konektivitas!$B$3:$B$563,$A33,Input_Konektivitas!$D$3:$D$563,"&gt;0"))=0,"",SUMIFS(Input_Konektivitas!$C$3:$C$563,Input_Konektivitas!$A$3:$A$563,$A33,Input_Konektivitas!$B$3:$B$563,P$3)+SUMIFS(Input_Konektivitas!$C$3:$C$563,Input_Konektivitas!$A$3:$A$563,P$3,Input_Konektivitas!$B$3:$B$563,$A33))</f>
        <v>1</v>
      </c>
      <c r="Q33" s="29" t="str">
        <f>IF((COUNTIFS(Input_Konektivitas!$A$3:$A$563,$A33,Input_Konektivitas!$B$3:$B$563,Q$3,Input_Konektivitas!$D$3:$D$563,"&gt;0")+COUNTIFS(Input_Konektivitas!$A$3:$A$563,Q$3,Input_Konektivitas!$B$3:$B$563,$A33,Input_Konektivitas!$D$3:$D$563,"&gt;0"))=0,"",SUMIFS(Input_Konektivitas!$C$3:$C$563,Input_Konektivitas!$A$3:$A$563,$A33,Input_Konektivitas!$B$3:$B$563,Q$3)+SUMIFS(Input_Konektivitas!$C$3:$C$563,Input_Konektivitas!$A$3:$A$563,Q$3,Input_Konektivitas!$B$3:$B$563,$A33))</f>
        <v/>
      </c>
      <c r="R33" s="29">
        <f>IF((COUNTIFS(Input_Konektivitas!$A$3:$A$563,$A33,Input_Konektivitas!$B$3:$B$563,R$3,Input_Konektivitas!$D$3:$D$563,"&gt;0")+COUNTIFS(Input_Konektivitas!$A$3:$A$563,R$3,Input_Konektivitas!$B$3:$B$563,$A33,Input_Konektivitas!$D$3:$D$563,"&gt;0"))=0,"",SUMIFS(Input_Konektivitas!$C$3:$C$563,Input_Konektivitas!$A$3:$A$563,$A33,Input_Konektivitas!$B$3:$B$563,R$3)+SUMIFS(Input_Konektivitas!$C$3:$C$563,Input_Konektivitas!$A$3:$A$563,R$3,Input_Konektivitas!$B$3:$B$563,$A33))</f>
        <v>1</v>
      </c>
      <c r="S33" s="29">
        <f>IF((COUNTIFS(Input_Konektivitas!$A$3:$A$563,$A33,Input_Konektivitas!$B$3:$B$563,S$3,Input_Konektivitas!$D$3:$D$563,"&gt;0")+COUNTIFS(Input_Konektivitas!$A$3:$A$563,S$3,Input_Konektivitas!$B$3:$B$563,$A33,Input_Konektivitas!$D$3:$D$563,"&gt;0"))=0,"",SUMIFS(Input_Konektivitas!$C$3:$C$563,Input_Konektivitas!$A$3:$A$563,$A33,Input_Konektivitas!$B$3:$B$563,S$3)+SUMIFS(Input_Konektivitas!$C$3:$C$563,Input_Konektivitas!$A$3:$A$563,S$3,Input_Konektivitas!$B$3:$B$563,$A33))</f>
        <v>2</v>
      </c>
      <c r="T33" s="29">
        <f>IF((COUNTIFS(Input_Konektivitas!$A$3:$A$563,$A33,Input_Konektivitas!$B$3:$B$563,T$3,Input_Konektivitas!$D$3:$D$563,"&gt;0")+COUNTIFS(Input_Konektivitas!$A$3:$A$563,T$3,Input_Konektivitas!$B$3:$B$563,$A33,Input_Konektivitas!$D$3:$D$563,"&gt;0"))=0,"",SUMIFS(Input_Konektivitas!$C$3:$C$563,Input_Konektivitas!$A$3:$A$563,$A33,Input_Konektivitas!$B$3:$B$563,T$3)+SUMIFS(Input_Konektivitas!$C$3:$C$563,Input_Konektivitas!$A$3:$A$563,T$3,Input_Konektivitas!$B$3:$B$563,$A33))</f>
        <v>2</v>
      </c>
      <c r="U33" s="29">
        <f>IF((COUNTIFS(Input_Konektivitas!$A$3:$A$563,$A33,Input_Konektivitas!$B$3:$B$563,U$3,Input_Konektivitas!$D$3:$D$563,"&gt;0")+COUNTIFS(Input_Konektivitas!$A$3:$A$563,U$3,Input_Konektivitas!$B$3:$B$563,$A33,Input_Konektivitas!$D$3:$D$563,"&gt;0"))=0,"",SUMIFS(Input_Konektivitas!$C$3:$C$563,Input_Konektivitas!$A$3:$A$563,$A33,Input_Konektivitas!$B$3:$B$563,U$3)+SUMIFS(Input_Konektivitas!$C$3:$C$563,Input_Konektivitas!$A$3:$A$563,U$3,Input_Konektivitas!$B$3:$B$563,$A33))</f>
        <v>2</v>
      </c>
      <c r="V33" s="29">
        <f>IF((COUNTIFS(Input_Konektivitas!$A$3:$A$563,$A33,Input_Konektivitas!$B$3:$B$563,V$3,Input_Konektivitas!$D$3:$D$563,"&gt;0")+COUNTIFS(Input_Konektivitas!$A$3:$A$563,V$3,Input_Konektivitas!$B$3:$B$563,$A33,Input_Konektivitas!$D$3:$D$563,"&gt;0"))=0,"",SUMIFS(Input_Konektivitas!$C$3:$C$563,Input_Konektivitas!$A$3:$A$563,$A33,Input_Konektivitas!$B$3:$B$563,V$3)+SUMIFS(Input_Konektivitas!$C$3:$C$563,Input_Konektivitas!$A$3:$A$563,V$3,Input_Konektivitas!$B$3:$B$563,$A33))</f>
        <v>2</v>
      </c>
      <c r="W33" s="29">
        <f>IF((COUNTIFS(Input_Konektivitas!$A$3:$A$563,$A33,Input_Konektivitas!$B$3:$B$563,W$3,Input_Konektivitas!$D$3:$D$563,"&gt;0")+COUNTIFS(Input_Konektivitas!$A$3:$A$563,W$3,Input_Konektivitas!$B$3:$B$563,$A33,Input_Konektivitas!$D$3:$D$563,"&gt;0"))=0,"",SUMIFS(Input_Konektivitas!$C$3:$C$563,Input_Konektivitas!$A$3:$A$563,$A33,Input_Konektivitas!$B$3:$B$563,W$3)+SUMIFS(Input_Konektivitas!$C$3:$C$563,Input_Konektivitas!$A$3:$A$563,W$3,Input_Konektivitas!$B$3:$B$563,$A33))</f>
        <v>1</v>
      </c>
      <c r="X33" s="29">
        <f>IF((COUNTIFS(Input_Konektivitas!$A$3:$A$563,$A33,Input_Konektivitas!$B$3:$B$563,X$3,Input_Konektivitas!$D$3:$D$563,"&gt;0")+COUNTIFS(Input_Konektivitas!$A$3:$A$563,X$3,Input_Konektivitas!$B$3:$B$563,$A33,Input_Konektivitas!$D$3:$D$563,"&gt;0"))=0,"",SUMIFS(Input_Konektivitas!$C$3:$C$563,Input_Konektivitas!$A$3:$A$563,$A33,Input_Konektivitas!$B$3:$B$563,X$3)+SUMIFS(Input_Konektivitas!$C$3:$C$563,Input_Konektivitas!$A$3:$A$563,X$3,Input_Konektivitas!$B$3:$B$563,$A33))</f>
        <v>0</v>
      </c>
      <c r="Y33" s="29">
        <f>IF((COUNTIFS(Input_Konektivitas!$A$3:$A$563,$A33,Input_Konektivitas!$B$3:$B$563,Y$3,Input_Konektivitas!$D$3:$D$563,"&gt;0")+COUNTIFS(Input_Konektivitas!$A$3:$A$563,Y$3,Input_Konektivitas!$B$3:$B$563,$A33,Input_Konektivitas!$D$3:$D$563,"&gt;0"))=0,"",SUMIFS(Input_Konektivitas!$C$3:$C$563,Input_Konektivitas!$A$3:$A$563,$A33,Input_Konektivitas!$B$3:$B$563,Y$3)+SUMIFS(Input_Konektivitas!$C$3:$C$563,Input_Konektivitas!$A$3:$A$563,Y$3,Input_Konektivitas!$B$3:$B$563,$A33))</f>
        <v>2</v>
      </c>
      <c r="Z33" s="29">
        <f>IF((COUNTIFS(Input_Konektivitas!$A$3:$A$563,$A33,Input_Konektivitas!$B$3:$B$563,Z$3,Input_Konektivitas!$D$3:$D$563,"&gt;0")+COUNTIFS(Input_Konektivitas!$A$3:$A$563,Z$3,Input_Konektivitas!$B$3:$B$563,$A33,Input_Konektivitas!$D$3:$D$563,"&gt;0"))=0,"",SUMIFS(Input_Konektivitas!$C$3:$C$563,Input_Konektivitas!$A$3:$A$563,$A33,Input_Konektivitas!$B$3:$B$563,Z$3)+SUMIFS(Input_Konektivitas!$C$3:$C$563,Input_Konektivitas!$A$3:$A$563,Z$3,Input_Konektivitas!$B$3:$B$563,$A33))</f>
        <v>1</v>
      </c>
      <c r="AA33" s="29">
        <f>IF((COUNTIFS(Input_Konektivitas!$A$3:$A$563,$A33,Input_Konektivitas!$B$3:$B$563,AA$3,Input_Konektivitas!$D$3:$D$563,"&gt;0")+COUNTIFS(Input_Konektivitas!$A$3:$A$563,AA$3,Input_Konektivitas!$B$3:$B$563,$A33,Input_Konektivitas!$D$3:$D$563,"&gt;0"))=0,"",SUMIFS(Input_Konektivitas!$C$3:$C$563,Input_Konektivitas!$A$3:$A$563,$A33,Input_Konektivitas!$B$3:$B$563,AA$3)+SUMIFS(Input_Konektivitas!$C$3:$C$563,Input_Konektivitas!$A$3:$A$563,AA$3,Input_Konektivitas!$B$3:$B$563,$A33))</f>
        <v>1</v>
      </c>
      <c r="AB33" s="29">
        <f>IF((COUNTIFS(Input_Konektivitas!$A$3:$A$563,$A33,Input_Konektivitas!$B$3:$B$563,AB$3,Input_Konektivitas!$D$3:$D$563,"&gt;0")+COUNTIFS(Input_Konektivitas!$A$3:$A$563,AB$3,Input_Konektivitas!$B$3:$B$563,$A33,Input_Konektivitas!$D$3:$D$563,"&gt;0"))=0,"",SUMIFS(Input_Konektivitas!$C$3:$C$563,Input_Konektivitas!$A$3:$A$563,$A33,Input_Konektivitas!$B$3:$B$563,AB$3)+SUMIFS(Input_Konektivitas!$C$3:$C$563,Input_Konektivitas!$A$3:$A$563,AB$3,Input_Konektivitas!$B$3:$B$563,$A33))</f>
        <v>0</v>
      </c>
      <c r="AC33" s="29">
        <f>IF((COUNTIFS(Input_Konektivitas!$A$3:$A$563,$A33,Input_Konektivitas!$B$3:$B$563,AC$3,Input_Konektivitas!$D$3:$D$563,"&gt;0")+COUNTIFS(Input_Konektivitas!$A$3:$A$563,AC$3,Input_Konektivitas!$B$3:$B$563,$A33,Input_Konektivitas!$D$3:$D$563,"&gt;0"))=0,"",SUMIFS(Input_Konektivitas!$C$3:$C$563,Input_Konektivitas!$A$3:$A$563,$A33,Input_Konektivitas!$B$3:$B$563,AC$3)+SUMIFS(Input_Konektivitas!$C$3:$C$563,Input_Konektivitas!$A$3:$A$563,AC$3,Input_Konektivitas!$B$3:$B$563,$A33))</f>
        <v>1</v>
      </c>
      <c r="AD33" s="29" t="str">
        <f>IF((COUNTIFS(Input_Konektivitas!$A$3:$A$563,$A33,Input_Konektivitas!$B$3:$B$563,AD$3,Input_Konektivitas!$D$3:$D$563,"&gt;0")+COUNTIFS(Input_Konektivitas!$A$3:$A$563,AD$3,Input_Konektivitas!$B$3:$B$563,$A33,Input_Konektivitas!$D$3:$D$563,"&gt;0"))=0,"",SUMIFS(Input_Konektivitas!$C$3:$C$563,Input_Konektivitas!$A$3:$A$563,$A33,Input_Konektivitas!$B$3:$B$563,AD$3)+SUMIFS(Input_Konektivitas!$C$3:$C$563,Input_Konektivitas!$A$3:$A$563,AD$3,Input_Konektivitas!$B$3:$B$563,$A33))</f>
        <v/>
      </c>
      <c r="AE33" s="26">
        <v>0.0</v>
      </c>
      <c r="AF33" s="29">
        <f>IF((COUNTIFS(Input_Konektivitas!$A$3:$A$563,$A33,Input_Konektivitas!$B$3:$B$563,AF$3,Input_Konektivitas!$D$3:$D$563,"&gt;0")+COUNTIFS(Input_Konektivitas!$A$3:$A$563,AF$3,Input_Konektivitas!$B$3:$B$563,$A33,Input_Konektivitas!$D$3:$D$563,"&gt;0"))=0,"",SUMIFS(Input_Konektivitas!$C$3:$C$563,Input_Konektivitas!$A$3:$A$563,$A33,Input_Konektivitas!$B$3:$B$563,AF$3)+SUMIFS(Input_Konektivitas!$C$3:$C$563,Input_Konektivitas!$A$3:$A$563,AF$3,Input_Konektivitas!$B$3:$B$563,$A33))</f>
        <v>2</v>
      </c>
      <c r="AG33" s="29">
        <f>IF((COUNTIFS(Input_Konektivitas!$A$3:$A$563,$A33,Input_Konektivitas!$B$3:$B$563,AG$3,Input_Konektivitas!$D$3:$D$563,"&gt;0")+COUNTIFS(Input_Konektivitas!$A$3:$A$563,AG$3,Input_Konektivitas!$B$3:$B$563,$A33,Input_Konektivitas!$D$3:$D$563,"&gt;0"))=0,"",SUMIFS(Input_Konektivitas!$C$3:$C$563,Input_Konektivitas!$A$3:$A$563,$A33,Input_Konektivitas!$B$3:$B$563,AG$3)+SUMIFS(Input_Konektivitas!$C$3:$C$563,Input_Konektivitas!$A$3:$A$563,AG$3,Input_Konektivitas!$B$3:$B$563,$A33))</f>
        <v>1</v>
      </c>
      <c r="AH33" s="29">
        <f>IF((COUNTIFS(Input_Konektivitas!$A$3:$A$563,$A33,Input_Konektivitas!$B$3:$B$563,AH$3,Input_Konektivitas!$D$3:$D$563,"&gt;0")+COUNTIFS(Input_Konektivitas!$A$3:$A$563,AH$3,Input_Konektivitas!$B$3:$B$563,$A33,Input_Konektivitas!$D$3:$D$563,"&gt;0"))=0,"",SUMIFS(Input_Konektivitas!$C$3:$C$563,Input_Konektivitas!$A$3:$A$563,$A33,Input_Konektivitas!$B$3:$B$563,AH$3)+SUMIFS(Input_Konektivitas!$C$3:$C$563,Input_Konektivitas!$A$3:$A$563,AH$3,Input_Konektivitas!$B$3:$B$563,$A33))</f>
        <v>1</v>
      </c>
      <c r="AI33" s="29">
        <f>IF((COUNTIFS(Input_Konektivitas!$A$3:$A$563,$A33,Input_Konektivitas!$B$3:$B$563,AI$3,Input_Konektivitas!$D$3:$D$563,"&gt;0")+COUNTIFS(Input_Konektivitas!$A$3:$A$563,AI$3,Input_Konektivitas!$B$3:$B$563,$A33,Input_Konektivitas!$D$3:$D$563,"&gt;0"))=0,"",SUMIFS(Input_Konektivitas!$C$3:$C$563,Input_Konektivitas!$A$3:$A$563,$A33,Input_Konektivitas!$B$3:$B$563,AI$3)+SUMIFS(Input_Konektivitas!$C$3:$C$563,Input_Konektivitas!$A$3:$A$563,AI$3,Input_Konektivitas!$B$3:$B$563,$A33))</f>
        <v>1</v>
      </c>
    </row>
    <row r="34" ht="14.25" customHeight="1">
      <c r="A34" s="22" t="s">
        <v>94</v>
      </c>
      <c r="B34" s="29">
        <f>IF((COUNTIFS(Input_Konektivitas!$A$3:$A$563,$A34,Input_Konektivitas!$B$3:$B$563,B$3,Input_Konektivitas!$D$3:$D$563,"&gt;0")+COUNTIFS(Input_Konektivitas!$A$3:$A$563,B$3,Input_Konektivitas!$B$3:$B$563,$A34,Input_Konektivitas!$D$3:$D$563,"&gt;0"))=0,"",SUMIFS(Input_Konektivitas!$C$3:$C$563,Input_Konektivitas!$A$3:$A$563,$A34,Input_Konektivitas!$B$3:$B$563,B$3)+SUMIFS(Input_Konektivitas!$C$3:$C$563,Input_Konektivitas!$A$3:$A$563,B$3,Input_Konektivitas!$B$3:$B$563,$A34))</f>
        <v>1</v>
      </c>
      <c r="C34" s="29">
        <f>IF((COUNTIFS(Input_Konektivitas!$A$3:$A$563,$A34,Input_Konektivitas!$B$3:$B$563,C$3,Input_Konektivitas!$D$3:$D$563,"&gt;0")+COUNTIFS(Input_Konektivitas!$A$3:$A$563,C$3,Input_Konektivitas!$B$3:$B$563,$A34,Input_Konektivitas!$D$3:$D$563,"&gt;0"))=0,"",SUMIFS(Input_Konektivitas!$C$3:$C$563,Input_Konektivitas!$A$3:$A$563,$A34,Input_Konektivitas!$B$3:$B$563,C$3)+SUMIFS(Input_Konektivitas!$C$3:$C$563,Input_Konektivitas!$A$3:$A$563,C$3,Input_Konektivitas!$B$3:$B$563,$A34))</f>
        <v>1</v>
      </c>
      <c r="D34" s="29">
        <f>IF((COUNTIFS(Input_Konektivitas!$A$3:$A$563,$A34,Input_Konektivitas!$B$3:$B$563,D$3,Input_Konektivitas!$D$3:$D$563,"&gt;0")+COUNTIFS(Input_Konektivitas!$A$3:$A$563,D$3,Input_Konektivitas!$B$3:$B$563,$A34,Input_Konektivitas!$D$3:$D$563,"&gt;0"))=0,"",SUMIFS(Input_Konektivitas!$C$3:$C$563,Input_Konektivitas!$A$3:$A$563,$A34,Input_Konektivitas!$B$3:$B$563,D$3)+SUMIFS(Input_Konektivitas!$C$3:$C$563,Input_Konektivitas!$A$3:$A$563,D$3,Input_Konektivitas!$B$3:$B$563,$A34))</f>
        <v>1</v>
      </c>
      <c r="E34" s="29">
        <f>IF((COUNTIFS(Input_Konektivitas!$A$3:$A$563,$A34,Input_Konektivitas!$B$3:$B$563,E$3,Input_Konektivitas!$D$3:$D$563,"&gt;0")+COUNTIFS(Input_Konektivitas!$A$3:$A$563,E$3,Input_Konektivitas!$B$3:$B$563,$A34,Input_Konektivitas!$D$3:$D$563,"&gt;0"))=0,"",SUMIFS(Input_Konektivitas!$C$3:$C$563,Input_Konektivitas!$A$3:$A$563,$A34,Input_Konektivitas!$B$3:$B$563,E$3)+SUMIFS(Input_Konektivitas!$C$3:$C$563,Input_Konektivitas!$A$3:$A$563,E$3,Input_Konektivitas!$B$3:$B$563,$A34))</f>
        <v>2</v>
      </c>
      <c r="F34" s="29">
        <f>IF((COUNTIFS(Input_Konektivitas!$A$3:$A$563,$A34,Input_Konektivitas!$B$3:$B$563,F$3,Input_Konektivitas!$D$3:$D$563,"&gt;0")+COUNTIFS(Input_Konektivitas!$A$3:$A$563,F$3,Input_Konektivitas!$B$3:$B$563,$A34,Input_Konektivitas!$D$3:$D$563,"&gt;0"))=0,"",SUMIFS(Input_Konektivitas!$C$3:$C$563,Input_Konektivitas!$A$3:$A$563,$A34,Input_Konektivitas!$B$3:$B$563,F$3)+SUMIFS(Input_Konektivitas!$C$3:$C$563,Input_Konektivitas!$A$3:$A$563,F$3,Input_Konektivitas!$B$3:$B$563,$A34))</f>
        <v>1</v>
      </c>
      <c r="G34" s="29">
        <f>IF((COUNTIFS(Input_Konektivitas!$A$3:$A$563,$A34,Input_Konektivitas!$B$3:$B$563,G$3,Input_Konektivitas!$D$3:$D$563,"&gt;0")+COUNTIFS(Input_Konektivitas!$A$3:$A$563,G$3,Input_Konektivitas!$B$3:$B$563,$A34,Input_Konektivitas!$D$3:$D$563,"&gt;0"))=0,"",SUMIFS(Input_Konektivitas!$C$3:$C$563,Input_Konektivitas!$A$3:$A$563,$A34,Input_Konektivitas!$B$3:$B$563,G$3)+SUMIFS(Input_Konektivitas!$C$3:$C$563,Input_Konektivitas!$A$3:$A$563,G$3,Input_Konektivitas!$B$3:$B$563,$A34))</f>
        <v>1</v>
      </c>
      <c r="H34" s="29">
        <f>IF((COUNTIFS(Input_Konektivitas!$A$3:$A$563,$A34,Input_Konektivitas!$B$3:$B$563,H$3,Input_Konektivitas!$D$3:$D$563,"&gt;0")+COUNTIFS(Input_Konektivitas!$A$3:$A$563,H$3,Input_Konektivitas!$B$3:$B$563,$A34,Input_Konektivitas!$D$3:$D$563,"&gt;0"))=0,"",SUMIFS(Input_Konektivitas!$C$3:$C$563,Input_Konektivitas!$A$3:$A$563,$A34,Input_Konektivitas!$B$3:$B$563,H$3)+SUMIFS(Input_Konektivitas!$C$3:$C$563,Input_Konektivitas!$A$3:$A$563,H$3,Input_Konektivitas!$B$3:$B$563,$A34))</f>
        <v>1</v>
      </c>
      <c r="I34" s="29">
        <f>IF((COUNTIFS(Input_Konektivitas!$A$3:$A$563,$A34,Input_Konektivitas!$B$3:$B$563,I$3,Input_Konektivitas!$D$3:$D$563,"&gt;0")+COUNTIFS(Input_Konektivitas!$A$3:$A$563,I$3,Input_Konektivitas!$B$3:$B$563,$A34,Input_Konektivitas!$D$3:$D$563,"&gt;0"))=0,"",SUMIFS(Input_Konektivitas!$C$3:$C$563,Input_Konektivitas!$A$3:$A$563,$A34,Input_Konektivitas!$B$3:$B$563,I$3)+SUMIFS(Input_Konektivitas!$C$3:$C$563,Input_Konektivitas!$A$3:$A$563,I$3,Input_Konektivitas!$B$3:$B$563,$A34))</f>
        <v>1</v>
      </c>
      <c r="J34" s="29">
        <f>IF((COUNTIFS(Input_Konektivitas!$A$3:$A$563,$A34,Input_Konektivitas!$B$3:$B$563,J$3,Input_Konektivitas!$D$3:$D$563,"&gt;0")+COUNTIFS(Input_Konektivitas!$A$3:$A$563,J$3,Input_Konektivitas!$B$3:$B$563,$A34,Input_Konektivitas!$D$3:$D$563,"&gt;0"))=0,"",SUMIFS(Input_Konektivitas!$C$3:$C$563,Input_Konektivitas!$A$3:$A$563,$A34,Input_Konektivitas!$B$3:$B$563,J$3)+SUMIFS(Input_Konektivitas!$C$3:$C$563,Input_Konektivitas!$A$3:$A$563,J$3,Input_Konektivitas!$B$3:$B$563,$A34))</f>
        <v>1</v>
      </c>
      <c r="K34" s="29">
        <f>IF((COUNTIFS(Input_Konektivitas!$A$3:$A$563,$A34,Input_Konektivitas!$B$3:$B$563,K$3,Input_Konektivitas!$D$3:$D$563,"&gt;0")+COUNTIFS(Input_Konektivitas!$A$3:$A$563,K$3,Input_Konektivitas!$B$3:$B$563,$A34,Input_Konektivitas!$D$3:$D$563,"&gt;0"))=0,"",SUMIFS(Input_Konektivitas!$C$3:$C$563,Input_Konektivitas!$A$3:$A$563,$A34,Input_Konektivitas!$B$3:$B$563,K$3)+SUMIFS(Input_Konektivitas!$C$3:$C$563,Input_Konektivitas!$A$3:$A$563,K$3,Input_Konektivitas!$B$3:$B$563,$A34))</f>
        <v>1</v>
      </c>
      <c r="L34" s="29">
        <f>IF((COUNTIFS(Input_Konektivitas!$A$3:$A$563,$A34,Input_Konektivitas!$B$3:$B$563,L$3,Input_Konektivitas!$D$3:$D$563,"&gt;0")+COUNTIFS(Input_Konektivitas!$A$3:$A$563,L$3,Input_Konektivitas!$B$3:$B$563,$A34,Input_Konektivitas!$D$3:$D$563,"&gt;0"))=0,"",SUMIFS(Input_Konektivitas!$C$3:$C$563,Input_Konektivitas!$A$3:$A$563,$A34,Input_Konektivitas!$B$3:$B$563,L$3)+SUMIFS(Input_Konektivitas!$C$3:$C$563,Input_Konektivitas!$A$3:$A$563,L$3,Input_Konektivitas!$B$3:$B$563,$A34))</f>
        <v>0</v>
      </c>
      <c r="M34" s="29">
        <f>IF((COUNTIFS(Input_Konektivitas!$A$3:$A$563,$A34,Input_Konektivitas!$B$3:$B$563,M$3,Input_Konektivitas!$D$3:$D$563,"&gt;0")+COUNTIFS(Input_Konektivitas!$A$3:$A$563,M$3,Input_Konektivitas!$B$3:$B$563,$A34,Input_Konektivitas!$D$3:$D$563,"&gt;0"))=0,"",SUMIFS(Input_Konektivitas!$C$3:$C$563,Input_Konektivitas!$A$3:$A$563,$A34,Input_Konektivitas!$B$3:$B$563,M$3)+SUMIFS(Input_Konektivitas!$C$3:$C$563,Input_Konektivitas!$A$3:$A$563,M$3,Input_Konektivitas!$B$3:$B$563,$A34))</f>
        <v>2</v>
      </c>
      <c r="N34" s="29">
        <f>IF((COUNTIFS(Input_Konektivitas!$A$3:$A$563,$A34,Input_Konektivitas!$B$3:$B$563,N$3,Input_Konektivitas!$D$3:$D$563,"&gt;0")+COUNTIFS(Input_Konektivitas!$A$3:$A$563,N$3,Input_Konektivitas!$B$3:$B$563,$A34,Input_Konektivitas!$D$3:$D$563,"&gt;0"))=0,"",SUMIFS(Input_Konektivitas!$C$3:$C$563,Input_Konektivitas!$A$3:$A$563,$A34,Input_Konektivitas!$B$3:$B$563,N$3)+SUMIFS(Input_Konektivitas!$C$3:$C$563,Input_Konektivitas!$A$3:$A$563,N$3,Input_Konektivitas!$B$3:$B$563,$A34))</f>
        <v>1</v>
      </c>
      <c r="O34" s="29">
        <f>IF((COUNTIFS(Input_Konektivitas!$A$3:$A$563,$A34,Input_Konektivitas!$B$3:$B$563,O$3,Input_Konektivitas!$D$3:$D$563,"&gt;0")+COUNTIFS(Input_Konektivitas!$A$3:$A$563,O$3,Input_Konektivitas!$B$3:$B$563,$A34,Input_Konektivitas!$D$3:$D$563,"&gt;0"))=0,"",SUMIFS(Input_Konektivitas!$C$3:$C$563,Input_Konektivitas!$A$3:$A$563,$A34,Input_Konektivitas!$B$3:$B$563,O$3)+SUMIFS(Input_Konektivitas!$C$3:$C$563,Input_Konektivitas!$A$3:$A$563,O$3,Input_Konektivitas!$B$3:$B$563,$A34))</f>
        <v>1</v>
      </c>
      <c r="P34" s="29">
        <f>IF((COUNTIFS(Input_Konektivitas!$A$3:$A$563,$A34,Input_Konektivitas!$B$3:$B$563,P$3,Input_Konektivitas!$D$3:$D$563,"&gt;0")+COUNTIFS(Input_Konektivitas!$A$3:$A$563,P$3,Input_Konektivitas!$B$3:$B$563,$A34,Input_Konektivitas!$D$3:$D$563,"&gt;0"))=0,"",SUMIFS(Input_Konektivitas!$C$3:$C$563,Input_Konektivitas!$A$3:$A$563,$A34,Input_Konektivitas!$B$3:$B$563,P$3)+SUMIFS(Input_Konektivitas!$C$3:$C$563,Input_Konektivitas!$A$3:$A$563,P$3,Input_Konektivitas!$B$3:$B$563,$A34))</f>
        <v>0</v>
      </c>
      <c r="Q34" s="29" t="str">
        <f>IF((COUNTIFS(Input_Konektivitas!$A$3:$A$563,$A34,Input_Konektivitas!$B$3:$B$563,Q$3,Input_Konektivitas!$D$3:$D$563,"&gt;0")+COUNTIFS(Input_Konektivitas!$A$3:$A$563,Q$3,Input_Konektivitas!$B$3:$B$563,$A34,Input_Konektivitas!$D$3:$D$563,"&gt;0"))=0,"",SUMIFS(Input_Konektivitas!$C$3:$C$563,Input_Konektivitas!$A$3:$A$563,$A34,Input_Konektivitas!$B$3:$B$563,Q$3)+SUMIFS(Input_Konektivitas!$C$3:$C$563,Input_Konektivitas!$A$3:$A$563,Q$3,Input_Konektivitas!$B$3:$B$563,$A34))</f>
        <v/>
      </c>
      <c r="R34" s="29">
        <f>IF((COUNTIFS(Input_Konektivitas!$A$3:$A$563,$A34,Input_Konektivitas!$B$3:$B$563,R$3,Input_Konektivitas!$D$3:$D$563,"&gt;0")+COUNTIFS(Input_Konektivitas!$A$3:$A$563,R$3,Input_Konektivitas!$B$3:$B$563,$A34,Input_Konektivitas!$D$3:$D$563,"&gt;0"))=0,"",SUMIFS(Input_Konektivitas!$C$3:$C$563,Input_Konektivitas!$A$3:$A$563,$A34,Input_Konektivitas!$B$3:$B$563,R$3)+SUMIFS(Input_Konektivitas!$C$3:$C$563,Input_Konektivitas!$A$3:$A$563,R$3,Input_Konektivitas!$B$3:$B$563,$A34))</f>
        <v>1</v>
      </c>
      <c r="S34" s="29">
        <f>IF((COUNTIFS(Input_Konektivitas!$A$3:$A$563,$A34,Input_Konektivitas!$B$3:$B$563,S$3,Input_Konektivitas!$D$3:$D$563,"&gt;0")+COUNTIFS(Input_Konektivitas!$A$3:$A$563,S$3,Input_Konektivitas!$B$3:$B$563,$A34,Input_Konektivitas!$D$3:$D$563,"&gt;0"))=0,"",SUMIFS(Input_Konektivitas!$C$3:$C$563,Input_Konektivitas!$A$3:$A$563,$A34,Input_Konektivitas!$B$3:$B$563,S$3)+SUMIFS(Input_Konektivitas!$C$3:$C$563,Input_Konektivitas!$A$3:$A$563,S$3,Input_Konektivitas!$B$3:$B$563,$A34))</f>
        <v>2</v>
      </c>
      <c r="T34" s="29">
        <f>IF((COUNTIFS(Input_Konektivitas!$A$3:$A$563,$A34,Input_Konektivitas!$B$3:$B$563,T$3,Input_Konektivitas!$D$3:$D$563,"&gt;0")+COUNTIFS(Input_Konektivitas!$A$3:$A$563,T$3,Input_Konektivitas!$B$3:$B$563,$A34,Input_Konektivitas!$D$3:$D$563,"&gt;0"))=0,"",SUMIFS(Input_Konektivitas!$C$3:$C$563,Input_Konektivitas!$A$3:$A$563,$A34,Input_Konektivitas!$B$3:$B$563,T$3)+SUMIFS(Input_Konektivitas!$C$3:$C$563,Input_Konektivitas!$A$3:$A$563,T$3,Input_Konektivitas!$B$3:$B$563,$A34))</f>
        <v>2</v>
      </c>
      <c r="U34" s="29">
        <f>IF((COUNTIFS(Input_Konektivitas!$A$3:$A$563,$A34,Input_Konektivitas!$B$3:$B$563,U$3,Input_Konektivitas!$D$3:$D$563,"&gt;0")+COUNTIFS(Input_Konektivitas!$A$3:$A$563,U$3,Input_Konektivitas!$B$3:$B$563,$A34,Input_Konektivitas!$D$3:$D$563,"&gt;0"))=0,"",SUMIFS(Input_Konektivitas!$C$3:$C$563,Input_Konektivitas!$A$3:$A$563,$A34,Input_Konektivitas!$B$3:$B$563,U$3)+SUMIFS(Input_Konektivitas!$C$3:$C$563,Input_Konektivitas!$A$3:$A$563,U$3,Input_Konektivitas!$B$3:$B$563,$A34))</f>
        <v>1</v>
      </c>
      <c r="V34" s="29">
        <f>IF((COUNTIFS(Input_Konektivitas!$A$3:$A$563,$A34,Input_Konektivitas!$B$3:$B$563,V$3,Input_Konektivitas!$D$3:$D$563,"&gt;0")+COUNTIFS(Input_Konektivitas!$A$3:$A$563,V$3,Input_Konektivitas!$B$3:$B$563,$A34,Input_Konektivitas!$D$3:$D$563,"&gt;0"))=0,"",SUMIFS(Input_Konektivitas!$C$3:$C$563,Input_Konektivitas!$A$3:$A$563,$A34,Input_Konektivitas!$B$3:$B$563,V$3)+SUMIFS(Input_Konektivitas!$C$3:$C$563,Input_Konektivitas!$A$3:$A$563,V$3,Input_Konektivitas!$B$3:$B$563,$A34))</f>
        <v>1</v>
      </c>
      <c r="W34" s="29">
        <f>IF((COUNTIFS(Input_Konektivitas!$A$3:$A$563,$A34,Input_Konektivitas!$B$3:$B$563,W$3,Input_Konektivitas!$D$3:$D$563,"&gt;0")+COUNTIFS(Input_Konektivitas!$A$3:$A$563,W$3,Input_Konektivitas!$B$3:$B$563,$A34,Input_Konektivitas!$D$3:$D$563,"&gt;0"))=0,"",SUMIFS(Input_Konektivitas!$C$3:$C$563,Input_Konektivitas!$A$3:$A$563,$A34,Input_Konektivitas!$B$3:$B$563,W$3)+SUMIFS(Input_Konektivitas!$C$3:$C$563,Input_Konektivitas!$A$3:$A$563,W$3,Input_Konektivitas!$B$3:$B$563,$A34))</f>
        <v>1</v>
      </c>
      <c r="X34" s="29">
        <f>IF((COUNTIFS(Input_Konektivitas!$A$3:$A$563,$A34,Input_Konektivitas!$B$3:$B$563,X$3,Input_Konektivitas!$D$3:$D$563,"&gt;0")+COUNTIFS(Input_Konektivitas!$A$3:$A$563,X$3,Input_Konektivitas!$B$3:$B$563,$A34,Input_Konektivitas!$D$3:$D$563,"&gt;0"))=0,"",SUMIFS(Input_Konektivitas!$C$3:$C$563,Input_Konektivitas!$A$3:$A$563,$A34,Input_Konektivitas!$B$3:$B$563,X$3)+SUMIFS(Input_Konektivitas!$C$3:$C$563,Input_Konektivitas!$A$3:$A$563,X$3,Input_Konektivitas!$B$3:$B$563,$A34))</f>
        <v>1</v>
      </c>
      <c r="Y34" s="29">
        <f>IF((COUNTIFS(Input_Konektivitas!$A$3:$A$563,$A34,Input_Konektivitas!$B$3:$B$563,Y$3,Input_Konektivitas!$D$3:$D$563,"&gt;0")+COUNTIFS(Input_Konektivitas!$A$3:$A$563,Y$3,Input_Konektivitas!$B$3:$B$563,$A34,Input_Konektivitas!$D$3:$D$563,"&gt;0"))=0,"",SUMIFS(Input_Konektivitas!$C$3:$C$563,Input_Konektivitas!$A$3:$A$563,$A34,Input_Konektivitas!$B$3:$B$563,Y$3)+SUMIFS(Input_Konektivitas!$C$3:$C$563,Input_Konektivitas!$A$3:$A$563,Y$3,Input_Konektivitas!$B$3:$B$563,$A34))</f>
        <v>3</v>
      </c>
      <c r="Z34" s="29">
        <f>IF((COUNTIFS(Input_Konektivitas!$A$3:$A$563,$A34,Input_Konektivitas!$B$3:$B$563,Z$3,Input_Konektivitas!$D$3:$D$563,"&gt;0")+COUNTIFS(Input_Konektivitas!$A$3:$A$563,Z$3,Input_Konektivitas!$B$3:$B$563,$A34,Input_Konektivitas!$D$3:$D$563,"&gt;0"))=0,"",SUMIFS(Input_Konektivitas!$C$3:$C$563,Input_Konektivitas!$A$3:$A$563,$A34,Input_Konektivitas!$B$3:$B$563,Z$3)+SUMIFS(Input_Konektivitas!$C$3:$C$563,Input_Konektivitas!$A$3:$A$563,Z$3,Input_Konektivitas!$B$3:$B$563,$A34))</f>
        <v>1</v>
      </c>
      <c r="AA34" s="29">
        <f>IF((COUNTIFS(Input_Konektivitas!$A$3:$A$563,$A34,Input_Konektivitas!$B$3:$B$563,AA$3,Input_Konektivitas!$D$3:$D$563,"&gt;0")+COUNTIFS(Input_Konektivitas!$A$3:$A$563,AA$3,Input_Konektivitas!$B$3:$B$563,$A34,Input_Konektivitas!$D$3:$D$563,"&gt;0"))=0,"",SUMIFS(Input_Konektivitas!$C$3:$C$563,Input_Konektivitas!$A$3:$A$563,$A34,Input_Konektivitas!$B$3:$B$563,AA$3)+SUMIFS(Input_Konektivitas!$C$3:$C$563,Input_Konektivitas!$A$3:$A$563,AA$3,Input_Konektivitas!$B$3:$B$563,$A34))</f>
        <v>3</v>
      </c>
      <c r="AB34" s="29">
        <f>IF((COUNTIFS(Input_Konektivitas!$A$3:$A$563,$A34,Input_Konektivitas!$B$3:$B$563,AB$3,Input_Konektivitas!$D$3:$D$563,"&gt;0")+COUNTIFS(Input_Konektivitas!$A$3:$A$563,AB$3,Input_Konektivitas!$B$3:$B$563,$A34,Input_Konektivitas!$D$3:$D$563,"&gt;0"))=0,"",SUMIFS(Input_Konektivitas!$C$3:$C$563,Input_Konektivitas!$A$3:$A$563,$A34,Input_Konektivitas!$B$3:$B$563,AB$3)+SUMIFS(Input_Konektivitas!$C$3:$C$563,Input_Konektivitas!$A$3:$A$563,AB$3,Input_Konektivitas!$B$3:$B$563,$A34))</f>
        <v>0</v>
      </c>
      <c r="AC34" s="29">
        <f>IF((COUNTIFS(Input_Konektivitas!$A$3:$A$563,$A34,Input_Konektivitas!$B$3:$B$563,AC$3,Input_Konektivitas!$D$3:$D$563,"&gt;0")+COUNTIFS(Input_Konektivitas!$A$3:$A$563,AC$3,Input_Konektivitas!$B$3:$B$563,$A34,Input_Konektivitas!$D$3:$D$563,"&gt;0"))=0,"",SUMIFS(Input_Konektivitas!$C$3:$C$563,Input_Konektivitas!$A$3:$A$563,$A34,Input_Konektivitas!$B$3:$B$563,AC$3)+SUMIFS(Input_Konektivitas!$C$3:$C$563,Input_Konektivitas!$A$3:$A$563,AC$3,Input_Konektivitas!$B$3:$B$563,$A34))</f>
        <v>2</v>
      </c>
      <c r="AD34" s="29">
        <f>IF((COUNTIFS(Input_Konektivitas!$A$3:$A$563,$A34,Input_Konektivitas!$B$3:$B$563,AD$3,Input_Konektivitas!$D$3:$D$563,"&gt;0")+COUNTIFS(Input_Konektivitas!$A$3:$A$563,AD$3,Input_Konektivitas!$B$3:$B$563,$A34,Input_Konektivitas!$D$3:$D$563,"&gt;0"))=0,"",SUMIFS(Input_Konektivitas!$C$3:$C$563,Input_Konektivitas!$A$3:$A$563,$A34,Input_Konektivitas!$B$3:$B$563,AD$3)+SUMIFS(Input_Konektivitas!$C$3:$C$563,Input_Konektivitas!$A$3:$A$563,AD$3,Input_Konektivitas!$B$3:$B$563,$A34))</f>
        <v>2</v>
      </c>
      <c r="AE34" s="29">
        <f>IF((COUNTIFS(Input_Konektivitas!$A$3:$A$563,$A34,Input_Konektivitas!$B$3:$B$563,AE$3,Input_Konektivitas!$D$3:$D$563,"&gt;0")+COUNTIFS(Input_Konektivitas!$A$3:$A$563,AE$3,Input_Konektivitas!$B$3:$B$563,$A34,Input_Konektivitas!$D$3:$D$563,"&gt;0"))=0,"",SUMIFS(Input_Konektivitas!$C$3:$C$563,Input_Konektivitas!$A$3:$A$563,$A34,Input_Konektivitas!$B$3:$B$563,AE$3)+SUMIFS(Input_Konektivitas!$C$3:$C$563,Input_Konektivitas!$A$3:$A$563,AE$3,Input_Konektivitas!$B$3:$B$563,$A34))</f>
        <v>2</v>
      </c>
      <c r="AF34" s="26">
        <v>0.0</v>
      </c>
      <c r="AG34" s="29">
        <f>IF((COUNTIFS(Input_Konektivitas!$A$3:$A$563,$A34,Input_Konektivitas!$B$3:$B$563,AG$3,Input_Konektivitas!$D$3:$D$563,"&gt;0")+COUNTIFS(Input_Konektivitas!$A$3:$A$563,AG$3,Input_Konektivitas!$B$3:$B$563,$A34,Input_Konektivitas!$D$3:$D$563,"&gt;0"))=0,"",SUMIFS(Input_Konektivitas!$C$3:$C$563,Input_Konektivitas!$A$3:$A$563,$A34,Input_Konektivitas!$B$3:$B$563,AG$3)+SUMIFS(Input_Konektivitas!$C$3:$C$563,Input_Konektivitas!$A$3:$A$563,AG$3,Input_Konektivitas!$B$3:$B$563,$A34))</f>
        <v>0</v>
      </c>
      <c r="AH34" s="29">
        <f>IF((COUNTIFS(Input_Konektivitas!$A$3:$A$563,$A34,Input_Konektivitas!$B$3:$B$563,AH$3,Input_Konektivitas!$D$3:$D$563,"&gt;0")+COUNTIFS(Input_Konektivitas!$A$3:$A$563,AH$3,Input_Konektivitas!$B$3:$B$563,$A34,Input_Konektivitas!$D$3:$D$563,"&gt;0"))=0,"",SUMIFS(Input_Konektivitas!$C$3:$C$563,Input_Konektivitas!$A$3:$A$563,$A34,Input_Konektivitas!$B$3:$B$563,AH$3)+SUMIFS(Input_Konektivitas!$C$3:$C$563,Input_Konektivitas!$A$3:$A$563,AH$3,Input_Konektivitas!$B$3:$B$563,$A34))</f>
        <v>0</v>
      </c>
      <c r="AI34" s="29">
        <f>IF((COUNTIFS(Input_Konektivitas!$A$3:$A$563,$A34,Input_Konektivitas!$B$3:$B$563,AI$3,Input_Konektivitas!$D$3:$D$563,"&gt;0")+COUNTIFS(Input_Konektivitas!$A$3:$A$563,AI$3,Input_Konektivitas!$B$3:$B$563,$A34,Input_Konektivitas!$D$3:$D$563,"&gt;0"))=0,"",SUMIFS(Input_Konektivitas!$C$3:$C$563,Input_Konektivitas!$A$3:$A$563,$A34,Input_Konektivitas!$B$3:$B$563,AI$3)+SUMIFS(Input_Konektivitas!$C$3:$C$563,Input_Konektivitas!$A$3:$A$563,AI$3,Input_Konektivitas!$B$3:$B$563,$A34))</f>
        <v>2</v>
      </c>
    </row>
    <row r="35" ht="14.25" customHeight="1">
      <c r="A35" s="22" t="s">
        <v>96</v>
      </c>
      <c r="B35" s="29">
        <f>IF((COUNTIFS(Input_Konektivitas!$A$3:$A$563,$A35,Input_Konektivitas!$B$3:$B$563,B$3,Input_Konektivitas!$D$3:$D$563,"&gt;0")+COUNTIFS(Input_Konektivitas!$A$3:$A$563,B$3,Input_Konektivitas!$B$3:$B$563,$A35,Input_Konektivitas!$D$3:$D$563,"&gt;0"))=0,"",SUMIFS(Input_Konektivitas!$C$3:$C$563,Input_Konektivitas!$A$3:$A$563,$A35,Input_Konektivitas!$B$3:$B$563,B$3)+SUMIFS(Input_Konektivitas!$C$3:$C$563,Input_Konektivitas!$A$3:$A$563,B$3,Input_Konektivitas!$B$3:$B$563,$A35))</f>
        <v>1</v>
      </c>
      <c r="C35" s="29">
        <f>IF((COUNTIFS(Input_Konektivitas!$A$3:$A$563,$A35,Input_Konektivitas!$B$3:$B$563,C$3,Input_Konektivitas!$D$3:$D$563,"&gt;0")+COUNTIFS(Input_Konektivitas!$A$3:$A$563,C$3,Input_Konektivitas!$B$3:$B$563,$A35,Input_Konektivitas!$D$3:$D$563,"&gt;0"))=0,"",SUMIFS(Input_Konektivitas!$C$3:$C$563,Input_Konektivitas!$A$3:$A$563,$A35,Input_Konektivitas!$B$3:$B$563,C$3)+SUMIFS(Input_Konektivitas!$C$3:$C$563,Input_Konektivitas!$A$3:$A$563,C$3,Input_Konektivitas!$B$3:$B$563,$A35))</f>
        <v>1</v>
      </c>
      <c r="D35" s="29">
        <f>IF((COUNTIFS(Input_Konektivitas!$A$3:$A$563,$A35,Input_Konektivitas!$B$3:$B$563,D$3,Input_Konektivitas!$D$3:$D$563,"&gt;0")+COUNTIFS(Input_Konektivitas!$A$3:$A$563,D$3,Input_Konektivitas!$B$3:$B$563,$A35,Input_Konektivitas!$D$3:$D$563,"&gt;0"))=0,"",SUMIFS(Input_Konektivitas!$C$3:$C$563,Input_Konektivitas!$A$3:$A$563,$A35,Input_Konektivitas!$B$3:$B$563,D$3)+SUMIFS(Input_Konektivitas!$C$3:$C$563,Input_Konektivitas!$A$3:$A$563,D$3,Input_Konektivitas!$B$3:$B$563,$A35))</f>
        <v>1</v>
      </c>
      <c r="E35" s="29">
        <f>IF((COUNTIFS(Input_Konektivitas!$A$3:$A$563,$A35,Input_Konektivitas!$B$3:$B$563,E$3,Input_Konektivitas!$D$3:$D$563,"&gt;0")+COUNTIFS(Input_Konektivitas!$A$3:$A$563,E$3,Input_Konektivitas!$B$3:$B$563,$A35,Input_Konektivitas!$D$3:$D$563,"&gt;0"))=0,"",SUMIFS(Input_Konektivitas!$C$3:$C$563,Input_Konektivitas!$A$3:$A$563,$A35,Input_Konektivitas!$B$3:$B$563,E$3)+SUMIFS(Input_Konektivitas!$C$3:$C$563,Input_Konektivitas!$A$3:$A$563,E$3,Input_Konektivitas!$B$3:$B$563,$A35))</f>
        <v>2</v>
      </c>
      <c r="F35" s="29">
        <f>IF((COUNTIFS(Input_Konektivitas!$A$3:$A$563,$A35,Input_Konektivitas!$B$3:$B$563,F$3,Input_Konektivitas!$D$3:$D$563,"&gt;0")+COUNTIFS(Input_Konektivitas!$A$3:$A$563,F$3,Input_Konektivitas!$B$3:$B$563,$A35,Input_Konektivitas!$D$3:$D$563,"&gt;0"))=0,"",SUMIFS(Input_Konektivitas!$C$3:$C$563,Input_Konektivitas!$A$3:$A$563,$A35,Input_Konektivitas!$B$3:$B$563,F$3)+SUMIFS(Input_Konektivitas!$C$3:$C$563,Input_Konektivitas!$A$3:$A$563,F$3,Input_Konektivitas!$B$3:$B$563,$A35))</f>
        <v>1</v>
      </c>
      <c r="G35" s="29">
        <f>IF((COUNTIFS(Input_Konektivitas!$A$3:$A$563,$A35,Input_Konektivitas!$B$3:$B$563,G$3,Input_Konektivitas!$D$3:$D$563,"&gt;0")+COUNTIFS(Input_Konektivitas!$A$3:$A$563,G$3,Input_Konektivitas!$B$3:$B$563,$A35,Input_Konektivitas!$D$3:$D$563,"&gt;0"))=0,"",SUMIFS(Input_Konektivitas!$C$3:$C$563,Input_Konektivitas!$A$3:$A$563,$A35,Input_Konektivitas!$B$3:$B$563,G$3)+SUMIFS(Input_Konektivitas!$C$3:$C$563,Input_Konektivitas!$A$3:$A$563,G$3,Input_Konektivitas!$B$3:$B$563,$A35))</f>
        <v>1</v>
      </c>
      <c r="H35" s="29">
        <f>IF((COUNTIFS(Input_Konektivitas!$A$3:$A$563,$A35,Input_Konektivitas!$B$3:$B$563,H$3,Input_Konektivitas!$D$3:$D$563,"&gt;0")+COUNTIFS(Input_Konektivitas!$A$3:$A$563,H$3,Input_Konektivitas!$B$3:$B$563,$A35,Input_Konektivitas!$D$3:$D$563,"&gt;0"))=0,"",SUMIFS(Input_Konektivitas!$C$3:$C$563,Input_Konektivitas!$A$3:$A$563,$A35,Input_Konektivitas!$B$3:$B$563,H$3)+SUMIFS(Input_Konektivitas!$C$3:$C$563,Input_Konektivitas!$A$3:$A$563,H$3,Input_Konektivitas!$B$3:$B$563,$A35))</f>
        <v>2</v>
      </c>
      <c r="I35" s="29">
        <f>IF((COUNTIFS(Input_Konektivitas!$A$3:$A$563,$A35,Input_Konektivitas!$B$3:$B$563,I$3,Input_Konektivitas!$D$3:$D$563,"&gt;0")+COUNTIFS(Input_Konektivitas!$A$3:$A$563,I$3,Input_Konektivitas!$B$3:$B$563,$A35,Input_Konektivitas!$D$3:$D$563,"&gt;0"))=0,"",SUMIFS(Input_Konektivitas!$C$3:$C$563,Input_Konektivitas!$A$3:$A$563,$A35,Input_Konektivitas!$B$3:$B$563,I$3)+SUMIFS(Input_Konektivitas!$C$3:$C$563,Input_Konektivitas!$A$3:$A$563,I$3,Input_Konektivitas!$B$3:$B$563,$A35))</f>
        <v>1</v>
      </c>
      <c r="J35" s="29">
        <f>IF((COUNTIFS(Input_Konektivitas!$A$3:$A$563,$A35,Input_Konektivitas!$B$3:$B$563,J$3,Input_Konektivitas!$D$3:$D$563,"&gt;0")+COUNTIFS(Input_Konektivitas!$A$3:$A$563,J$3,Input_Konektivitas!$B$3:$B$563,$A35,Input_Konektivitas!$D$3:$D$563,"&gt;0"))=0,"",SUMIFS(Input_Konektivitas!$C$3:$C$563,Input_Konektivitas!$A$3:$A$563,$A35,Input_Konektivitas!$B$3:$B$563,J$3)+SUMIFS(Input_Konektivitas!$C$3:$C$563,Input_Konektivitas!$A$3:$A$563,J$3,Input_Konektivitas!$B$3:$B$563,$A35))</f>
        <v>1</v>
      </c>
      <c r="K35" s="29">
        <f>IF((COUNTIFS(Input_Konektivitas!$A$3:$A$563,$A35,Input_Konektivitas!$B$3:$B$563,K$3,Input_Konektivitas!$D$3:$D$563,"&gt;0")+COUNTIFS(Input_Konektivitas!$A$3:$A$563,K$3,Input_Konektivitas!$B$3:$B$563,$A35,Input_Konektivitas!$D$3:$D$563,"&gt;0"))=0,"",SUMIFS(Input_Konektivitas!$C$3:$C$563,Input_Konektivitas!$A$3:$A$563,$A35,Input_Konektivitas!$B$3:$B$563,K$3)+SUMIFS(Input_Konektivitas!$C$3:$C$563,Input_Konektivitas!$A$3:$A$563,K$3,Input_Konektivitas!$B$3:$B$563,$A35))</f>
        <v>1</v>
      </c>
      <c r="L35" s="29">
        <f>IF((COUNTIFS(Input_Konektivitas!$A$3:$A$563,$A35,Input_Konektivitas!$B$3:$B$563,L$3,Input_Konektivitas!$D$3:$D$563,"&gt;0")+COUNTIFS(Input_Konektivitas!$A$3:$A$563,L$3,Input_Konektivitas!$B$3:$B$563,$A35,Input_Konektivitas!$D$3:$D$563,"&gt;0"))=0,"",SUMIFS(Input_Konektivitas!$C$3:$C$563,Input_Konektivitas!$A$3:$A$563,$A35,Input_Konektivitas!$B$3:$B$563,L$3)+SUMIFS(Input_Konektivitas!$C$3:$C$563,Input_Konektivitas!$A$3:$A$563,L$3,Input_Konektivitas!$B$3:$B$563,$A35))</f>
        <v>0</v>
      </c>
      <c r="M35" s="29">
        <f>IF((COUNTIFS(Input_Konektivitas!$A$3:$A$563,$A35,Input_Konektivitas!$B$3:$B$563,M$3,Input_Konektivitas!$D$3:$D$563,"&gt;0")+COUNTIFS(Input_Konektivitas!$A$3:$A$563,M$3,Input_Konektivitas!$B$3:$B$563,$A35,Input_Konektivitas!$D$3:$D$563,"&gt;0"))=0,"",SUMIFS(Input_Konektivitas!$C$3:$C$563,Input_Konektivitas!$A$3:$A$563,$A35,Input_Konektivitas!$B$3:$B$563,M$3)+SUMIFS(Input_Konektivitas!$C$3:$C$563,Input_Konektivitas!$A$3:$A$563,M$3,Input_Konektivitas!$B$3:$B$563,$A35))</f>
        <v>2</v>
      </c>
      <c r="N35" s="29">
        <f>IF((COUNTIFS(Input_Konektivitas!$A$3:$A$563,$A35,Input_Konektivitas!$B$3:$B$563,N$3,Input_Konektivitas!$D$3:$D$563,"&gt;0")+COUNTIFS(Input_Konektivitas!$A$3:$A$563,N$3,Input_Konektivitas!$B$3:$B$563,$A35,Input_Konektivitas!$D$3:$D$563,"&gt;0"))=0,"",SUMIFS(Input_Konektivitas!$C$3:$C$563,Input_Konektivitas!$A$3:$A$563,$A35,Input_Konektivitas!$B$3:$B$563,N$3)+SUMIFS(Input_Konektivitas!$C$3:$C$563,Input_Konektivitas!$A$3:$A$563,N$3,Input_Konektivitas!$B$3:$B$563,$A35))</f>
        <v>2</v>
      </c>
      <c r="O35" s="29">
        <f>IF((COUNTIFS(Input_Konektivitas!$A$3:$A$563,$A35,Input_Konektivitas!$B$3:$B$563,O$3,Input_Konektivitas!$D$3:$D$563,"&gt;0")+COUNTIFS(Input_Konektivitas!$A$3:$A$563,O$3,Input_Konektivitas!$B$3:$B$563,$A35,Input_Konektivitas!$D$3:$D$563,"&gt;0"))=0,"",SUMIFS(Input_Konektivitas!$C$3:$C$563,Input_Konektivitas!$A$3:$A$563,$A35,Input_Konektivitas!$B$3:$B$563,O$3)+SUMIFS(Input_Konektivitas!$C$3:$C$563,Input_Konektivitas!$A$3:$A$563,O$3,Input_Konektivitas!$B$3:$B$563,$A35))</f>
        <v>1</v>
      </c>
      <c r="P35" s="29">
        <f>IF((COUNTIFS(Input_Konektivitas!$A$3:$A$563,$A35,Input_Konektivitas!$B$3:$B$563,P$3,Input_Konektivitas!$D$3:$D$563,"&gt;0")+COUNTIFS(Input_Konektivitas!$A$3:$A$563,P$3,Input_Konektivitas!$B$3:$B$563,$A35,Input_Konektivitas!$D$3:$D$563,"&gt;0"))=0,"",SUMIFS(Input_Konektivitas!$C$3:$C$563,Input_Konektivitas!$A$3:$A$563,$A35,Input_Konektivitas!$B$3:$B$563,P$3)+SUMIFS(Input_Konektivitas!$C$3:$C$563,Input_Konektivitas!$A$3:$A$563,P$3,Input_Konektivitas!$B$3:$B$563,$A35))</f>
        <v>0</v>
      </c>
      <c r="Q35" s="29" t="str">
        <f>IF((COUNTIFS(Input_Konektivitas!$A$3:$A$563,$A35,Input_Konektivitas!$B$3:$B$563,Q$3,Input_Konektivitas!$D$3:$D$563,"&gt;0")+COUNTIFS(Input_Konektivitas!$A$3:$A$563,Q$3,Input_Konektivitas!$B$3:$B$563,$A35,Input_Konektivitas!$D$3:$D$563,"&gt;0"))=0,"",SUMIFS(Input_Konektivitas!$C$3:$C$563,Input_Konektivitas!$A$3:$A$563,$A35,Input_Konektivitas!$B$3:$B$563,Q$3)+SUMIFS(Input_Konektivitas!$C$3:$C$563,Input_Konektivitas!$A$3:$A$563,Q$3,Input_Konektivitas!$B$3:$B$563,$A35))</f>
        <v/>
      </c>
      <c r="R35" s="29">
        <f>IF((COUNTIFS(Input_Konektivitas!$A$3:$A$563,$A35,Input_Konektivitas!$B$3:$B$563,R$3,Input_Konektivitas!$D$3:$D$563,"&gt;0")+COUNTIFS(Input_Konektivitas!$A$3:$A$563,R$3,Input_Konektivitas!$B$3:$B$563,$A35,Input_Konektivitas!$D$3:$D$563,"&gt;0"))=0,"",SUMIFS(Input_Konektivitas!$C$3:$C$563,Input_Konektivitas!$A$3:$A$563,$A35,Input_Konektivitas!$B$3:$B$563,R$3)+SUMIFS(Input_Konektivitas!$C$3:$C$563,Input_Konektivitas!$A$3:$A$563,R$3,Input_Konektivitas!$B$3:$B$563,$A35))</f>
        <v>1</v>
      </c>
      <c r="S35" s="29">
        <f>IF((COUNTIFS(Input_Konektivitas!$A$3:$A$563,$A35,Input_Konektivitas!$B$3:$B$563,S$3,Input_Konektivitas!$D$3:$D$563,"&gt;0")+COUNTIFS(Input_Konektivitas!$A$3:$A$563,S$3,Input_Konektivitas!$B$3:$B$563,$A35,Input_Konektivitas!$D$3:$D$563,"&gt;0"))=0,"",SUMIFS(Input_Konektivitas!$C$3:$C$563,Input_Konektivitas!$A$3:$A$563,$A35,Input_Konektivitas!$B$3:$B$563,S$3)+SUMIFS(Input_Konektivitas!$C$3:$C$563,Input_Konektivitas!$A$3:$A$563,S$3,Input_Konektivitas!$B$3:$B$563,$A35))</f>
        <v>2</v>
      </c>
      <c r="T35" s="29">
        <f>IF((COUNTIFS(Input_Konektivitas!$A$3:$A$563,$A35,Input_Konektivitas!$B$3:$B$563,T$3,Input_Konektivitas!$D$3:$D$563,"&gt;0")+COUNTIFS(Input_Konektivitas!$A$3:$A$563,T$3,Input_Konektivitas!$B$3:$B$563,$A35,Input_Konektivitas!$D$3:$D$563,"&gt;0"))=0,"",SUMIFS(Input_Konektivitas!$C$3:$C$563,Input_Konektivitas!$A$3:$A$563,$A35,Input_Konektivitas!$B$3:$B$563,T$3)+SUMIFS(Input_Konektivitas!$C$3:$C$563,Input_Konektivitas!$A$3:$A$563,T$3,Input_Konektivitas!$B$3:$B$563,$A35))</f>
        <v>1</v>
      </c>
      <c r="U35" s="29">
        <f>IF((COUNTIFS(Input_Konektivitas!$A$3:$A$563,$A35,Input_Konektivitas!$B$3:$B$563,U$3,Input_Konektivitas!$D$3:$D$563,"&gt;0")+COUNTIFS(Input_Konektivitas!$A$3:$A$563,U$3,Input_Konektivitas!$B$3:$B$563,$A35,Input_Konektivitas!$D$3:$D$563,"&gt;0"))=0,"",SUMIFS(Input_Konektivitas!$C$3:$C$563,Input_Konektivitas!$A$3:$A$563,$A35,Input_Konektivitas!$B$3:$B$563,U$3)+SUMIFS(Input_Konektivitas!$C$3:$C$563,Input_Konektivitas!$A$3:$A$563,U$3,Input_Konektivitas!$B$3:$B$563,$A35))</f>
        <v>2</v>
      </c>
      <c r="V35" s="29">
        <f>IF((COUNTIFS(Input_Konektivitas!$A$3:$A$563,$A35,Input_Konektivitas!$B$3:$B$563,V$3,Input_Konektivitas!$D$3:$D$563,"&gt;0")+COUNTIFS(Input_Konektivitas!$A$3:$A$563,V$3,Input_Konektivitas!$B$3:$B$563,$A35,Input_Konektivitas!$D$3:$D$563,"&gt;0"))=0,"",SUMIFS(Input_Konektivitas!$C$3:$C$563,Input_Konektivitas!$A$3:$A$563,$A35,Input_Konektivitas!$B$3:$B$563,V$3)+SUMIFS(Input_Konektivitas!$C$3:$C$563,Input_Konektivitas!$A$3:$A$563,V$3,Input_Konektivitas!$B$3:$B$563,$A35))</f>
        <v>2</v>
      </c>
      <c r="W35" s="29">
        <f>IF((COUNTIFS(Input_Konektivitas!$A$3:$A$563,$A35,Input_Konektivitas!$B$3:$B$563,W$3,Input_Konektivitas!$D$3:$D$563,"&gt;0")+COUNTIFS(Input_Konektivitas!$A$3:$A$563,W$3,Input_Konektivitas!$B$3:$B$563,$A35,Input_Konektivitas!$D$3:$D$563,"&gt;0"))=0,"",SUMIFS(Input_Konektivitas!$C$3:$C$563,Input_Konektivitas!$A$3:$A$563,$A35,Input_Konektivitas!$B$3:$B$563,W$3)+SUMIFS(Input_Konektivitas!$C$3:$C$563,Input_Konektivitas!$A$3:$A$563,W$3,Input_Konektivitas!$B$3:$B$563,$A35))</f>
        <v>2</v>
      </c>
      <c r="X35" s="29">
        <f>IF((COUNTIFS(Input_Konektivitas!$A$3:$A$563,$A35,Input_Konektivitas!$B$3:$B$563,X$3,Input_Konektivitas!$D$3:$D$563,"&gt;0")+COUNTIFS(Input_Konektivitas!$A$3:$A$563,X$3,Input_Konektivitas!$B$3:$B$563,$A35,Input_Konektivitas!$D$3:$D$563,"&gt;0"))=0,"",SUMIFS(Input_Konektivitas!$C$3:$C$563,Input_Konektivitas!$A$3:$A$563,$A35,Input_Konektivitas!$B$3:$B$563,X$3)+SUMIFS(Input_Konektivitas!$C$3:$C$563,Input_Konektivitas!$A$3:$A$563,X$3,Input_Konektivitas!$B$3:$B$563,$A35))</f>
        <v>1</v>
      </c>
      <c r="Y35" s="29">
        <f>IF((COUNTIFS(Input_Konektivitas!$A$3:$A$563,$A35,Input_Konektivitas!$B$3:$B$563,Y$3,Input_Konektivitas!$D$3:$D$563,"&gt;0")+COUNTIFS(Input_Konektivitas!$A$3:$A$563,Y$3,Input_Konektivitas!$B$3:$B$563,$A35,Input_Konektivitas!$D$3:$D$563,"&gt;0"))=0,"",SUMIFS(Input_Konektivitas!$C$3:$C$563,Input_Konektivitas!$A$3:$A$563,$A35,Input_Konektivitas!$B$3:$B$563,Y$3)+SUMIFS(Input_Konektivitas!$C$3:$C$563,Input_Konektivitas!$A$3:$A$563,Y$3,Input_Konektivitas!$B$3:$B$563,$A35))</f>
        <v>2</v>
      </c>
      <c r="Z35" s="29">
        <f>IF((COUNTIFS(Input_Konektivitas!$A$3:$A$563,$A35,Input_Konektivitas!$B$3:$B$563,Z$3,Input_Konektivitas!$D$3:$D$563,"&gt;0")+COUNTIFS(Input_Konektivitas!$A$3:$A$563,Z$3,Input_Konektivitas!$B$3:$B$563,$A35,Input_Konektivitas!$D$3:$D$563,"&gt;0"))=0,"",SUMIFS(Input_Konektivitas!$C$3:$C$563,Input_Konektivitas!$A$3:$A$563,$A35,Input_Konektivitas!$B$3:$B$563,Z$3)+SUMIFS(Input_Konektivitas!$C$3:$C$563,Input_Konektivitas!$A$3:$A$563,Z$3,Input_Konektivitas!$B$3:$B$563,$A35))</f>
        <v>0</v>
      </c>
      <c r="AA35" s="29">
        <f>IF((COUNTIFS(Input_Konektivitas!$A$3:$A$563,$A35,Input_Konektivitas!$B$3:$B$563,AA$3,Input_Konektivitas!$D$3:$D$563,"&gt;0")+COUNTIFS(Input_Konektivitas!$A$3:$A$563,AA$3,Input_Konektivitas!$B$3:$B$563,$A35,Input_Konektivitas!$D$3:$D$563,"&gt;0"))=0,"",SUMIFS(Input_Konektivitas!$C$3:$C$563,Input_Konektivitas!$A$3:$A$563,$A35,Input_Konektivitas!$B$3:$B$563,AA$3)+SUMIFS(Input_Konektivitas!$C$3:$C$563,Input_Konektivitas!$A$3:$A$563,AA$3,Input_Konektivitas!$B$3:$B$563,$A35))</f>
        <v>1</v>
      </c>
      <c r="AB35" s="29">
        <f>IF((COUNTIFS(Input_Konektivitas!$A$3:$A$563,$A35,Input_Konektivitas!$B$3:$B$563,AB$3,Input_Konektivitas!$D$3:$D$563,"&gt;0")+COUNTIFS(Input_Konektivitas!$A$3:$A$563,AB$3,Input_Konektivitas!$B$3:$B$563,$A35,Input_Konektivitas!$D$3:$D$563,"&gt;0"))=0,"",SUMIFS(Input_Konektivitas!$C$3:$C$563,Input_Konektivitas!$A$3:$A$563,$A35,Input_Konektivitas!$B$3:$B$563,AB$3)+SUMIFS(Input_Konektivitas!$C$3:$C$563,Input_Konektivitas!$A$3:$A$563,AB$3,Input_Konektivitas!$B$3:$B$563,$A35))</f>
        <v>0</v>
      </c>
      <c r="AC35" s="29">
        <f>IF((COUNTIFS(Input_Konektivitas!$A$3:$A$563,$A35,Input_Konektivitas!$B$3:$B$563,AC$3,Input_Konektivitas!$D$3:$D$563,"&gt;0")+COUNTIFS(Input_Konektivitas!$A$3:$A$563,AC$3,Input_Konektivitas!$B$3:$B$563,$A35,Input_Konektivitas!$D$3:$D$563,"&gt;0"))=0,"",SUMIFS(Input_Konektivitas!$C$3:$C$563,Input_Konektivitas!$A$3:$A$563,$A35,Input_Konektivitas!$B$3:$B$563,AC$3)+SUMIFS(Input_Konektivitas!$C$3:$C$563,Input_Konektivitas!$A$3:$A$563,AC$3,Input_Konektivitas!$B$3:$B$563,$A35))</f>
        <v>1</v>
      </c>
      <c r="AD35" s="29">
        <f>IF((COUNTIFS(Input_Konektivitas!$A$3:$A$563,$A35,Input_Konektivitas!$B$3:$B$563,AD$3,Input_Konektivitas!$D$3:$D$563,"&gt;0")+COUNTIFS(Input_Konektivitas!$A$3:$A$563,AD$3,Input_Konektivitas!$B$3:$B$563,$A35,Input_Konektivitas!$D$3:$D$563,"&gt;0"))=0,"",SUMIFS(Input_Konektivitas!$C$3:$C$563,Input_Konektivitas!$A$3:$A$563,$A35,Input_Konektivitas!$B$3:$B$563,AD$3)+SUMIFS(Input_Konektivitas!$C$3:$C$563,Input_Konektivitas!$A$3:$A$563,AD$3,Input_Konektivitas!$B$3:$B$563,$A35))</f>
        <v>1</v>
      </c>
      <c r="AE35" s="29">
        <f>IF((COUNTIFS(Input_Konektivitas!$A$3:$A$563,$A35,Input_Konektivitas!$B$3:$B$563,AE$3,Input_Konektivitas!$D$3:$D$563,"&gt;0")+COUNTIFS(Input_Konektivitas!$A$3:$A$563,AE$3,Input_Konektivitas!$B$3:$B$563,$A35,Input_Konektivitas!$D$3:$D$563,"&gt;0"))=0,"",SUMIFS(Input_Konektivitas!$C$3:$C$563,Input_Konektivitas!$A$3:$A$563,$A35,Input_Konektivitas!$B$3:$B$563,AE$3)+SUMIFS(Input_Konektivitas!$C$3:$C$563,Input_Konektivitas!$A$3:$A$563,AE$3,Input_Konektivitas!$B$3:$B$563,$A35))</f>
        <v>1</v>
      </c>
      <c r="AF35" s="29">
        <f>IF((COUNTIFS(Input_Konektivitas!$A$3:$A$563,$A35,Input_Konektivitas!$B$3:$B$563,AF$3,Input_Konektivitas!$D$3:$D$563,"&gt;0")+COUNTIFS(Input_Konektivitas!$A$3:$A$563,AF$3,Input_Konektivitas!$B$3:$B$563,$A35,Input_Konektivitas!$D$3:$D$563,"&gt;0"))=0,"",SUMIFS(Input_Konektivitas!$C$3:$C$563,Input_Konektivitas!$A$3:$A$563,$A35,Input_Konektivitas!$B$3:$B$563,AF$3)+SUMIFS(Input_Konektivitas!$C$3:$C$563,Input_Konektivitas!$A$3:$A$563,AF$3,Input_Konektivitas!$B$3:$B$563,$A35))</f>
        <v>0</v>
      </c>
      <c r="AG35" s="26">
        <v>0.0</v>
      </c>
      <c r="AH35" s="29">
        <f>IF((COUNTIFS(Input_Konektivitas!$A$3:$A$563,$A35,Input_Konektivitas!$B$3:$B$563,AH$3,Input_Konektivitas!$D$3:$D$563,"&gt;0")+COUNTIFS(Input_Konektivitas!$A$3:$A$563,AH$3,Input_Konektivitas!$B$3:$B$563,$A35,Input_Konektivitas!$D$3:$D$563,"&gt;0"))=0,"",SUMIFS(Input_Konektivitas!$C$3:$C$563,Input_Konektivitas!$A$3:$A$563,$A35,Input_Konektivitas!$B$3:$B$563,AH$3)+SUMIFS(Input_Konektivitas!$C$3:$C$563,Input_Konektivitas!$A$3:$A$563,AH$3,Input_Konektivitas!$B$3:$B$563,$A35))</f>
        <v>1</v>
      </c>
      <c r="AI35" s="29">
        <f>IF((COUNTIFS(Input_Konektivitas!$A$3:$A$563,$A35,Input_Konektivitas!$B$3:$B$563,AI$3,Input_Konektivitas!$D$3:$D$563,"&gt;0")+COUNTIFS(Input_Konektivitas!$A$3:$A$563,AI$3,Input_Konektivitas!$B$3:$B$563,$A35,Input_Konektivitas!$D$3:$D$563,"&gt;0"))=0,"",SUMIFS(Input_Konektivitas!$C$3:$C$563,Input_Konektivitas!$A$3:$A$563,$A35,Input_Konektivitas!$B$3:$B$563,AI$3)+SUMIFS(Input_Konektivitas!$C$3:$C$563,Input_Konektivitas!$A$3:$A$563,AI$3,Input_Konektivitas!$B$3:$B$563,$A35))</f>
        <v>2</v>
      </c>
    </row>
    <row r="36" ht="14.25" customHeight="1">
      <c r="A36" s="22" t="s">
        <v>98</v>
      </c>
      <c r="B36" s="29">
        <f>IF((COUNTIFS(Input_Konektivitas!$A$3:$A$563,$A36,Input_Konektivitas!$B$3:$B$563,B$3,Input_Konektivitas!$D$3:$D$563,"&gt;0")+COUNTIFS(Input_Konektivitas!$A$3:$A$563,B$3,Input_Konektivitas!$B$3:$B$563,$A36,Input_Konektivitas!$D$3:$D$563,"&gt;0"))=0,"",SUMIFS(Input_Konektivitas!$C$3:$C$563,Input_Konektivitas!$A$3:$A$563,$A36,Input_Konektivitas!$B$3:$B$563,B$3)+SUMIFS(Input_Konektivitas!$C$3:$C$563,Input_Konektivitas!$A$3:$A$563,B$3,Input_Konektivitas!$B$3:$B$563,$A36))</f>
        <v>1</v>
      </c>
      <c r="C36" s="29">
        <f>IF((COUNTIFS(Input_Konektivitas!$A$3:$A$563,$A36,Input_Konektivitas!$B$3:$B$563,C$3,Input_Konektivitas!$D$3:$D$563,"&gt;0")+COUNTIFS(Input_Konektivitas!$A$3:$A$563,C$3,Input_Konektivitas!$B$3:$B$563,$A36,Input_Konektivitas!$D$3:$D$563,"&gt;0"))=0,"",SUMIFS(Input_Konektivitas!$C$3:$C$563,Input_Konektivitas!$A$3:$A$563,$A36,Input_Konektivitas!$B$3:$B$563,C$3)+SUMIFS(Input_Konektivitas!$C$3:$C$563,Input_Konektivitas!$A$3:$A$563,C$3,Input_Konektivitas!$B$3:$B$563,$A36))</f>
        <v>1</v>
      </c>
      <c r="D36" s="29">
        <f>IF((COUNTIFS(Input_Konektivitas!$A$3:$A$563,$A36,Input_Konektivitas!$B$3:$B$563,D$3,Input_Konektivitas!$D$3:$D$563,"&gt;0")+COUNTIFS(Input_Konektivitas!$A$3:$A$563,D$3,Input_Konektivitas!$B$3:$B$563,$A36,Input_Konektivitas!$D$3:$D$563,"&gt;0"))=0,"",SUMIFS(Input_Konektivitas!$C$3:$C$563,Input_Konektivitas!$A$3:$A$563,$A36,Input_Konektivitas!$B$3:$B$563,D$3)+SUMIFS(Input_Konektivitas!$C$3:$C$563,Input_Konektivitas!$A$3:$A$563,D$3,Input_Konektivitas!$B$3:$B$563,$A36))</f>
        <v>1</v>
      </c>
      <c r="E36" s="29">
        <f>IF((COUNTIFS(Input_Konektivitas!$A$3:$A$563,$A36,Input_Konektivitas!$B$3:$B$563,E$3,Input_Konektivitas!$D$3:$D$563,"&gt;0")+COUNTIFS(Input_Konektivitas!$A$3:$A$563,E$3,Input_Konektivitas!$B$3:$B$563,$A36,Input_Konektivitas!$D$3:$D$563,"&gt;0"))=0,"",SUMIFS(Input_Konektivitas!$C$3:$C$563,Input_Konektivitas!$A$3:$A$563,$A36,Input_Konektivitas!$B$3:$B$563,E$3)+SUMIFS(Input_Konektivitas!$C$3:$C$563,Input_Konektivitas!$A$3:$A$563,E$3,Input_Konektivitas!$B$3:$B$563,$A36))</f>
        <v>1</v>
      </c>
      <c r="F36" s="29">
        <f>IF((COUNTIFS(Input_Konektivitas!$A$3:$A$563,$A36,Input_Konektivitas!$B$3:$B$563,F$3,Input_Konektivitas!$D$3:$D$563,"&gt;0")+COUNTIFS(Input_Konektivitas!$A$3:$A$563,F$3,Input_Konektivitas!$B$3:$B$563,$A36,Input_Konektivitas!$D$3:$D$563,"&gt;0"))=0,"",SUMIFS(Input_Konektivitas!$C$3:$C$563,Input_Konektivitas!$A$3:$A$563,$A36,Input_Konektivitas!$B$3:$B$563,F$3)+SUMIFS(Input_Konektivitas!$C$3:$C$563,Input_Konektivitas!$A$3:$A$563,F$3,Input_Konektivitas!$B$3:$B$563,$A36))</f>
        <v>2</v>
      </c>
      <c r="G36" s="29">
        <f>IF((COUNTIFS(Input_Konektivitas!$A$3:$A$563,$A36,Input_Konektivitas!$B$3:$B$563,G$3,Input_Konektivitas!$D$3:$D$563,"&gt;0")+COUNTIFS(Input_Konektivitas!$A$3:$A$563,G$3,Input_Konektivitas!$B$3:$B$563,$A36,Input_Konektivitas!$D$3:$D$563,"&gt;0"))=0,"",SUMIFS(Input_Konektivitas!$C$3:$C$563,Input_Konektivitas!$A$3:$A$563,$A36,Input_Konektivitas!$B$3:$B$563,G$3)+SUMIFS(Input_Konektivitas!$C$3:$C$563,Input_Konektivitas!$A$3:$A$563,G$3,Input_Konektivitas!$B$3:$B$563,$A36))</f>
        <v>1</v>
      </c>
      <c r="H36" s="29">
        <f>IF((COUNTIFS(Input_Konektivitas!$A$3:$A$563,$A36,Input_Konektivitas!$B$3:$B$563,H$3,Input_Konektivitas!$D$3:$D$563,"&gt;0")+COUNTIFS(Input_Konektivitas!$A$3:$A$563,H$3,Input_Konektivitas!$B$3:$B$563,$A36,Input_Konektivitas!$D$3:$D$563,"&gt;0"))=0,"",SUMIFS(Input_Konektivitas!$C$3:$C$563,Input_Konektivitas!$A$3:$A$563,$A36,Input_Konektivitas!$B$3:$B$563,H$3)+SUMIFS(Input_Konektivitas!$C$3:$C$563,Input_Konektivitas!$A$3:$A$563,H$3,Input_Konektivitas!$B$3:$B$563,$A36))</f>
        <v>1</v>
      </c>
      <c r="I36" s="29">
        <f>IF((COUNTIFS(Input_Konektivitas!$A$3:$A$563,$A36,Input_Konektivitas!$B$3:$B$563,I$3,Input_Konektivitas!$D$3:$D$563,"&gt;0")+COUNTIFS(Input_Konektivitas!$A$3:$A$563,I$3,Input_Konektivitas!$B$3:$B$563,$A36,Input_Konektivitas!$D$3:$D$563,"&gt;0"))=0,"",SUMIFS(Input_Konektivitas!$C$3:$C$563,Input_Konektivitas!$A$3:$A$563,$A36,Input_Konektivitas!$B$3:$B$563,I$3)+SUMIFS(Input_Konektivitas!$C$3:$C$563,Input_Konektivitas!$A$3:$A$563,I$3,Input_Konektivitas!$B$3:$B$563,$A36))</f>
        <v>1</v>
      </c>
      <c r="J36" s="29">
        <f>IF((COUNTIFS(Input_Konektivitas!$A$3:$A$563,$A36,Input_Konektivitas!$B$3:$B$563,J$3,Input_Konektivitas!$D$3:$D$563,"&gt;0")+COUNTIFS(Input_Konektivitas!$A$3:$A$563,J$3,Input_Konektivitas!$B$3:$B$563,$A36,Input_Konektivitas!$D$3:$D$563,"&gt;0"))=0,"",SUMIFS(Input_Konektivitas!$C$3:$C$563,Input_Konektivitas!$A$3:$A$563,$A36,Input_Konektivitas!$B$3:$B$563,J$3)+SUMIFS(Input_Konektivitas!$C$3:$C$563,Input_Konektivitas!$A$3:$A$563,J$3,Input_Konektivitas!$B$3:$B$563,$A36))</f>
        <v>1</v>
      </c>
      <c r="K36" s="29">
        <f>IF((COUNTIFS(Input_Konektivitas!$A$3:$A$563,$A36,Input_Konektivitas!$B$3:$B$563,K$3,Input_Konektivitas!$D$3:$D$563,"&gt;0")+COUNTIFS(Input_Konektivitas!$A$3:$A$563,K$3,Input_Konektivitas!$B$3:$B$563,$A36,Input_Konektivitas!$D$3:$D$563,"&gt;0"))=0,"",SUMIFS(Input_Konektivitas!$C$3:$C$563,Input_Konektivitas!$A$3:$A$563,$A36,Input_Konektivitas!$B$3:$B$563,K$3)+SUMIFS(Input_Konektivitas!$C$3:$C$563,Input_Konektivitas!$A$3:$A$563,K$3,Input_Konektivitas!$B$3:$B$563,$A36))</f>
        <v>1</v>
      </c>
      <c r="L36" s="29">
        <f>IF((COUNTIFS(Input_Konektivitas!$A$3:$A$563,$A36,Input_Konektivitas!$B$3:$B$563,L$3,Input_Konektivitas!$D$3:$D$563,"&gt;0")+COUNTIFS(Input_Konektivitas!$A$3:$A$563,L$3,Input_Konektivitas!$B$3:$B$563,$A36,Input_Konektivitas!$D$3:$D$563,"&gt;0"))=0,"",SUMIFS(Input_Konektivitas!$C$3:$C$563,Input_Konektivitas!$A$3:$A$563,$A36,Input_Konektivitas!$B$3:$B$563,L$3)+SUMIFS(Input_Konektivitas!$C$3:$C$563,Input_Konektivitas!$A$3:$A$563,L$3,Input_Konektivitas!$B$3:$B$563,$A36))</f>
        <v>0</v>
      </c>
      <c r="M36" s="29">
        <f>IF((COUNTIFS(Input_Konektivitas!$A$3:$A$563,$A36,Input_Konektivitas!$B$3:$B$563,M$3,Input_Konektivitas!$D$3:$D$563,"&gt;0")+COUNTIFS(Input_Konektivitas!$A$3:$A$563,M$3,Input_Konektivitas!$B$3:$B$563,$A36,Input_Konektivitas!$D$3:$D$563,"&gt;0"))=0,"",SUMIFS(Input_Konektivitas!$C$3:$C$563,Input_Konektivitas!$A$3:$A$563,$A36,Input_Konektivitas!$B$3:$B$563,M$3)+SUMIFS(Input_Konektivitas!$C$3:$C$563,Input_Konektivitas!$A$3:$A$563,M$3,Input_Konektivitas!$B$3:$B$563,$A36))</f>
        <v>2</v>
      </c>
      <c r="N36" s="29">
        <f>IF((COUNTIFS(Input_Konektivitas!$A$3:$A$563,$A36,Input_Konektivitas!$B$3:$B$563,N$3,Input_Konektivitas!$D$3:$D$563,"&gt;0")+COUNTIFS(Input_Konektivitas!$A$3:$A$563,N$3,Input_Konektivitas!$B$3:$B$563,$A36,Input_Konektivitas!$D$3:$D$563,"&gt;0"))=0,"",SUMIFS(Input_Konektivitas!$C$3:$C$563,Input_Konektivitas!$A$3:$A$563,$A36,Input_Konektivitas!$B$3:$B$563,N$3)+SUMIFS(Input_Konektivitas!$C$3:$C$563,Input_Konektivitas!$A$3:$A$563,N$3,Input_Konektivitas!$B$3:$B$563,$A36))</f>
        <v>1</v>
      </c>
      <c r="O36" s="29">
        <f>IF((COUNTIFS(Input_Konektivitas!$A$3:$A$563,$A36,Input_Konektivitas!$B$3:$B$563,O$3,Input_Konektivitas!$D$3:$D$563,"&gt;0")+COUNTIFS(Input_Konektivitas!$A$3:$A$563,O$3,Input_Konektivitas!$B$3:$B$563,$A36,Input_Konektivitas!$D$3:$D$563,"&gt;0"))=0,"",SUMIFS(Input_Konektivitas!$C$3:$C$563,Input_Konektivitas!$A$3:$A$563,$A36,Input_Konektivitas!$B$3:$B$563,O$3)+SUMIFS(Input_Konektivitas!$C$3:$C$563,Input_Konektivitas!$A$3:$A$563,O$3,Input_Konektivitas!$B$3:$B$563,$A36))</f>
        <v>1</v>
      </c>
      <c r="P36" s="29">
        <f>IF((COUNTIFS(Input_Konektivitas!$A$3:$A$563,$A36,Input_Konektivitas!$B$3:$B$563,P$3,Input_Konektivitas!$D$3:$D$563,"&gt;0")+COUNTIFS(Input_Konektivitas!$A$3:$A$563,P$3,Input_Konektivitas!$B$3:$B$563,$A36,Input_Konektivitas!$D$3:$D$563,"&gt;0"))=0,"",SUMIFS(Input_Konektivitas!$C$3:$C$563,Input_Konektivitas!$A$3:$A$563,$A36,Input_Konektivitas!$B$3:$B$563,P$3)+SUMIFS(Input_Konektivitas!$C$3:$C$563,Input_Konektivitas!$A$3:$A$563,P$3,Input_Konektivitas!$B$3:$B$563,$A36))</f>
        <v>1</v>
      </c>
      <c r="Q36" s="29" t="str">
        <f>IF((COUNTIFS(Input_Konektivitas!$A$3:$A$563,$A36,Input_Konektivitas!$B$3:$B$563,Q$3,Input_Konektivitas!$D$3:$D$563,"&gt;0")+COUNTIFS(Input_Konektivitas!$A$3:$A$563,Q$3,Input_Konektivitas!$B$3:$B$563,$A36,Input_Konektivitas!$D$3:$D$563,"&gt;0"))=0,"",SUMIFS(Input_Konektivitas!$C$3:$C$563,Input_Konektivitas!$A$3:$A$563,$A36,Input_Konektivitas!$B$3:$B$563,Q$3)+SUMIFS(Input_Konektivitas!$C$3:$C$563,Input_Konektivitas!$A$3:$A$563,Q$3,Input_Konektivitas!$B$3:$B$563,$A36))</f>
        <v/>
      </c>
      <c r="R36" s="29">
        <f>IF((COUNTIFS(Input_Konektivitas!$A$3:$A$563,$A36,Input_Konektivitas!$B$3:$B$563,R$3,Input_Konektivitas!$D$3:$D$563,"&gt;0")+COUNTIFS(Input_Konektivitas!$A$3:$A$563,R$3,Input_Konektivitas!$B$3:$B$563,$A36,Input_Konektivitas!$D$3:$D$563,"&gt;0"))=0,"",SUMIFS(Input_Konektivitas!$C$3:$C$563,Input_Konektivitas!$A$3:$A$563,$A36,Input_Konektivitas!$B$3:$B$563,R$3)+SUMIFS(Input_Konektivitas!$C$3:$C$563,Input_Konektivitas!$A$3:$A$563,R$3,Input_Konektivitas!$B$3:$B$563,$A36))</f>
        <v>1</v>
      </c>
      <c r="S36" s="29">
        <f>IF((COUNTIFS(Input_Konektivitas!$A$3:$A$563,$A36,Input_Konektivitas!$B$3:$B$563,S$3,Input_Konektivitas!$D$3:$D$563,"&gt;0")+COUNTIFS(Input_Konektivitas!$A$3:$A$563,S$3,Input_Konektivitas!$B$3:$B$563,$A36,Input_Konektivitas!$D$3:$D$563,"&gt;0"))=0,"",SUMIFS(Input_Konektivitas!$C$3:$C$563,Input_Konektivitas!$A$3:$A$563,$A36,Input_Konektivitas!$B$3:$B$563,S$3)+SUMIFS(Input_Konektivitas!$C$3:$C$563,Input_Konektivitas!$A$3:$A$563,S$3,Input_Konektivitas!$B$3:$B$563,$A36))</f>
        <v>2</v>
      </c>
      <c r="T36" s="29">
        <f>IF((COUNTIFS(Input_Konektivitas!$A$3:$A$563,$A36,Input_Konektivitas!$B$3:$B$563,T$3,Input_Konektivitas!$D$3:$D$563,"&gt;0")+COUNTIFS(Input_Konektivitas!$A$3:$A$563,T$3,Input_Konektivitas!$B$3:$B$563,$A36,Input_Konektivitas!$D$3:$D$563,"&gt;0"))=0,"",SUMIFS(Input_Konektivitas!$C$3:$C$563,Input_Konektivitas!$A$3:$A$563,$A36,Input_Konektivitas!$B$3:$B$563,T$3)+SUMIFS(Input_Konektivitas!$C$3:$C$563,Input_Konektivitas!$A$3:$A$563,T$3,Input_Konektivitas!$B$3:$B$563,$A36))</f>
        <v>1</v>
      </c>
      <c r="U36" s="29">
        <f>IF((COUNTIFS(Input_Konektivitas!$A$3:$A$563,$A36,Input_Konektivitas!$B$3:$B$563,U$3,Input_Konektivitas!$D$3:$D$563,"&gt;0")+COUNTIFS(Input_Konektivitas!$A$3:$A$563,U$3,Input_Konektivitas!$B$3:$B$563,$A36,Input_Konektivitas!$D$3:$D$563,"&gt;0"))=0,"",SUMIFS(Input_Konektivitas!$C$3:$C$563,Input_Konektivitas!$A$3:$A$563,$A36,Input_Konektivitas!$B$3:$B$563,U$3)+SUMIFS(Input_Konektivitas!$C$3:$C$563,Input_Konektivitas!$A$3:$A$563,U$3,Input_Konektivitas!$B$3:$B$563,$A36))</f>
        <v>2</v>
      </c>
      <c r="V36" s="29">
        <f>IF((COUNTIFS(Input_Konektivitas!$A$3:$A$563,$A36,Input_Konektivitas!$B$3:$B$563,V$3,Input_Konektivitas!$D$3:$D$563,"&gt;0")+COUNTIFS(Input_Konektivitas!$A$3:$A$563,V$3,Input_Konektivitas!$B$3:$B$563,$A36,Input_Konektivitas!$D$3:$D$563,"&gt;0"))=0,"",SUMIFS(Input_Konektivitas!$C$3:$C$563,Input_Konektivitas!$A$3:$A$563,$A36,Input_Konektivitas!$B$3:$B$563,V$3)+SUMIFS(Input_Konektivitas!$C$3:$C$563,Input_Konektivitas!$A$3:$A$563,V$3,Input_Konektivitas!$B$3:$B$563,$A36))</f>
        <v>2</v>
      </c>
      <c r="W36" s="29">
        <f>IF((COUNTIFS(Input_Konektivitas!$A$3:$A$563,$A36,Input_Konektivitas!$B$3:$B$563,W$3,Input_Konektivitas!$D$3:$D$563,"&gt;0")+COUNTIFS(Input_Konektivitas!$A$3:$A$563,W$3,Input_Konektivitas!$B$3:$B$563,$A36,Input_Konektivitas!$D$3:$D$563,"&gt;0"))=0,"",SUMIFS(Input_Konektivitas!$C$3:$C$563,Input_Konektivitas!$A$3:$A$563,$A36,Input_Konektivitas!$B$3:$B$563,W$3)+SUMIFS(Input_Konektivitas!$C$3:$C$563,Input_Konektivitas!$A$3:$A$563,W$3,Input_Konektivitas!$B$3:$B$563,$A36))</f>
        <v>1</v>
      </c>
      <c r="X36" s="29">
        <f>IF((COUNTIFS(Input_Konektivitas!$A$3:$A$563,$A36,Input_Konektivitas!$B$3:$B$563,X$3,Input_Konektivitas!$D$3:$D$563,"&gt;0")+COUNTIFS(Input_Konektivitas!$A$3:$A$563,X$3,Input_Konektivitas!$B$3:$B$563,$A36,Input_Konektivitas!$D$3:$D$563,"&gt;0"))=0,"",SUMIFS(Input_Konektivitas!$C$3:$C$563,Input_Konektivitas!$A$3:$A$563,$A36,Input_Konektivitas!$B$3:$B$563,X$3)+SUMIFS(Input_Konektivitas!$C$3:$C$563,Input_Konektivitas!$A$3:$A$563,X$3,Input_Konektivitas!$B$3:$B$563,$A36))</f>
        <v>1</v>
      </c>
      <c r="Y36" s="29">
        <f>IF((COUNTIFS(Input_Konektivitas!$A$3:$A$563,$A36,Input_Konektivitas!$B$3:$B$563,Y$3,Input_Konektivitas!$D$3:$D$563,"&gt;0")+COUNTIFS(Input_Konektivitas!$A$3:$A$563,Y$3,Input_Konektivitas!$B$3:$B$563,$A36,Input_Konektivitas!$D$3:$D$563,"&gt;0"))=0,"",SUMIFS(Input_Konektivitas!$C$3:$C$563,Input_Konektivitas!$A$3:$A$563,$A36,Input_Konektivitas!$B$3:$B$563,Y$3)+SUMIFS(Input_Konektivitas!$C$3:$C$563,Input_Konektivitas!$A$3:$A$563,Y$3,Input_Konektivitas!$B$3:$B$563,$A36))</f>
        <v>2</v>
      </c>
      <c r="Z36" s="29">
        <f>IF((COUNTIFS(Input_Konektivitas!$A$3:$A$563,$A36,Input_Konektivitas!$B$3:$B$563,Z$3,Input_Konektivitas!$D$3:$D$563,"&gt;0")+COUNTIFS(Input_Konektivitas!$A$3:$A$563,Z$3,Input_Konektivitas!$B$3:$B$563,$A36,Input_Konektivitas!$D$3:$D$563,"&gt;0"))=0,"",SUMIFS(Input_Konektivitas!$C$3:$C$563,Input_Konektivitas!$A$3:$A$563,$A36,Input_Konektivitas!$B$3:$B$563,Z$3)+SUMIFS(Input_Konektivitas!$C$3:$C$563,Input_Konektivitas!$A$3:$A$563,Z$3,Input_Konektivitas!$B$3:$B$563,$A36))</f>
        <v>0</v>
      </c>
      <c r="AA36" s="29">
        <f>IF((COUNTIFS(Input_Konektivitas!$A$3:$A$563,$A36,Input_Konektivitas!$B$3:$B$563,AA$3,Input_Konektivitas!$D$3:$D$563,"&gt;0")+COUNTIFS(Input_Konektivitas!$A$3:$A$563,AA$3,Input_Konektivitas!$B$3:$B$563,$A36,Input_Konektivitas!$D$3:$D$563,"&gt;0"))=0,"",SUMIFS(Input_Konektivitas!$C$3:$C$563,Input_Konektivitas!$A$3:$A$563,$A36,Input_Konektivitas!$B$3:$B$563,AA$3)+SUMIFS(Input_Konektivitas!$C$3:$C$563,Input_Konektivitas!$A$3:$A$563,AA$3,Input_Konektivitas!$B$3:$B$563,$A36))</f>
        <v>1</v>
      </c>
      <c r="AB36" s="29">
        <f>IF((COUNTIFS(Input_Konektivitas!$A$3:$A$563,$A36,Input_Konektivitas!$B$3:$B$563,AB$3,Input_Konektivitas!$D$3:$D$563,"&gt;0")+COUNTIFS(Input_Konektivitas!$A$3:$A$563,AB$3,Input_Konektivitas!$B$3:$B$563,$A36,Input_Konektivitas!$D$3:$D$563,"&gt;0"))=0,"",SUMIFS(Input_Konektivitas!$C$3:$C$563,Input_Konektivitas!$A$3:$A$563,$A36,Input_Konektivitas!$B$3:$B$563,AB$3)+SUMIFS(Input_Konektivitas!$C$3:$C$563,Input_Konektivitas!$A$3:$A$563,AB$3,Input_Konektivitas!$B$3:$B$563,$A36))</f>
        <v>0</v>
      </c>
      <c r="AC36" s="29">
        <f>IF((COUNTIFS(Input_Konektivitas!$A$3:$A$563,$A36,Input_Konektivitas!$B$3:$B$563,AC$3,Input_Konektivitas!$D$3:$D$563,"&gt;0")+COUNTIFS(Input_Konektivitas!$A$3:$A$563,AC$3,Input_Konektivitas!$B$3:$B$563,$A36,Input_Konektivitas!$D$3:$D$563,"&gt;0"))=0,"",SUMIFS(Input_Konektivitas!$C$3:$C$563,Input_Konektivitas!$A$3:$A$563,$A36,Input_Konektivitas!$B$3:$B$563,AC$3)+SUMIFS(Input_Konektivitas!$C$3:$C$563,Input_Konektivitas!$A$3:$A$563,AC$3,Input_Konektivitas!$B$3:$B$563,$A36))</f>
        <v>1</v>
      </c>
      <c r="AD36" s="29">
        <f>IF((COUNTIFS(Input_Konektivitas!$A$3:$A$563,$A36,Input_Konektivitas!$B$3:$B$563,AD$3,Input_Konektivitas!$D$3:$D$563,"&gt;0")+COUNTIFS(Input_Konektivitas!$A$3:$A$563,AD$3,Input_Konektivitas!$B$3:$B$563,$A36,Input_Konektivitas!$D$3:$D$563,"&gt;0"))=0,"",SUMIFS(Input_Konektivitas!$C$3:$C$563,Input_Konektivitas!$A$3:$A$563,$A36,Input_Konektivitas!$B$3:$B$563,AD$3)+SUMIFS(Input_Konektivitas!$C$3:$C$563,Input_Konektivitas!$A$3:$A$563,AD$3,Input_Konektivitas!$B$3:$B$563,$A36))</f>
        <v>2</v>
      </c>
      <c r="AE36" s="29">
        <f>IF((COUNTIFS(Input_Konektivitas!$A$3:$A$563,$A36,Input_Konektivitas!$B$3:$B$563,AE$3,Input_Konektivitas!$D$3:$D$563,"&gt;0")+COUNTIFS(Input_Konektivitas!$A$3:$A$563,AE$3,Input_Konektivitas!$B$3:$B$563,$A36,Input_Konektivitas!$D$3:$D$563,"&gt;0"))=0,"",SUMIFS(Input_Konektivitas!$C$3:$C$563,Input_Konektivitas!$A$3:$A$563,$A36,Input_Konektivitas!$B$3:$B$563,AE$3)+SUMIFS(Input_Konektivitas!$C$3:$C$563,Input_Konektivitas!$A$3:$A$563,AE$3,Input_Konektivitas!$B$3:$B$563,$A36))</f>
        <v>1</v>
      </c>
      <c r="AF36" s="29">
        <f>IF((COUNTIFS(Input_Konektivitas!$A$3:$A$563,$A36,Input_Konektivitas!$B$3:$B$563,AF$3,Input_Konektivitas!$D$3:$D$563,"&gt;0")+COUNTIFS(Input_Konektivitas!$A$3:$A$563,AF$3,Input_Konektivitas!$B$3:$B$563,$A36,Input_Konektivitas!$D$3:$D$563,"&gt;0"))=0,"",SUMIFS(Input_Konektivitas!$C$3:$C$563,Input_Konektivitas!$A$3:$A$563,$A36,Input_Konektivitas!$B$3:$B$563,AF$3)+SUMIFS(Input_Konektivitas!$C$3:$C$563,Input_Konektivitas!$A$3:$A$563,AF$3,Input_Konektivitas!$B$3:$B$563,$A36))</f>
        <v>0</v>
      </c>
      <c r="AG36" s="29">
        <f>IF((COUNTIFS(Input_Konektivitas!$A$3:$A$563,$A36,Input_Konektivitas!$B$3:$B$563,AG$3,Input_Konektivitas!$D$3:$D$563,"&gt;0")+COUNTIFS(Input_Konektivitas!$A$3:$A$563,AG$3,Input_Konektivitas!$B$3:$B$563,$A36,Input_Konektivitas!$D$3:$D$563,"&gt;0"))=0,"",SUMIFS(Input_Konektivitas!$C$3:$C$563,Input_Konektivitas!$A$3:$A$563,$A36,Input_Konektivitas!$B$3:$B$563,AG$3)+SUMIFS(Input_Konektivitas!$C$3:$C$563,Input_Konektivitas!$A$3:$A$563,AG$3,Input_Konektivitas!$B$3:$B$563,$A36))</f>
        <v>1</v>
      </c>
      <c r="AH36" s="26">
        <v>0.0</v>
      </c>
      <c r="AI36" s="29">
        <f>IF((COUNTIFS(Input_Konektivitas!$A$3:$A$563,$A36,Input_Konektivitas!$B$3:$B$563,AI$3,Input_Konektivitas!$D$3:$D$563,"&gt;0")+COUNTIFS(Input_Konektivitas!$A$3:$A$563,AI$3,Input_Konektivitas!$B$3:$B$563,$A36,Input_Konektivitas!$D$3:$D$563,"&gt;0"))=0,"",SUMIFS(Input_Konektivitas!$C$3:$C$563,Input_Konektivitas!$A$3:$A$563,$A36,Input_Konektivitas!$B$3:$B$563,AI$3)+SUMIFS(Input_Konektivitas!$C$3:$C$563,Input_Konektivitas!$A$3:$A$563,AI$3,Input_Konektivitas!$B$3:$B$563,$A36))</f>
        <v>0</v>
      </c>
    </row>
    <row r="37" ht="14.25" customHeight="1">
      <c r="A37" s="22" t="s">
        <v>101</v>
      </c>
      <c r="B37" s="29">
        <f>IF((COUNTIFS(Input_Konektivitas!$A$3:$A$563,$A37,Input_Konektivitas!$B$3:$B$563,B$3,Input_Konektivitas!$D$3:$D$563,"&gt;0")+COUNTIFS(Input_Konektivitas!$A$3:$A$563,B$3,Input_Konektivitas!$B$3:$B$563,$A37,Input_Konektivitas!$D$3:$D$563,"&gt;0"))=0,"",SUMIFS(Input_Konektivitas!$C$3:$C$563,Input_Konektivitas!$A$3:$A$563,$A37,Input_Konektivitas!$B$3:$B$563,B$3)+SUMIFS(Input_Konektivitas!$C$3:$C$563,Input_Konektivitas!$A$3:$A$563,B$3,Input_Konektivitas!$B$3:$B$563,$A37))</f>
        <v>1</v>
      </c>
      <c r="C37" s="29">
        <f>IF((COUNTIFS(Input_Konektivitas!$A$3:$A$563,$A37,Input_Konektivitas!$B$3:$B$563,C$3,Input_Konektivitas!$D$3:$D$563,"&gt;0")+COUNTIFS(Input_Konektivitas!$A$3:$A$563,C$3,Input_Konektivitas!$B$3:$B$563,$A37,Input_Konektivitas!$D$3:$D$563,"&gt;0"))=0,"",SUMIFS(Input_Konektivitas!$C$3:$C$563,Input_Konektivitas!$A$3:$A$563,$A37,Input_Konektivitas!$B$3:$B$563,C$3)+SUMIFS(Input_Konektivitas!$C$3:$C$563,Input_Konektivitas!$A$3:$A$563,C$3,Input_Konektivitas!$B$3:$B$563,$A37))</f>
        <v>1</v>
      </c>
      <c r="D37" s="29">
        <f>IF((COUNTIFS(Input_Konektivitas!$A$3:$A$563,$A37,Input_Konektivitas!$B$3:$B$563,D$3,Input_Konektivitas!$D$3:$D$563,"&gt;0")+COUNTIFS(Input_Konektivitas!$A$3:$A$563,D$3,Input_Konektivitas!$B$3:$B$563,$A37,Input_Konektivitas!$D$3:$D$563,"&gt;0"))=0,"",SUMIFS(Input_Konektivitas!$C$3:$C$563,Input_Konektivitas!$A$3:$A$563,$A37,Input_Konektivitas!$B$3:$B$563,D$3)+SUMIFS(Input_Konektivitas!$C$3:$C$563,Input_Konektivitas!$A$3:$A$563,D$3,Input_Konektivitas!$B$3:$B$563,$A37))</f>
        <v>1</v>
      </c>
      <c r="E37" s="29">
        <f>IF((COUNTIFS(Input_Konektivitas!$A$3:$A$563,$A37,Input_Konektivitas!$B$3:$B$563,E$3,Input_Konektivitas!$D$3:$D$563,"&gt;0")+COUNTIFS(Input_Konektivitas!$A$3:$A$563,E$3,Input_Konektivitas!$B$3:$B$563,$A37,Input_Konektivitas!$D$3:$D$563,"&gt;0"))=0,"",SUMIFS(Input_Konektivitas!$C$3:$C$563,Input_Konektivitas!$A$3:$A$563,$A37,Input_Konektivitas!$B$3:$B$563,E$3)+SUMIFS(Input_Konektivitas!$C$3:$C$563,Input_Konektivitas!$A$3:$A$563,E$3,Input_Konektivitas!$B$3:$B$563,$A37))</f>
        <v>1</v>
      </c>
      <c r="F37" s="29">
        <f>IF((COUNTIFS(Input_Konektivitas!$A$3:$A$563,$A37,Input_Konektivitas!$B$3:$B$563,F$3,Input_Konektivitas!$D$3:$D$563,"&gt;0")+COUNTIFS(Input_Konektivitas!$A$3:$A$563,F$3,Input_Konektivitas!$B$3:$B$563,$A37,Input_Konektivitas!$D$3:$D$563,"&gt;0"))=0,"",SUMIFS(Input_Konektivitas!$C$3:$C$563,Input_Konektivitas!$A$3:$A$563,$A37,Input_Konektivitas!$B$3:$B$563,F$3)+SUMIFS(Input_Konektivitas!$C$3:$C$563,Input_Konektivitas!$A$3:$A$563,F$3,Input_Konektivitas!$B$3:$B$563,$A37))</f>
        <v>2</v>
      </c>
      <c r="G37" s="29">
        <f>IF((COUNTIFS(Input_Konektivitas!$A$3:$A$563,$A37,Input_Konektivitas!$B$3:$B$563,G$3,Input_Konektivitas!$D$3:$D$563,"&gt;0")+COUNTIFS(Input_Konektivitas!$A$3:$A$563,G$3,Input_Konektivitas!$B$3:$B$563,$A37,Input_Konektivitas!$D$3:$D$563,"&gt;0"))=0,"",SUMIFS(Input_Konektivitas!$C$3:$C$563,Input_Konektivitas!$A$3:$A$563,$A37,Input_Konektivitas!$B$3:$B$563,G$3)+SUMIFS(Input_Konektivitas!$C$3:$C$563,Input_Konektivitas!$A$3:$A$563,G$3,Input_Konektivitas!$B$3:$B$563,$A37))</f>
        <v>1</v>
      </c>
      <c r="H37" s="29">
        <f>IF((COUNTIFS(Input_Konektivitas!$A$3:$A$563,$A37,Input_Konektivitas!$B$3:$B$563,H$3,Input_Konektivitas!$D$3:$D$563,"&gt;0")+COUNTIFS(Input_Konektivitas!$A$3:$A$563,H$3,Input_Konektivitas!$B$3:$B$563,$A37,Input_Konektivitas!$D$3:$D$563,"&gt;0"))=0,"",SUMIFS(Input_Konektivitas!$C$3:$C$563,Input_Konektivitas!$A$3:$A$563,$A37,Input_Konektivitas!$B$3:$B$563,H$3)+SUMIFS(Input_Konektivitas!$C$3:$C$563,Input_Konektivitas!$A$3:$A$563,H$3,Input_Konektivitas!$B$3:$B$563,$A37))</f>
        <v>2</v>
      </c>
      <c r="I37" s="29">
        <f>IF((COUNTIFS(Input_Konektivitas!$A$3:$A$563,$A37,Input_Konektivitas!$B$3:$B$563,I$3,Input_Konektivitas!$D$3:$D$563,"&gt;0")+COUNTIFS(Input_Konektivitas!$A$3:$A$563,I$3,Input_Konektivitas!$B$3:$B$563,$A37,Input_Konektivitas!$D$3:$D$563,"&gt;0"))=0,"",SUMIFS(Input_Konektivitas!$C$3:$C$563,Input_Konektivitas!$A$3:$A$563,$A37,Input_Konektivitas!$B$3:$B$563,I$3)+SUMIFS(Input_Konektivitas!$C$3:$C$563,Input_Konektivitas!$A$3:$A$563,I$3,Input_Konektivitas!$B$3:$B$563,$A37))</f>
        <v>1</v>
      </c>
      <c r="J37" s="29">
        <f>IF((COUNTIFS(Input_Konektivitas!$A$3:$A$563,$A37,Input_Konektivitas!$B$3:$B$563,J$3,Input_Konektivitas!$D$3:$D$563,"&gt;0")+COUNTIFS(Input_Konektivitas!$A$3:$A$563,J$3,Input_Konektivitas!$B$3:$B$563,$A37,Input_Konektivitas!$D$3:$D$563,"&gt;0"))=0,"",SUMIFS(Input_Konektivitas!$C$3:$C$563,Input_Konektivitas!$A$3:$A$563,$A37,Input_Konektivitas!$B$3:$B$563,J$3)+SUMIFS(Input_Konektivitas!$C$3:$C$563,Input_Konektivitas!$A$3:$A$563,J$3,Input_Konektivitas!$B$3:$B$563,$A37))</f>
        <v>2</v>
      </c>
      <c r="K37" s="29">
        <f>IF((COUNTIFS(Input_Konektivitas!$A$3:$A$563,$A37,Input_Konektivitas!$B$3:$B$563,K$3,Input_Konektivitas!$D$3:$D$563,"&gt;0")+COUNTIFS(Input_Konektivitas!$A$3:$A$563,K$3,Input_Konektivitas!$B$3:$B$563,$A37,Input_Konektivitas!$D$3:$D$563,"&gt;0"))=0,"",SUMIFS(Input_Konektivitas!$C$3:$C$563,Input_Konektivitas!$A$3:$A$563,$A37,Input_Konektivitas!$B$3:$B$563,K$3)+SUMIFS(Input_Konektivitas!$C$3:$C$563,Input_Konektivitas!$A$3:$A$563,K$3,Input_Konektivitas!$B$3:$B$563,$A37))</f>
        <v>1</v>
      </c>
      <c r="L37" s="29">
        <f>IF((COUNTIFS(Input_Konektivitas!$A$3:$A$563,$A37,Input_Konektivitas!$B$3:$B$563,L$3,Input_Konektivitas!$D$3:$D$563,"&gt;0")+COUNTIFS(Input_Konektivitas!$A$3:$A$563,L$3,Input_Konektivitas!$B$3:$B$563,$A37,Input_Konektivitas!$D$3:$D$563,"&gt;0"))=0,"",SUMIFS(Input_Konektivitas!$C$3:$C$563,Input_Konektivitas!$A$3:$A$563,$A37,Input_Konektivitas!$B$3:$B$563,L$3)+SUMIFS(Input_Konektivitas!$C$3:$C$563,Input_Konektivitas!$A$3:$A$563,L$3,Input_Konektivitas!$B$3:$B$563,$A37))</f>
        <v>0</v>
      </c>
      <c r="M37" s="29">
        <f>IF((COUNTIFS(Input_Konektivitas!$A$3:$A$563,$A37,Input_Konektivitas!$B$3:$B$563,M$3,Input_Konektivitas!$D$3:$D$563,"&gt;0")+COUNTIFS(Input_Konektivitas!$A$3:$A$563,M$3,Input_Konektivitas!$B$3:$B$563,$A37,Input_Konektivitas!$D$3:$D$563,"&gt;0"))=0,"",SUMIFS(Input_Konektivitas!$C$3:$C$563,Input_Konektivitas!$A$3:$A$563,$A37,Input_Konektivitas!$B$3:$B$563,M$3)+SUMIFS(Input_Konektivitas!$C$3:$C$563,Input_Konektivitas!$A$3:$A$563,M$3,Input_Konektivitas!$B$3:$B$563,$A37))</f>
        <v>2</v>
      </c>
      <c r="N37" s="29">
        <f>IF((COUNTIFS(Input_Konektivitas!$A$3:$A$563,$A37,Input_Konektivitas!$B$3:$B$563,N$3,Input_Konektivitas!$D$3:$D$563,"&gt;0")+COUNTIFS(Input_Konektivitas!$A$3:$A$563,N$3,Input_Konektivitas!$B$3:$B$563,$A37,Input_Konektivitas!$D$3:$D$563,"&gt;0"))=0,"",SUMIFS(Input_Konektivitas!$C$3:$C$563,Input_Konektivitas!$A$3:$A$563,$A37,Input_Konektivitas!$B$3:$B$563,N$3)+SUMIFS(Input_Konektivitas!$C$3:$C$563,Input_Konektivitas!$A$3:$A$563,N$3,Input_Konektivitas!$B$3:$B$563,$A37))</f>
        <v>2</v>
      </c>
      <c r="O37" s="29">
        <f>IF((COUNTIFS(Input_Konektivitas!$A$3:$A$563,$A37,Input_Konektivitas!$B$3:$B$563,O$3,Input_Konektivitas!$D$3:$D$563,"&gt;0")+COUNTIFS(Input_Konektivitas!$A$3:$A$563,O$3,Input_Konektivitas!$B$3:$B$563,$A37,Input_Konektivitas!$D$3:$D$563,"&gt;0"))=0,"",SUMIFS(Input_Konektivitas!$C$3:$C$563,Input_Konektivitas!$A$3:$A$563,$A37,Input_Konektivitas!$B$3:$B$563,O$3)+SUMIFS(Input_Konektivitas!$C$3:$C$563,Input_Konektivitas!$A$3:$A$563,O$3,Input_Konektivitas!$B$3:$B$563,$A37))</f>
        <v>1</v>
      </c>
      <c r="P37" s="29">
        <f>IF((COUNTIFS(Input_Konektivitas!$A$3:$A$563,$A37,Input_Konektivitas!$B$3:$B$563,P$3,Input_Konektivitas!$D$3:$D$563,"&gt;0")+COUNTIFS(Input_Konektivitas!$A$3:$A$563,P$3,Input_Konektivitas!$B$3:$B$563,$A37,Input_Konektivitas!$D$3:$D$563,"&gt;0"))=0,"",SUMIFS(Input_Konektivitas!$C$3:$C$563,Input_Konektivitas!$A$3:$A$563,$A37,Input_Konektivitas!$B$3:$B$563,P$3)+SUMIFS(Input_Konektivitas!$C$3:$C$563,Input_Konektivitas!$A$3:$A$563,P$3,Input_Konektivitas!$B$3:$B$563,$A37))</f>
        <v>1</v>
      </c>
      <c r="Q37" s="29" t="str">
        <f>IF((COUNTIFS(Input_Konektivitas!$A$3:$A$563,$A37,Input_Konektivitas!$B$3:$B$563,Q$3,Input_Konektivitas!$D$3:$D$563,"&gt;0")+COUNTIFS(Input_Konektivitas!$A$3:$A$563,Q$3,Input_Konektivitas!$B$3:$B$563,$A37,Input_Konektivitas!$D$3:$D$563,"&gt;0"))=0,"",SUMIFS(Input_Konektivitas!$C$3:$C$563,Input_Konektivitas!$A$3:$A$563,$A37,Input_Konektivitas!$B$3:$B$563,Q$3)+SUMIFS(Input_Konektivitas!$C$3:$C$563,Input_Konektivitas!$A$3:$A$563,Q$3,Input_Konektivitas!$B$3:$B$563,$A37))</f>
        <v/>
      </c>
      <c r="R37" s="29">
        <f>IF((COUNTIFS(Input_Konektivitas!$A$3:$A$563,$A37,Input_Konektivitas!$B$3:$B$563,R$3,Input_Konektivitas!$D$3:$D$563,"&gt;0")+COUNTIFS(Input_Konektivitas!$A$3:$A$563,R$3,Input_Konektivitas!$B$3:$B$563,$A37,Input_Konektivitas!$D$3:$D$563,"&gt;0"))=0,"",SUMIFS(Input_Konektivitas!$C$3:$C$563,Input_Konektivitas!$A$3:$A$563,$A37,Input_Konektivitas!$B$3:$B$563,R$3)+SUMIFS(Input_Konektivitas!$C$3:$C$563,Input_Konektivitas!$A$3:$A$563,R$3,Input_Konektivitas!$B$3:$B$563,$A37))</f>
        <v>1</v>
      </c>
      <c r="S37" s="29">
        <f>IF((COUNTIFS(Input_Konektivitas!$A$3:$A$563,$A37,Input_Konektivitas!$B$3:$B$563,S$3,Input_Konektivitas!$D$3:$D$563,"&gt;0")+COUNTIFS(Input_Konektivitas!$A$3:$A$563,S$3,Input_Konektivitas!$B$3:$B$563,$A37,Input_Konektivitas!$D$3:$D$563,"&gt;0"))=0,"",SUMIFS(Input_Konektivitas!$C$3:$C$563,Input_Konektivitas!$A$3:$A$563,$A37,Input_Konektivitas!$B$3:$B$563,S$3)+SUMIFS(Input_Konektivitas!$C$3:$C$563,Input_Konektivitas!$A$3:$A$563,S$3,Input_Konektivitas!$B$3:$B$563,$A37))</f>
        <v>2</v>
      </c>
      <c r="T37" s="29">
        <f>IF((COUNTIFS(Input_Konektivitas!$A$3:$A$563,$A37,Input_Konektivitas!$B$3:$B$563,T$3,Input_Konektivitas!$D$3:$D$563,"&gt;0")+COUNTIFS(Input_Konektivitas!$A$3:$A$563,T$3,Input_Konektivitas!$B$3:$B$563,$A37,Input_Konektivitas!$D$3:$D$563,"&gt;0"))=0,"",SUMIFS(Input_Konektivitas!$C$3:$C$563,Input_Konektivitas!$A$3:$A$563,$A37,Input_Konektivitas!$B$3:$B$563,T$3)+SUMIFS(Input_Konektivitas!$C$3:$C$563,Input_Konektivitas!$A$3:$A$563,T$3,Input_Konektivitas!$B$3:$B$563,$A37))</f>
        <v>1</v>
      </c>
      <c r="U37" s="29">
        <f>IF((COUNTIFS(Input_Konektivitas!$A$3:$A$563,$A37,Input_Konektivitas!$B$3:$B$563,U$3,Input_Konektivitas!$D$3:$D$563,"&gt;0")+COUNTIFS(Input_Konektivitas!$A$3:$A$563,U$3,Input_Konektivitas!$B$3:$B$563,$A37,Input_Konektivitas!$D$3:$D$563,"&gt;0"))=0,"",SUMIFS(Input_Konektivitas!$C$3:$C$563,Input_Konektivitas!$A$3:$A$563,$A37,Input_Konektivitas!$B$3:$B$563,U$3)+SUMIFS(Input_Konektivitas!$C$3:$C$563,Input_Konektivitas!$A$3:$A$563,U$3,Input_Konektivitas!$B$3:$B$563,$A37))</f>
        <v>2</v>
      </c>
      <c r="V37" s="29">
        <f>IF((COUNTIFS(Input_Konektivitas!$A$3:$A$563,$A37,Input_Konektivitas!$B$3:$B$563,V$3,Input_Konektivitas!$D$3:$D$563,"&gt;0")+COUNTIFS(Input_Konektivitas!$A$3:$A$563,V$3,Input_Konektivitas!$B$3:$B$563,$A37,Input_Konektivitas!$D$3:$D$563,"&gt;0"))=0,"",SUMIFS(Input_Konektivitas!$C$3:$C$563,Input_Konektivitas!$A$3:$A$563,$A37,Input_Konektivitas!$B$3:$B$563,V$3)+SUMIFS(Input_Konektivitas!$C$3:$C$563,Input_Konektivitas!$A$3:$A$563,V$3,Input_Konektivitas!$B$3:$B$563,$A37))</f>
        <v>2</v>
      </c>
      <c r="W37" s="29">
        <f>IF((COUNTIFS(Input_Konektivitas!$A$3:$A$563,$A37,Input_Konektivitas!$B$3:$B$563,W$3,Input_Konektivitas!$D$3:$D$563,"&gt;0")+COUNTIFS(Input_Konektivitas!$A$3:$A$563,W$3,Input_Konektivitas!$B$3:$B$563,$A37,Input_Konektivitas!$D$3:$D$563,"&gt;0"))=0,"",SUMIFS(Input_Konektivitas!$C$3:$C$563,Input_Konektivitas!$A$3:$A$563,$A37,Input_Konektivitas!$B$3:$B$563,W$3)+SUMIFS(Input_Konektivitas!$C$3:$C$563,Input_Konektivitas!$A$3:$A$563,W$3,Input_Konektivitas!$B$3:$B$563,$A37))</f>
        <v>1</v>
      </c>
      <c r="X37" s="29">
        <f>IF((COUNTIFS(Input_Konektivitas!$A$3:$A$563,$A37,Input_Konektivitas!$B$3:$B$563,X$3,Input_Konektivitas!$D$3:$D$563,"&gt;0")+COUNTIFS(Input_Konektivitas!$A$3:$A$563,X$3,Input_Konektivitas!$B$3:$B$563,$A37,Input_Konektivitas!$D$3:$D$563,"&gt;0"))=0,"",SUMIFS(Input_Konektivitas!$C$3:$C$563,Input_Konektivitas!$A$3:$A$563,$A37,Input_Konektivitas!$B$3:$B$563,X$3)+SUMIFS(Input_Konektivitas!$C$3:$C$563,Input_Konektivitas!$A$3:$A$563,X$3,Input_Konektivitas!$B$3:$B$563,$A37))</f>
        <v>1</v>
      </c>
      <c r="Y37" s="29">
        <f>IF((COUNTIFS(Input_Konektivitas!$A$3:$A$563,$A37,Input_Konektivitas!$B$3:$B$563,Y$3,Input_Konektivitas!$D$3:$D$563,"&gt;0")+COUNTIFS(Input_Konektivitas!$A$3:$A$563,Y$3,Input_Konektivitas!$B$3:$B$563,$A37,Input_Konektivitas!$D$3:$D$563,"&gt;0"))=0,"",SUMIFS(Input_Konektivitas!$C$3:$C$563,Input_Konektivitas!$A$3:$A$563,$A37,Input_Konektivitas!$B$3:$B$563,Y$3)+SUMIFS(Input_Konektivitas!$C$3:$C$563,Input_Konektivitas!$A$3:$A$563,Y$3,Input_Konektivitas!$B$3:$B$563,$A37))</f>
        <v>3</v>
      </c>
      <c r="Z37" s="29">
        <f>IF((COUNTIFS(Input_Konektivitas!$A$3:$A$563,$A37,Input_Konektivitas!$B$3:$B$563,Z$3,Input_Konektivitas!$D$3:$D$563,"&gt;0")+COUNTIFS(Input_Konektivitas!$A$3:$A$563,Z$3,Input_Konektivitas!$B$3:$B$563,$A37,Input_Konektivitas!$D$3:$D$563,"&gt;0"))=0,"",SUMIFS(Input_Konektivitas!$C$3:$C$563,Input_Konektivitas!$A$3:$A$563,$A37,Input_Konektivitas!$B$3:$B$563,Z$3)+SUMIFS(Input_Konektivitas!$C$3:$C$563,Input_Konektivitas!$A$3:$A$563,Z$3,Input_Konektivitas!$B$3:$B$563,$A37))</f>
        <v>1</v>
      </c>
      <c r="AA37" s="29">
        <f>IF((COUNTIFS(Input_Konektivitas!$A$3:$A$563,$A37,Input_Konektivitas!$B$3:$B$563,AA$3,Input_Konektivitas!$D$3:$D$563,"&gt;0")+COUNTIFS(Input_Konektivitas!$A$3:$A$563,AA$3,Input_Konektivitas!$B$3:$B$563,$A37,Input_Konektivitas!$D$3:$D$563,"&gt;0"))=0,"",SUMIFS(Input_Konektivitas!$C$3:$C$563,Input_Konektivitas!$A$3:$A$563,$A37,Input_Konektivitas!$B$3:$B$563,AA$3)+SUMIFS(Input_Konektivitas!$C$3:$C$563,Input_Konektivitas!$A$3:$A$563,AA$3,Input_Konektivitas!$B$3:$B$563,$A37))</f>
        <v>1</v>
      </c>
      <c r="AB37" s="29">
        <f>IF((COUNTIFS(Input_Konektivitas!$A$3:$A$563,$A37,Input_Konektivitas!$B$3:$B$563,AB$3,Input_Konektivitas!$D$3:$D$563,"&gt;0")+COUNTIFS(Input_Konektivitas!$A$3:$A$563,AB$3,Input_Konektivitas!$B$3:$B$563,$A37,Input_Konektivitas!$D$3:$D$563,"&gt;0"))=0,"",SUMIFS(Input_Konektivitas!$C$3:$C$563,Input_Konektivitas!$A$3:$A$563,$A37,Input_Konektivitas!$B$3:$B$563,AB$3)+SUMIFS(Input_Konektivitas!$C$3:$C$563,Input_Konektivitas!$A$3:$A$563,AB$3,Input_Konektivitas!$B$3:$B$563,$A37))</f>
        <v>0</v>
      </c>
      <c r="AC37" s="29">
        <f>IF((COUNTIFS(Input_Konektivitas!$A$3:$A$563,$A37,Input_Konektivitas!$B$3:$B$563,AC$3,Input_Konektivitas!$D$3:$D$563,"&gt;0")+COUNTIFS(Input_Konektivitas!$A$3:$A$563,AC$3,Input_Konektivitas!$B$3:$B$563,$A37,Input_Konektivitas!$D$3:$D$563,"&gt;0"))=0,"",SUMIFS(Input_Konektivitas!$C$3:$C$563,Input_Konektivitas!$A$3:$A$563,$A37,Input_Konektivitas!$B$3:$B$563,AC$3)+SUMIFS(Input_Konektivitas!$C$3:$C$563,Input_Konektivitas!$A$3:$A$563,AC$3,Input_Konektivitas!$B$3:$B$563,$A37))</f>
        <v>2</v>
      </c>
      <c r="AD37" s="29">
        <f>IF((COUNTIFS(Input_Konektivitas!$A$3:$A$563,$A37,Input_Konektivitas!$B$3:$B$563,AD$3,Input_Konektivitas!$D$3:$D$563,"&gt;0")+COUNTIFS(Input_Konektivitas!$A$3:$A$563,AD$3,Input_Konektivitas!$B$3:$B$563,$A37,Input_Konektivitas!$D$3:$D$563,"&gt;0"))=0,"",SUMIFS(Input_Konektivitas!$C$3:$C$563,Input_Konektivitas!$A$3:$A$563,$A37,Input_Konektivitas!$B$3:$B$563,AD$3)+SUMIFS(Input_Konektivitas!$C$3:$C$563,Input_Konektivitas!$A$3:$A$563,AD$3,Input_Konektivitas!$B$3:$B$563,$A37))</f>
        <v>1</v>
      </c>
      <c r="AE37" s="29">
        <f>IF((COUNTIFS(Input_Konektivitas!$A$3:$A$563,$A37,Input_Konektivitas!$B$3:$B$563,AE$3,Input_Konektivitas!$D$3:$D$563,"&gt;0")+COUNTIFS(Input_Konektivitas!$A$3:$A$563,AE$3,Input_Konektivitas!$B$3:$B$563,$A37,Input_Konektivitas!$D$3:$D$563,"&gt;0"))=0,"",SUMIFS(Input_Konektivitas!$C$3:$C$563,Input_Konektivitas!$A$3:$A$563,$A37,Input_Konektivitas!$B$3:$B$563,AE$3)+SUMIFS(Input_Konektivitas!$C$3:$C$563,Input_Konektivitas!$A$3:$A$563,AE$3,Input_Konektivitas!$B$3:$B$563,$A37))</f>
        <v>1</v>
      </c>
      <c r="AF37" s="29">
        <f>IF((COUNTIFS(Input_Konektivitas!$A$3:$A$563,$A37,Input_Konektivitas!$B$3:$B$563,AF$3,Input_Konektivitas!$D$3:$D$563,"&gt;0")+COUNTIFS(Input_Konektivitas!$A$3:$A$563,AF$3,Input_Konektivitas!$B$3:$B$563,$A37,Input_Konektivitas!$D$3:$D$563,"&gt;0"))=0,"",SUMIFS(Input_Konektivitas!$C$3:$C$563,Input_Konektivitas!$A$3:$A$563,$A37,Input_Konektivitas!$B$3:$B$563,AF$3)+SUMIFS(Input_Konektivitas!$C$3:$C$563,Input_Konektivitas!$A$3:$A$563,AF$3,Input_Konektivitas!$B$3:$B$563,$A37))</f>
        <v>2</v>
      </c>
      <c r="AG37" s="29">
        <f>IF((COUNTIFS(Input_Konektivitas!$A$3:$A$563,$A37,Input_Konektivitas!$B$3:$B$563,AG$3,Input_Konektivitas!$D$3:$D$563,"&gt;0")+COUNTIFS(Input_Konektivitas!$A$3:$A$563,AG$3,Input_Konektivitas!$B$3:$B$563,$A37,Input_Konektivitas!$D$3:$D$563,"&gt;0"))=0,"",SUMIFS(Input_Konektivitas!$C$3:$C$563,Input_Konektivitas!$A$3:$A$563,$A37,Input_Konektivitas!$B$3:$B$563,AG$3)+SUMIFS(Input_Konektivitas!$C$3:$C$563,Input_Konektivitas!$A$3:$A$563,AG$3,Input_Konektivitas!$B$3:$B$563,$A37))</f>
        <v>2</v>
      </c>
      <c r="AH37" s="29">
        <f>IF((COUNTIFS(Input_Konektivitas!$A$3:$A$563,$A37,Input_Konektivitas!$B$3:$B$563,AH$3,Input_Konektivitas!$D$3:$D$563,"&gt;0")+COUNTIFS(Input_Konektivitas!$A$3:$A$563,AH$3,Input_Konektivitas!$B$3:$B$563,$A37,Input_Konektivitas!$D$3:$D$563,"&gt;0"))=0,"",SUMIFS(Input_Konektivitas!$C$3:$C$563,Input_Konektivitas!$A$3:$A$563,$A37,Input_Konektivitas!$B$3:$B$563,AH$3)+SUMIFS(Input_Konektivitas!$C$3:$C$563,Input_Konektivitas!$A$3:$A$563,AH$3,Input_Konektivitas!$B$3:$B$563,$A37))</f>
        <v>0</v>
      </c>
      <c r="AI37" s="26">
        <v>0.0</v>
      </c>
    </row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1.0" footer="0.0" header="0.0" left="0.75" right="0.75" top="1.0"/>
  <pageSetup paperSize="9" orientation="portrait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1.0" ySplit="3.0" topLeftCell="B4" activePane="bottomRight" state="frozen"/>
      <selection activeCell="B1" sqref="B1" pane="topRight"/>
      <selection activeCell="A4" sqref="A4" pane="bottomLeft"/>
      <selection activeCell="B4" sqref="B4" pane="bottomRight"/>
    </sheetView>
  </sheetViews>
  <sheetFormatPr customHeight="1" defaultColWidth="14.43" defaultRowHeight="15.0"/>
  <cols>
    <col customWidth="1" min="1" max="1" width="22.0"/>
    <col customWidth="1" min="2" max="3" width="5.57"/>
    <col customWidth="1" min="4" max="4" width="7.43"/>
    <col customWidth="1" min="5" max="36" width="5.57"/>
  </cols>
  <sheetData>
    <row r="1" ht="14.25" customHeight="1">
      <c r="A1" s="24" t="s">
        <v>105</v>
      </c>
      <c r="B1" s="25">
        <v>1.0</v>
      </c>
      <c r="C1" s="19" t="s">
        <v>106</v>
      </c>
      <c r="E1" s="16" t="s">
        <v>107</v>
      </c>
    </row>
    <row r="2" ht="14.25" customHeight="1">
      <c r="A2" s="24" t="s">
        <v>108</v>
      </c>
      <c r="B2" s="25">
        <v>1.0</v>
      </c>
      <c r="C2" s="19" t="s">
        <v>109</v>
      </c>
      <c r="E2" s="19" t="s">
        <v>110</v>
      </c>
    </row>
    <row r="3" ht="94.5" customHeight="1">
      <c r="A3" s="20" t="s">
        <v>100</v>
      </c>
      <c r="B3" s="21" t="s">
        <v>5</v>
      </c>
      <c r="C3" s="21" t="s">
        <v>8</v>
      </c>
      <c r="D3" s="21" t="s">
        <v>10</v>
      </c>
      <c r="E3" s="21" t="s">
        <v>12</v>
      </c>
      <c r="F3" s="21" t="s">
        <v>15</v>
      </c>
      <c r="G3" s="21" t="s">
        <v>17</v>
      </c>
      <c r="H3" s="21" t="s">
        <v>20</v>
      </c>
      <c r="I3" s="21" t="s">
        <v>22</v>
      </c>
      <c r="J3" s="21" t="s">
        <v>25</v>
      </c>
      <c r="K3" s="21" t="s">
        <v>28</v>
      </c>
      <c r="L3" s="21" t="s">
        <v>31</v>
      </c>
      <c r="M3" s="21" t="s">
        <v>33</v>
      </c>
      <c r="N3" s="21" t="s">
        <v>37</v>
      </c>
      <c r="O3" s="21" t="s">
        <v>40</v>
      </c>
      <c r="P3" s="21" t="s">
        <v>43</v>
      </c>
      <c r="Q3" s="21" t="s">
        <v>46</v>
      </c>
      <c r="R3" s="21" t="s">
        <v>49</v>
      </c>
      <c r="S3" s="21" t="s">
        <v>52</v>
      </c>
      <c r="T3" s="21" t="s">
        <v>55</v>
      </c>
      <c r="U3" s="21" t="s">
        <v>58</v>
      </c>
      <c r="V3" s="21" t="s">
        <v>61</v>
      </c>
      <c r="W3" s="21" t="s">
        <v>64</v>
      </c>
      <c r="X3" s="21" t="s">
        <v>68</v>
      </c>
      <c r="Y3" s="21" t="s">
        <v>71</v>
      </c>
      <c r="Z3" s="21" t="s">
        <v>75</v>
      </c>
      <c r="AA3" s="21" t="s">
        <v>78</v>
      </c>
      <c r="AB3" s="21" t="s">
        <v>81</v>
      </c>
      <c r="AC3" s="21" t="s">
        <v>84</v>
      </c>
      <c r="AD3" s="21" t="s">
        <v>89</v>
      </c>
      <c r="AE3" s="21" t="s">
        <v>92</v>
      </c>
      <c r="AF3" s="21" t="s">
        <v>94</v>
      </c>
      <c r="AG3" s="21" t="s">
        <v>96</v>
      </c>
      <c r="AH3" s="21" t="s">
        <v>98</v>
      </c>
      <c r="AI3" s="21" t="s">
        <v>101</v>
      </c>
      <c r="AJ3" s="21" t="s">
        <v>111</v>
      </c>
    </row>
    <row r="4" ht="14.25" customHeight="1">
      <c r="A4" s="22" t="s">
        <v>5</v>
      </c>
      <c r="B4" s="28">
        <v>0.0</v>
      </c>
      <c r="C4" s="30">
        <f>IF(Matrix_Waktu!C4="",0,1/(Matrix_Waktu!C4^Matrix_Bobot!$B$1*(1+Matrix_Transit!C4)^Matrix_Bobot!$B$2))</f>
        <v>0.6317119394</v>
      </c>
      <c r="D4" s="30">
        <f>IF(Matrix_Waktu!D4="",0,1/(Matrix_Waktu!D4^Matrix_Bobot!$B$1*(1+Matrix_Transit!D4)^Matrix_Bobot!$B$2))</f>
        <v>0.07692307692</v>
      </c>
      <c r="E4" s="30">
        <f>IF(Matrix_Waktu!E4="",0,1/(Matrix_Waktu!E4^Matrix_Bobot!$B$1*(1+Matrix_Transit!E4)^Matrix_Bobot!$B$2))</f>
        <v>0.1428571429</v>
      </c>
      <c r="F4" s="30">
        <f>IF(Matrix_Waktu!F4="",0,1/(Matrix_Waktu!F4^Matrix_Bobot!$B$1*(1+Matrix_Transit!F4)^Matrix_Bobot!$B$2))</f>
        <v>0.07692307692</v>
      </c>
      <c r="G4" s="30">
        <f>IF(Matrix_Waktu!G4="",0,1/(Matrix_Waktu!G4^Matrix_Bobot!$B$1*(1+Matrix_Transit!G4)^Matrix_Bobot!$B$2))</f>
        <v>0.1034489893</v>
      </c>
      <c r="H4" s="30">
        <f>IF(Matrix_Waktu!H4="",0,1/(Matrix_Waktu!H4^Matrix_Bobot!$B$1*(1+Matrix_Transit!H4)^Matrix_Bobot!$B$2))</f>
        <v>0.07225433526</v>
      </c>
      <c r="I4" s="30">
        <f>IF(Matrix_Waktu!I4="",0,1/(Matrix_Waktu!I4^Matrix_Bobot!$B$1*(1+Matrix_Transit!I4)^Matrix_Bobot!$B$2))</f>
        <v>0.08960573477</v>
      </c>
      <c r="J4" s="30">
        <f>IF(Matrix_Waktu!J4="",0,1/(Matrix_Waktu!J4^Matrix_Bobot!$B$1*(1+Matrix_Transit!J4)^Matrix_Bobot!$B$2))</f>
        <v>0.05309715718</v>
      </c>
      <c r="K4" s="30">
        <f>IF(Matrix_Waktu!K4="",0,1/(Matrix_Waktu!K4^Matrix_Bobot!$B$1*(1+Matrix_Transit!K4)^Matrix_Bobot!$B$2))</f>
        <v>0.01041666667</v>
      </c>
      <c r="L4" s="30">
        <f>IF(Matrix_Waktu!L4="",0,1/(Matrix_Waktu!L4^Matrix_Bobot!$B$1*(1+Matrix_Transit!L4)^Matrix_Bobot!$B$2))</f>
        <v>0.3427274939</v>
      </c>
      <c r="M4" s="30">
        <f>IF(Matrix_Waktu!M4="",0,1/(Matrix_Waktu!M4^Matrix_Bobot!$B$1*(1+Matrix_Transit!M4)^Matrix_Bobot!$B$2))</f>
        <v>0.01606425703</v>
      </c>
      <c r="N4" s="30">
        <f>IF(Matrix_Waktu!N4="",0,1/(Matrix_Waktu!N4^Matrix_Bobot!$B$1*(1+Matrix_Transit!N4)^Matrix_Bobot!$B$2))</f>
        <v>0.09836072024</v>
      </c>
      <c r="O4" s="30">
        <f>IF(Matrix_Waktu!O4="",0,1/(Matrix_Waktu!O4^Matrix_Bobot!$B$1*(1+Matrix_Transit!O4)^Matrix_Bobot!$B$2))</f>
        <v>0.09677413111</v>
      </c>
      <c r="P4" s="30">
        <f>IF(Matrix_Waktu!P4="",0,1/(Matrix_Waktu!P4^Matrix_Bobot!$B$1*(1+Matrix_Transit!P4)^Matrix_Bobot!$B$2))</f>
        <v>0.08450656616</v>
      </c>
      <c r="Q4" s="30">
        <f>IF(Matrix_Waktu!Q4="",0,1/(Matrix_Waktu!Q4^Matrix_Bobot!$B$1*(1+Matrix_Transit!Q4)^Matrix_Bobot!$B$2))</f>
        <v>0</v>
      </c>
      <c r="R4" s="30">
        <f>IF(Matrix_Waktu!R4="",0,1/(Matrix_Waktu!R4^Matrix_Bobot!$B$1*(1+Matrix_Transit!R4)^Matrix_Bobot!$B$2))</f>
        <v>0.08219182586</v>
      </c>
      <c r="S4" s="30">
        <f>IF(Matrix_Waktu!S4="",0,1/(Matrix_Waktu!S4^Matrix_Bobot!$B$1*(1+Matrix_Transit!S4)^Matrix_Bobot!$B$2))</f>
        <v>0.06451612903</v>
      </c>
      <c r="T4" s="30">
        <f>IF(Matrix_Waktu!T4="",0,1/(Matrix_Waktu!T4^Matrix_Bobot!$B$1*(1+Matrix_Transit!T4)^Matrix_Bobot!$B$2))</f>
        <v>0.04081632653</v>
      </c>
      <c r="U4" s="30">
        <f>IF(Matrix_Waktu!U4="",0,1/(Matrix_Waktu!U4^Matrix_Bobot!$B$1*(1+Matrix_Transit!U4)^Matrix_Bobot!$B$2))</f>
        <v>0.09090909091</v>
      </c>
      <c r="V4" s="30">
        <f>IF(Matrix_Waktu!V4="",0,1/(Matrix_Waktu!V4^Matrix_Bobot!$B$1*(1+Matrix_Transit!V4)^Matrix_Bobot!$B$2))</f>
        <v>0.08823477509</v>
      </c>
      <c r="W4" s="30">
        <f>IF(Matrix_Waktu!W4="",0,1/(Matrix_Waktu!W4^Matrix_Bobot!$B$1*(1+Matrix_Transit!W4)^Matrix_Bobot!$B$2))</f>
        <v>0.06896551724</v>
      </c>
      <c r="X4" s="30">
        <f>IF(Matrix_Waktu!X4="",0,1/(Matrix_Waktu!X4^Matrix_Bobot!$B$1*(1+Matrix_Transit!X4)^Matrix_Bobot!$B$2))</f>
        <v>0.05607470137</v>
      </c>
      <c r="Y4" s="30">
        <f>IF(Matrix_Waktu!Y4="",0,1/(Matrix_Waktu!Y4^Matrix_Bobot!$B$1*(1+Matrix_Transit!Y4)^Matrix_Bobot!$B$2))</f>
        <v>0.01149425287</v>
      </c>
      <c r="Z4" s="30">
        <f>IF(Matrix_Waktu!Z4="",0,1/(Matrix_Waktu!Z4^Matrix_Bobot!$B$1*(1+Matrix_Transit!Z4)^Matrix_Bobot!$B$2))</f>
        <v>0.01680675094</v>
      </c>
      <c r="AA4" s="30">
        <f>IF(Matrix_Waktu!AA4="",0,1/(Matrix_Waktu!AA4^Matrix_Bobot!$B$1*(1+Matrix_Transit!AA4)^Matrix_Bobot!$B$2))</f>
        <v>0.03703703704</v>
      </c>
      <c r="AB4" s="30">
        <f>IF(Matrix_Waktu!AB4="",0,1/(Matrix_Waktu!AB4^Matrix_Bobot!$B$1*(1+Matrix_Transit!AB4)^Matrix_Bobot!$B$2))</f>
        <v>0.07225433526</v>
      </c>
      <c r="AC4" s="30">
        <f>IF(Matrix_Waktu!AC4="",0,1/(Matrix_Waktu!AC4^Matrix_Bobot!$B$1*(1+Matrix_Transit!AC4)^Matrix_Bobot!$B$2))</f>
        <v>0.05767012687</v>
      </c>
      <c r="AD4" s="30">
        <f>IF(Matrix_Waktu!AD4="",0,1/(Matrix_Waktu!AD4^Matrix_Bobot!$B$1*(1+Matrix_Transit!AD4)^Matrix_Bobot!$B$2))</f>
        <v>0.03061849357</v>
      </c>
      <c r="AE4" s="30">
        <f>IF(Matrix_Waktu!AE4="",0,1/(Matrix_Waktu!AE4^Matrix_Bobot!$B$1*(1+Matrix_Transit!AE4)^Matrix_Bobot!$B$2))</f>
        <v>0.01834859019</v>
      </c>
      <c r="AF4" s="30">
        <f>IF(Matrix_Waktu!AF4="",0,1/(Matrix_Waktu!AF4^Matrix_Bobot!$B$1*(1+Matrix_Transit!AF4)^Matrix_Bobot!$B$2))</f>
        <v>0.03591954023</v>
      </c>
      <c r="AG4" s="30">
        <f>IF(Matrix_Waktu!AG4="",0,1/(Matrix_Waktu!AG4^Matrix_Bobot!$B$1*(1+Matrix_Transit!AG4)^Matrix_Bobot!$B$2))</f>
        <v>0.03726707149</v>
      </c>
      <c r="AH4" s="30">
        <f>IF(Matrix_Waktu!AH4="",0,1/(Matrix_Waktu!AH4^Matrix_Bobot!$B$1*(1+Matrix_Transit!AH4)^Matrix_Bobot!$B$2))</f>
        <v>0.04025764895</v>
      </c>
      <c r="AI4" s="30">
        <f>IF(Matrix_Waktu!AI4="",0,1/(Matrix_Waktu!AI4^Matrix_Bobot!$B$1*(1+Matrix_Transit!AI4)^Matrix_Bobot!$B$2))</f>
        <v>0.0386996904</v>
      </c>
      <c r="AJ4" s="33">
        <f t="shared" ref="AJ4:AJ37" si="1">SUM(B4:AI4)</f>
        <v>2.783753192</v>
      </c>
    </row>
    <row r="5" ht="14.25" customHeight="1">
      <c r="A5" s="22" t="s">
        <v>8</v>
      </c>
      <c r="B5" s="30">
        <f>IF(Matrix_Waktu!B5="",0,1/(Matrix_Waktu!B5^Matrix_Bobot!$B$1*(1+Matrix_Transit!B5)^Matrix_Bobot!$B$2))</f>
        <v>0.6317119394</v>
      </c>
      <c r="C5" s="28">
        <v>0.0</v>
      </c>
      <c r="D5" s="30">
        <f>IF(Matrix_Waktu!D5="",0,1/(Matrix_Waktu!D5^Matrix_Bobot!$B$1*(1+Matrix_Transit!D5)^Matrix_Bobot!$B$2))</f>
        <v>0.7518796992</v>
      </c>
      <c r="E5" s="30">
        <f>IF(Matrix_Waktu!E5="",0,1/(Matrix_Waktu!E5^Matrix_Bobot!$B$1*(1+Matrix_Transit!E5)^Matrix_Bobot!$B$2))</f>
        <v>0.857118368</v>
      </c>
      <c r="F5" s="30">
        <f>IF(Matrix_Waktu!F5="",0,1/(Matrix_Waktu!F5^Matrix_Bobot!$B$1*(1+Matrix_Transit!F5)^Matrix_Bobot!$B$2))</f>
        <v>0.1131221719</v>
      </c>
      <c r="G5" s="30">
        <f>IF(Matrix_Waktu!G5="",0,1/(Matrix_Waktu!G5^Matrix_Bobot!$B$1*(1+Matrix_Transit!G5)^Matrix_Bobot!$B$2))</f>
        <v>0.545553737</v>
      </c>
      <c r="H5" s="30">
        <f>IF(Matrix_Waktu!H5="",0,1/(Matrix_Waktu!H5^Matrix_Bobot!$B$1*(1+Matrix_Transit!H5)^Matrix_Bobot!$B$2))</f>
        <v>0.0967735692</v>
      </c>
      <c r="I5" s="30">
        <f>IF(Matrix_Waktu!I5="",0,1/(Matrix_Waktu!I5^Matrix_Bobot!$B$1*(1+Matrix_Transit!I5)^Matrix_Bobot!$B$2))</f>
        <v>0.1199904008</v>
      </c>
      <c r="J5" s="30">
        <f>IF(Matrix_Waktu!J5="",0,1/(Matrix_Waktu!J5^Matrix_Bobot!$B$1*(1+Matrix_Transit!J5)^Matrix_Bobot!$B$2))</f>
        <v>0.09090909091</v>
      </c>
      <c r="K5" s="30">
        <f>IF(Matrix_Waktu!K5="",0,1/(Matrix_Waktu!K5^Matrix_Bobot!$B$1*(1+Matrix_Transit!K5)^Matrix_Bobot!$B$2))</f>
        <v>0.08445945946</v>
      </c>
      <c r="L5" s="30">
        <f>IF(Matrix_Waktu!L5="",0,1/(Matrix_Waktu!L5^Matrix_Bobot!$B$1*(1+Matrix_Transit!L5)^Matrix_Bobot!$B$2))</f>
        <v>0.2066115702</v>
      </c>
      <c r="M5" s="30">
        <f>IF(Matrix_Waktu!M5="",0,1/(Matrix_Waktu!M5^Matrix_Bobot!$B$1*(1+Matrix_Transit!M5)^Matrix_Bobot!$B$2))</f>
        <v>0.3749531309</v>
      </c>
      <c r="N5" s="30">
        <f>IF(Matrix_Waktu!N5="",0,1/(Matrix_Waktu!N5^Matrix_Bobot!$B$1*(1+Matrix_Transit!N5)^Matrix_Bobot!$B$2))</f>
        <v>0.1</v>
      </c>
      <c r="O5" s="30">
        <f>IF(Matrix_Waktu!O5="",0,1/(Matrix_Waktu!O5^Matrix_Bobot!$B$1*(1+Matrix_Transit!O5)^Matrix_Bobot!$B$2))</f>
        <v>0.3533568905</v>
      </c>
      <c r="P5" s="30">
        <f>IF(Matrix_Waktu!P5="",0,1/(Matrix_Waktu!P5^Matrix_Bobot!$B$1*(1+Matrix_Transit!P5)^Matrix_Bobot!$B$2))</f>
        <v>0.3154574132</v>
      </c>
      <c r="Q5" s="30">
        <f>IF(Matrix_Waktu!Q5="",0,1/(Matrix_Waktu!Q5^Matrix_Bobot!$B$1*(1+Matrix_Transit!Q5)^Matrix_Bobot!$B$2))</f>
        <v>0</v>
      </c>
      <c r="R5" s="30">
        <f>IF(Matrix_Waktu!R5="",0,1/(Matrix_Waktu!R5^Matrix_Bobot!$B$1*(1+Matrix_Transit!R5)^Matrix_Bobot!$B$2))</f>
        <v>0.09671179884</v>
      </c>
      <c r="S5" s="30">
        <f>IF(Matrix_Waktu!S5="",0,1/(Matrix_Waktu!S5^Matrix_Bobot!$B$1*(1+Matrix_Transit!S5)^Matrix_Bobot!$B$2))</f>
        <v>0.09090909091</v>
      </c>
      <c r="T5" s="30">
        <f>IF(Matrix_Waktu!T5="",0,1/(Matrix_Waktu!T5^Matrix_Bobot!$B$1*(1+Matrix_Transit!T5)^Matrix_Bobot!$B$2))</f>
        <v>0.04916420846</v>
      </c>
      <c r="U5" s="30">
        <f>IF(Matrix_Waktu!U5="",0,1/(Matrix_Waktu!U5^Matrix_Bobot!$B$1*(1+Matrix_Transit!U5)^Matrix_Bobot!$B$2))</f>
        <v>0.1154734411</v>
      </c>
      <c r="V5" s="30">
        <f>IF(Matrix_Waktu!V5="",0,1/(Matrix_Waktu!V5^Matrix_Bobot!$B$1*(1+Matrix_Transit!V5)^Matrix_Bobot!$B$2))</f>
        <v>0.09523809524</v>
      </c>
      <c r="W5" s="30">
        <f>IF(Matrix_Waktu!W5="",0,1/(Matrix_Waktu!W5^Matrix_Bobot!$B$1*(1+Matrix_Transit!W5)^Matrix_Bobot!$B$2))</f>
        <v>0.07898894155</v>
      </c>
      <c r="X5" s="30">
        <f>IF(Matrix_Waktu!X5="",0,1/(Matrix_Waktu!X5^Matrix_Bobot!$B$1*(1+Matrix_Transit!X5)^Matrix_Bobot!$B$2))</f>
        <v>0.07496251874</v>
      </c>
      <c r="Y5" s="30">
        <f>IF(Matrix_Waktu!Y5="",0,1/(Matrix_Waktu!Y5^Matrix_Bobot!$B$1*(1+Matrix_Transit!Y5)^Matrix_Bobot!$B$2))</f>
        <v>0.06738544474</v>
      </c>
      <c r="Z5" s="30">
        <f>IF(Matrix_Waktu!Z5="",0,1/(Matrix_Waktu!Z5^Matrix_Bobot!$B$1*(1+Matrix_Transit!Z5)^Matrix_Bobot!$B$2))</f>
        <v>0.0600240096</v>
      </c>
      <c r="AA5" s="30">
        <f>IF(Matrix_Waktu!AA5="",0,1/(Matrix_Waktu!AA5^Matrix_Bobot!$B$1*(1+Matrix_Transit!AA5)^Matrix_Bobot!$B$2))</f>
        <v>0.05359056806</v>
      </c>
      <c r="AB5" s="30">
        <f>IF(Matrix_Waktu!AB5="",0,1/(Matrix_Waktu!AB5^Matrix_Bobot!$B$1*(1+Matrix_Transit!AB5)^Matrix_Bobot!$B$2))</f>
        <v>0.08445945946</v>
      </c>
      <c r="AC5" s="30">
        <f>IF(Matrix_Waktu!AC5="",0,1/(Matrix_Waktu!AC5^Matrix_Bobot!$B$1*(1+Matrix_Transit!AC5)^Matrix_Bobot!$B$2))</f>
        <v>0.06821282401</v>
      </c>
      <c r="AD5" s="30">
        <f>IF(Matrix_Waktu!AD5="",0,1/(Matrix_Waktu!AD5^Matrix_Bobot!$B$1*(1+Matrix_Transit!AD5)^Matrix_Bobot!$B$2))</f>
        <v>0.04840271055</v>
      </c>
      <c r="AE5" s="30">
        <f>IF(Matrix_Waktu!AE5="",0,1/(Matrix_Waktu!AE5^Matrix_Bobot!$B$1*(1+Matrix_Transit!AE5)^Matrix_Bobot!$B$2))</f>
        <v>0.0347947112</v>
      </c>
      <c r="AF5" s="30">
        <f>IF(Matrix_Waktu!AF5="",0,1/(Matrix_Waktu!AF5^Matrix_Bobot!$B$1*(1+Matrix_Transit!AF5)^Matrix_Bobot!$B$2))</f>
        <v>0.06821282401</v>
      </c>
      <c r="AG5" s="30">
        <f>IF(Matrix_Waktu!AG5="",0,1/(Matrix_Waktu!AG5^Matrix_Bobot!$B$1*(1+Matrix_Transit!AG5)^Matrix_Bobot!$B$2))</f>
        <v>0.05405405405</v>
      </c>
      <c r="AH5" s="30">
        <f>IF(Matrix_Waktu!AH5="",0,1/(Matrix_Waktu!AH5^Matrix_Bobot!$B$1*(1+Matrix_Transit!AH5)^Matrix_Bobot!$B$2))</f>
        <v>0.05882352941</v>
      </c>
      <c r="AI5" s="30">
        <f>IF(Matrix_Waktu!AI5="",0,1/(Matrix_Waktu!AI5^Matrix_Bobot!$B$1*(1+Matrix_Transit!AI5)^Matrix_Bobot!$B$2))</f>
        <v>0.05714285714</v>
      </c>
      <c r="AJ5" s="33">
        <f t="shared" si="1"/>
        <v>5.898448528</v>
      </c>
    </row>
    <row r="6" ht="14.25" customHeight="1">
      <c r="A6" s="22" t="s">
        <v>10</v>
      </c>
      <c r="B6" s="30">
        <f>IF(Matrix_Waktu!B6="",0,1/(Matrix_Waktu!B6^Matrix_Bobot!$B$1*(1+Matrix_Transit!B6)^Matrix_Bobot!$B$2))</f>
        <v>0.07692307692</v>
      </c>
      <c r="C6" s="30">
        <f>IF(Matrix_Waktu!C6="",0,1/(Matrix_Waktu!C6^Matrix_Bobot!$B$1*(1+Matrix_Transit!C6)^Matrix_Bobot!$B$2))</f>
        <v>0.7518796992</v>
      </c>
      <c r="D6" s="28">
        <v>0.0</v>
      </c>
      <c r="E6" s="30">
        <f>IF(Matrix_Waktu!E6="",0,1/(Matrix_Waktu!E6^Matrix_Bobot!$B$1*(1+Matrix_Transit!E6)^Matrix_Bobot!$B$2))</f>
        <v>0.04255319149</v>
      </c>
      <c r="F6" s="30">
        <f>IF(Matrix_Waktu!F6="",0,1/(Matrix_Waktu!F6^Matrix_Bobot!$B$1*(1+Matrix_Transit!F6)^Matrix_Bobot!$B$2))</f>
        <v>0.1131221719</v>
      </c>
      <c r="G6" s="30">
        <f>IF(Matrix_Waktu!G6="",0,1/(Matrix_Waktu!G6^Matrix_Bobot!$B$1*(1+Matrix_Transit!G6)^Matrix_Bobot!$B$2))</f>
        <v>0.125</v>
      </c>
      <c r="H6" s="30">
        <f>IF(Matrix_Waktu!H6="",0,1/(Matrix_Waktu!H6^Matrix_Bobot!$B$1*(1+Matrix_Transit!H6)^Matrix_Bobot!$B$2))</f>
        <v>0.09380863039</v>
      </c>
      <c r="I6" s="30">
        <f>IF(Matrix_Waktu!I6="",0,1/(Matrix_Waktu!I6^Matrix_Bobot!$B$1*(1+Matrix_Transit!I6)^Matrix_Bobot!$B$2))</f>
        <v>0.1034554107</v>
      </c>
      <c r="J6" s="30">
        <f>IF(Matrix_Waktu!J6="",0,1/(Matrix_Waktu!J6^Matrix_Bobot!$B$1*(1+Matrix_Transit!J6)^Matrix_Bobot!$B$2))</f>
        <v>0.1034554107</v>
      </c>
      <c r="K6" s="30">
        <f>IF(Matrix_Waktu!K6="",0,1/(Matrix_Waktu!K6^Matrix_Bobot!$B$1*(1+Matrix_Transit!K6)^Matrix_Bobot!$B$2))</f>
        <v>0.1</v>
      </c>
      <c r="L6" s="30">
        <f>IF(Matrix_Waktu!L6="",0,1/(Matrix_Waktu!L6^Matrix_Bobot!$B$1*(1+Matrix_Transit!L6)^Matrix_Bobot!$B$2))</f>
        <v>0.5464480874</v>
      </c>
      <c r="M6" s="30">
        <f>IF(Matrix_Waktu!M6="",0,1/(Matrix_Waktu!M6^Matrix_Bobot!$B$1*(1+Matrix_Transit!M6)^Matrix_Bobot!$B$2))</f>
        <v>0.0173910019</v>
      </c>
      <c r="N6" s="30">
        <f>IF(Matrix_Waktu!N6="",0,1/(Matrix_Waktu!N6^Matrix_Bobot!$B$1*(1+Matrix_Transit!N6)^Matrix_Bobot!$B$2))</f>
        <v>0.1304461258</v>
      </c>
      <c r="O6" s="30">
        <f>IF(Matrix_Waktu!O6="",0,1/(Matrix_Waktu!O6^Matrix_Bobot!$B$1*(1+Matrix_Transit!O6)^Matrix_Bobot!$B$2))</f>
        <v>0.4444444444</v>
      </c>
      <c r="P6" s="30">
        <f>IF(Matrix_Waktu!P6="",0,1/(Matrix_Waktu!P6^Matrix_Bobot!$B$1*(1+Matrix_Transit!P6)^Matrix_Bobot!$B$2))</f>
        <v>0.1091703057</v>
      </c>
      <c r="Q6" s="30">
        <f>IF(Matrix_Waktu!Q6="",0,1/(Matrix_Waktu!Q6^Matrix_Bobot!$B$1*(1+Matrix_Transit!Q6)^Matrix_Bobot!$B$2))</f>
        <v>0</v>
      </c>
      <c r="R6" s="30">
        <f>IF(Matrix_Waktu!R6="",0,1/(Matrix_Waktu!R6^Matrix_Bobot!$B$1*(1+Matrix_Transit!R6)^Matrix_Bobot!$B$2))</f>
        <v>0.1016260163</v>
      </c>
      <c r="S6" s="30">
        <f>IF(Matrix_Waktu!S6="",0,1/(Matrix_Waktu!S6^Matrix_Bobot!$B$1*(1+Matrix_Transit!S6)^Matrix_Bobot!$B$2))</f>
        <v>0.09380863039</v>
      </c>
      <c r="T6" s="30">
        <f>IF(Matrix_Waktu!T6="",0,1/(Matrix_Waktu!T6^Matrix_Bobot!$B$1*(1+Matrix_Transit!T6)^Matrix_Bobot!$B$2))</f>
        <v>0.05605381166</v>
      </c>
      <c r="U6" s="30">
        <f>IF(Matrix_Waktu!U6="",0,1/(Matrix_Waktu!U6^Matrix_Bobot!$B$1*(1+Matrix_Transit!U6)^Matrix_Bobot!$B$2))</f>
        <v>0.1176470588</v>
      </c>
      <c r="V6" s="30">
        <f>IF(Matrix_Waktu!V6="",0,1/(Matrix_Waktu!V6^Matrix_Bobot!$B$1*(1+Matrix_Transit!V6)^Matrix_Bobot!$B$2))</f>
        <v>0.1131221719</v>
      </c>
      <c r="W6" s="30">
        <f>IF(Matrix_Waktu!W6="",0,1/(Matrix_Waktu!W6^Matrix_Bobot!$B$1*(1+Matrix_Transit!W6)^Matrix_Bobot!$B$2))</f>
        <v>0.1052631579</v>
      </c>
      <c r="X6" s="30">
        <f>IF(Matrix_Waktu!X6="",0,1/(Matrix_Waktu!X6^Matrix_Bobot!$B$1*(1+Matrix_Transit!X6)^Matrix_Bobot!$B$2))</f>
        <v>0.09293680297</v>
      </c>
      <c r="Y6" s="30">
        <f>IF(Matrix_Waktu!Y6="",0,1/(Matrix_Waktu!Y6^Matrix_Bobot!$B$1*(1+Matrix_Transit!Y6)^Matrix_Bobot!$B$2))</f>
        <v>0.09523809524</v>
      </c>
      <c r="Z6" s="30">
        <f>IF(Matrix_Waktu!Z6="",0,1/(Matrix_Waktu!Z6^Matrix_Bobot!$B$1*(1+Matrix_Transit!Z6)^Matrix_Bobot!$B$2))</f>
        <v>0.06666666667</v>
      </c>
      <c r="AA6" s="30">
        <f>IF(Matrix_Waktu!AA6="",0,1/(Matrix_Waktu!AA6^Matrix_Bobot!$B$1*(1+Matrix_Transit!AA6)^Matrix_Bobot!$B$2))</f>
        <v>0.05170630817</v>
      </c>
      <c r="AB6" s="30">
        <f>IF(Matrix_Waktu!AB6="",0,1/(Matrix_Waktu!AB6^Matrix_Bobot!$B$1*(1+Matrix_Transit!AB6)^Matrix_Bobot!$B$2))</f>
        <v>0.09225092251</v>
      </c>
      <c r="AC6" s="30">
        <f>IF(Matrix_Waktu!AC6="",0,1/(Matrix_Waktu!AC6^Matrix_Bobot!$B$1*(1+Matrix_Transit!AC6)^Matrix_Bobot!$B$2))</f>
        <v>0.07407407407</v>
      </c>
      <c r="AD6" s="30">
        <f>IF(Matrix_Waktu!AD6="",0,1/(Matrix_Waktu!AD6^Matrix_Bobot!$B$1*(1+Matrix_Transit!AD6)^Matrix_Bobot!$B$2))</f>
        <v>0.04413062665</v>
      </c>
      <c r="AE6" s="30">
        <f>IF(Matrix_Waktu!AE6="",0,1/(Matrix_Waktu!AE6^Matrix_Bobot!$B$1*(1+Matrix_Transit!AE6)^Matrix_Bobot!$B$2))</f>
        <v>0.02496878901</v>
      </c>
      <c r="AF6" s="30">
        <f>IF(Matrix_Waktu!AF6="",0,1/(Matrix_Waktu!AF6^Matrix_Bobot!$B$1*(1+Matrix_Transit!AF6)^Matrix_Bobot!$B$2))</f>
        <v>0.05263157895</v>
      </c>
      <c r="AG6" s="30">
        <f>IF(Matrix_Waktu!AG6="",0,1/(Matrix_Waktu!AG6^Matrix_Bobot!$B$1*(1+Matrix_Transit!AG6)^Matrix_Bobot!$B$2))</f>
        <v>0.04761904762</v>
      </c>
      <c r="AH6" s="30">
        <f>IF(Matrix_Waktu!AH6="",0,1/(Matrix_Waktu!AH6^Matrix_Bobot!$B$1*(1+Matrix_Transit!AH6)^Matrix_Bobot!$B$2))</f>
        <v>0.05605381166</v>
      </c>
      <c r="AI6" s="30">
        <f>IF(Matrix_Waktu!AI6="",0,1/(Matrix_Waktu!AI6^Matrix_Bobot!$B$1*(1+Matrix_Transit!AI6)^Matrix_Bobot!$B$2))</f>
        <v>0.04798464491</v>
      </c>
      <c r="AJ6" s="33">
        <f t="shared" si="1"/>
        <v>4.091879772</v>
      </c>
    </row>
    <row r="7" ht="14.25" customHeight="1">
      <c r="A7" s="22" t="s">
        <v>12</v>
      </c>
      <c r="B7" s="30">
        <f>IF(Matrix_Waktu!B7="",0,1/(Matrix_Waktu!B7^Matrix_Bobot!$B$1*(1+Matrix_Transit!B7)^Matrix_Bobot!$B$2))</f>
        <v>0.1428571429</v>
      </c>
      <c r="C7" s="30">
        <f>IF(Matrix_Waktu!C7="",0,1/(Matrix_Waktu!C7^Matrix_Bobot!$B$1*(1+Matrix_Transit!C7)^Matrix_Bobot!$B$2))</f>
        <v>0.857118368</v>
      </c>
      <c r="D7" s="30">
        <f>IF(Matrix_Waktu!D7="",0,1/(Matrix_Waktu!D7^Matrix_Bobot!$B$1*(1+Matrix_Transit!D7)^Matrix_Bobot!$B$2))</f>
        <v>0.04255319149</v>
      </c>
      <c r="E7" s="28">
        <v>0.0</v>
      </c>
      <c r="F7" s="30">
        <f>IF(Matrix_Waktu!F7="",0,1/(Matrix_Waktu!F7^Matrix_Bobot!$B$1*(1+Matrix_Transit!F7)^Matrix_Bobot!$B$2))</f>
        <v>0.1199904008</v>
      </c>
      <c r="G7" s="30">
        <f>IF(Matrix_Waktu!G7="",0,1/(Matrix_Waktu!G7^Matrix_Bobot!$B$1*(1+Matrix_Transit!G7)^Matrix_Bobot!$B$2))</f>
        <v>0.1396648045</v>
      </c>
      <c r="H7" s="30">
        <f>IF(Matrix_Waktu!H7="",0,1/(Matrix_Waktu!H7^Matrix_Bobot!$B$1*(1+Matrix_Transit!H7)^Matrix_Bobot!$B$2))</f>
        <v>0.1035196687</v>
      </c>
      <c r="I7" s="30">
        <f>IF(Matrix_Waktu!I7="",0,1/(Matrix_Waktu!I7^Matrix_Bobot!$B$1*(1+Matrix_Transit!I7)^Matrix_Bobot!$B$2))</f>
        <v>0.1333333333</v>
      </c>
      <c r="J7" s="30">
        <f>IF(Matrix_Waktu!J7="",0,1/(Matrix_Waktu!J7^Matrix_Bobot!$B$1*(1+Matrix_Transit!J7)^Matrix_Bobot!$B$2))</f>
        <v>0.09090909091</v>
      </c>
      <c r="K7" s="30">
        <f>IF(Matrix_Waktu!K7="",0,1/(Matrix_Waktu!K7^Matrix_Bobot!$B$1*(1+Matrix_Transit!K7)^Matrix_Bobot!$B$2))</f>
        <v>0.08445945946</v>
      </c>
      <c r="L7" s="30">
        <f>IF(Matrix_Waktu!L7="",0,1/(Matrix_Waktu!L7^Matrix_Bobot!$B$1*(1+Matrix_Transit!L7)^Matrix_Bobot!$B$2))</f>
        <v>0.2857142857</v>
      </c>
      <c r="M7" s="30">
        <f>IF(Matrix_Waktu!M7="",0,1/(Matrix_Waktu!M7^Matrix_Bobot!$B$1*(1+Matrix_Transit!M7)^Matrix_Bobot!$B$2))</f>
        <v>0.07898894155</v>
      </c>
      <c r="N7" s="30">
        <f>IF(Matrix_Waktu!N7="",0,1/(Matrix_Waktu!N7^Matrix_Bobot!$B$1*(1+Matrix_Transit!N7)^Matrix_Bobot!$B$2))</f>
        <v>0.1016260163</v>
      </c>
      <c r="O7" s="30">
        <f>IF(Matrix_Waktu!O7="",0,1/(Matrix_Waktu!O7^Matrix_Bobot!$B$1*(1+Matrix_Transit!O7)^Matrix_Bobot!$B$2))</f>
        <v>0.1</v>
      </c>
      <c r="P7" s="30">
        <f>IF(Matrix_Waktu!P7="",0,1/(Matrix_Waktu!P7^Matrix_Bobot!$B$1*(1+Matrix_Transit!P7)^Matrix_Bobot!$B$2))</f>
        <v>0.08</v>
      </c>
      <c r="Q7" s="30">
        <f>IF(Matrix_Waktu!Q7="",0,1/(Matrix_Waktu!Q7^Matrix_Bobot!$B$1*(1+Matrix_Transit!Q7)^Matrix_Bobot!$B$2))</f>
        <v>0</v>
      </c>
      <c r="R7" s="30">
        <f>IF(Matrix_Waktu!R7="",0,1/(Matrix_Waktu!R7^Matrix_Bobot!$B$1*(1+Matrix_Transit!R7)^Matrix_Bobot!$B$2))</f>
        <v>0.1070663812</v>
      </c>
      <c r="S7" s="30">
        <f>IF(Matrix_Waktu!S7="",0,1/(Matrix_Waktu!S7^Matrix_Bobot!$B$1*(1+Matrix_Transit!S7)^Matrix_Bobot!$B$2))</f>
        <v>0.1035196687</v>
      </c>
      <c r="T7" s="30">
        <f>IF(Matrix_Waktu!T7="",0,1/(Matrix_Waktu!T7^Matrix_Bobot!$B$1*(1+Matrix_Transit!T7)^Matrix_Bobot!$B$2))</f>
        <v>0.07062146893</v>
      </c>
      <c r="U7" s="30">
        <f>IF(Matrix_Waktu!U7="",0,1/(Matrix_Waktu!U7^Matrix_Bobot!$B$1*(1+Matrix_Transit!U7)^Matrix_Bobot!$B$2))</f>
        <v>0.1035196687</v>
      </c>
      <c r="V7" s="30">
        <f>IF(Matrix_Waktu!V7="",0,1/(Matrix_Waktu!V7^Matrix_Bobot!$B$1*(1+Matrix_Transit!V7)^Matrix_Bobot!$B$2))</f>
        <v>0.08960573477</v>
      </c>
      <c r="W7" s="30">
        <f>IF(Matrix_Waktu!W7="",0,1/(Matrix_Waktu!W7^Matrix_Bobot!$B$1*(1+Matrix_Transit!W7)^Matrix_Bobot!$B$2))</f>
        <v>0.09380863039</v>
      </c>
      <c r="X7" s="30">
        <f>IF(Matrix_Waktu!X7="",0,1/(Matrix_Waktu!X7^Matrix_Bobot!$B$1*(1+Matrix_Transit!X7)^Matrix_Bobot!$B$2))</f>
        <v>0.09380863039</v>
      </c>
      <c r="Y7" s="30">
        <f>IF(Matrix_Waktu!Y7="",0,1/(Matrix_Waktu!Y7^Matrix_Bobot!$B$1*(1+Matrix_Transit!Y7)^Matrix_Bobot!$B$2))</f>
        <v>0.07407407407</v>
      </c>
      <c r="Z7" s="30">
        <f>IF(Matrix_Waktu!Z7="",0,1/(Matrix_Waktu!Z7^Matrix_Bobot!$B$1*(1+Matrix_Transit!Z7)^Matrix_Bobot!$B$2))</f>
        <v>0.06896551724</v>
      </c>
      <c r="AA7" s="30">
        <f>IF(Matrix_Waktu!AA7="",0,1/(Matrix_Waktu!AA7^Matrix_Bobot!$B$1*(1+Matrix_Transit!AA7)^Matrix_Bobot!$B$2))</f>
        <v>0.04257130694</v>
      </c>
      <c r="AB7" s="30">
        <f>IF(Matrix_Waktu!AB7="",0,1/(Matrix_Waktu!AB7^Matrix_Bobot!$B$1*(1+Matrix_Transit!AB7)^Matrix_Bobot!$B$2))</f>
        <v>0.09676795045</v>
      </c>
      <c r="AC7" s="30">
        <f>IF(Matrix_Waktu!AC7="",0,1/(Matrix_Waktu!AC7^Matrix_Bobot!$B$1*(1+Matrix_Transit!AC7)^Matrix_Bobot!$B$2))</f>
        <v>0.06518904824</v>
      </c>
      <c r="AD7" s="30">
        <f>IF(Matrix_Waktu!AD7="",0,1/(Matrix_Waktu!AD7^Matrix_Bobot!$B$1*(1+Matrix_Transit!AD7)^Matrix_Bobot!$B$2))</f>
        <v>0.04226542688</v>
      </c>
      <c r="AE7" s="30">
        <f>IF(Matrix_Waktu!AE7="",0,1/(Matrix_Waktu!AE7^Matrix_Bobot!$B$1*(1+Matrix_Transit!AE7)^Matrix_Bobot!$B$2))</f>
        <v>0.05769008884</v>
      </c>
      <c r="AF7" s="30">
        <f>IF(Matrix_Waktu!AF7="",0,1/(Matrix_Waktu!AF7^Matrix_Bobot!$B$1*(1+Matrix_Transit!AF7)^Matrix_Bobot!$B$2))</f>
        <v>0.02614379085</v>
      </c>
      <c r="AG7" s="30">
        <f>IF(Matrix_Waktu!AG7="",0,1/(Matrix_Waktu!AG7^Matrix_Bobot!$B$1*(1+Matrix_Transit!AG7)^Matrix_Bobot!$B$2))</f>
        <v>0.0303030303</v>
      </c>
      <c r="AH7" s="30">
        <f>IF(Matrix_Waktu!AH7="",0,1/(Matrix_Waktu!AH7^Matrix_Bobot!$B$1*(1+Matrix_Transit!AH7)^Matrix_Bobot!$B$2))</f>
        <v>0.04725897921</v>
      </c>
      <c r="AI7" s="30">
        <f>IF(Matrix_Waktu!AI7="",0,1/(Matrix_Waktu!AI7^Matrix_Bobot!$B$1*(1+Matrix_Transit!AI7)^Matrix_Bobot!$B$2))</f>
        <v>0.04616805171</v>
      </c>
      <c r="AJ7" s="33">
        <f t="shared" si="1"/>
        <v>3.620082151</v>
      </c>
    </row>
    <row r="8" ht="14.25" customHeight="1">
      <c r="A8" s="22" t="s">
        <v>15</v>
      </c>
      <c r="B8" s="30">
        <f>IF(Matrix_Waktu!B8="",0,1/(Matrix_Waktu!B8^Matrix_Bobot!$B$1*(1+Matrix_Transit!B8)^Matrix_Bobot!$B$2))</f>
        <v>0.07692307692</v>
      </c>
      <c r="C8" s="30">
        <f>IF(Matrix_Waktu!C8="",0,1/(Matrix_Waktu!C8^Matrix_Bobot!$B$1*(1+Matrix_Transit!C8)^Matrix_Bobot!$B$2))</f>
        <v>0.1131221719</v>
      </c>
      <c r="D8" s="30">
        <f>IF(Matrix_Waktu!D8="",0,1/(Matrix_Waktu!D8^Matrix_Bobot!$B$1*(1+Matrix_Transit!D8)^Matrix_Bobot!$B$2))</f>
        <v>0.1131221719</v>
      </c>
      <c r="E8" s="30">
        <f>IF(Matrix_Waktu!E8="",0,1/(Matrix_Waktu!E8^Matrix_Bobot!$B$1*(1+Matrix_Transit!E8)^Matrix_Bobot!$B$2))</f>
        <v>0.1199904008</v>
      </c>
      <c r="F8" s="28">
        <v>0.0</v>
      </c>
      <c r="G8" s="30">
        <f>IF(Matrix_Waktu!G8="",0,1/(Matrix_Waktu!G8^Matrix_Bobot!$B$1*(1+Matrix_Transit!G8)^Matrix_Bobot!$B$2))</f>
        <v>0.1305483029</v>
      </c>
      <c r="H8" s="30">
        <f>IF(Matrix_Waktu!H8="",0,1/(Matrix_Waktu!H8^Matrix_Bobot!$B$1*(1+Matrix_Transit!H8)^Matrix_Bobot!$B$2))</f>
        <v>0.1</v>
      </c>
      <c r="I8" s="30">
        <f>IF(Matrix_Waktu!I8="",0,1/(Matrix_Waktu!I8^Matrix_Bobot!$B$1*(1+Matrix_Transit!I8)^Matrix_Bobot!$B$2))</f>
        <v>0.1333333333</v>
      </c>
      <c r="J8" s="30">
        <f>IF(Matrix_Waktu!J8="",0,1/(Matrix_Waktu!J8^Matrix_Bobot!$B$1*(1+Matrix_Transit!J8)^Matrix_Bobot!$B$2))</f>
        <v>0.125</v>
      </c>
      <c r="K8" s="30">
        <f>IF(Matrix_Waktu!K8="",0,1/(Matrix_Waktu!K8^Matrix_Bobot!$B$1*(1+Matrix_Transit!K8)^Matrix_Bobot!$B$2))</f>
        <v>0.1</v>
      </c>
      <c r="L8" s="30">
        <f>IF(Matrix_Waktu!L8="",0,1/(Matrix_Waktu!L8^Matrix_Bobot!$B$1*(1+Matrix_Transit!L8)^Matrix_Bobot!$B$2))</f>
        <v>0.3759398496</v>
      </c>
      <c r="M8" s="30">
        <f>IF(Matrix_Waktu!M8="",0,1/(Matrix_Waktu!M8^Matrix_Bobot!$B$1*(1+Matrix_Transit!M8)^Matrix_Bobot!$B$2))</f>
        <v>0</v>
      </c>
      <c r="N8" s="30">
        <f>IF(Matrix_Waktu!N8="",0,1/(Matrix_Waktu!N8^Matrix_Bobot!$B$1*(1+Matrix_Transit!N8)^Matrix_Bobot!$B$2))</f>
        <v>0.1578781181</v>
      </c>
      <c r="O8" s="30">
        <f>IF(Matrix_Waktu!O8="",0,1/(Matrix_Waktu!O8^Matrix_Bobot!$B$1*(1+Matrix_Transit!O8)^Matrix_Bobot!$B$2))</f>
        <v>0.1035196687</v>
      </c>
      <c r="P8" s="30">
        <f>IF(Matrix_Waktu!P8="",0,1/(Matrix_Waktu!P8^Matrix_Bobot!$B$1*(1+Matrix_Transit!P8)^Matrix_Bobot!$B$2))</f>
        <v>0.1333333333</v>
      </c>
      <c r="Q8" s="30">
        <f>IF(Matrix_Waktu!Q8="",0,1/(Matrix_Waktu!Q8^Matrix_Bobot!$B$1*(1+Matrix_Transit!Q8)^Matrix_Bobot!$B$2))</f>
        <v>0</v>
      </c>
      <c r="R8" s="30">
        <f>IF(Matrix_Waktu!R8="",0,1/(Matrix_Waktu!R8^Matrix_Bobot!$B$1*(1+Matrix_Transit!R8)^Matrix_Bobot!$B$2))</f>
        <v>0.1449275362</v>
      </c>
      <c r="S8" s="30">
        <f>IF(Matrix_Waktu!S8="",0,1/(Matrix_Waktu!S8^Matrix_Bobot!$B$1*(1+Matrix_Transit!S8)^Matrix_Bobot!$B$2))</f>
        <v>0.1111111111</v>
      </c>
      <c r="T8" s="30">
        <f>IF(Matrix_Waktu!T8="",0,1/(Matrix_Waktu!T8^Matrix_Bobot!$B$1*(1+Matrix_Transit!T8)^Matrix_Bobot!$B$2))</f>
        <v>0.06973500697</v>
      </c>
      <c r="U8" s="30">
        <f>IF(Matrix_Waktu!U8="",0,1/(Matrix_Waktu!U8^Matrix_Bobot!$B$1*(1+Matrix_Transit!U8)^Matrix_Bobot!$B$2))</f>
        <v>0.1275510204</v>
      </c>
      <c r="V8" s="30">
        <f>IF(Matrix_Waktu!V8="",0,1/(Matrix_Waktu!V8^Matrix_Bobot!$B$1*(1+Matrix_Transit!V8)^Matrix_Bobot!$B$2))</f>
        <v>0.09842519685</v>
      </c>
      <c r="W8" s="30">
        <f>IF(Matrix_Waktu!W8="",0,1/(Matrix_Waktu!W8^Matrix_Bobot!$B$1*(1+Matrix_Transit!W8)^Matrix_Bobot!$B$2))</f>
        <v>0.1199040767</v>
      </c>
      <c r="X8" s="30">
        <f>IF(Matrix_Waktu!X8="",0,1/(Matrix_Waktu!X8^Matrix_Bobot!$B$1*(1+Matrix_Transit!X8)^Matrix_Bobot!$B$2))</f>
        <v>0.1091703057</v>
      </c>
      <c r="Y8" s="30">
        <f>IF(Matrix_Waktu!Y8="",0,1/(Matrix_Waktu!Y8^Matrix_Bobot!$B$1*(1+Matrix_Transit!Y8)^Matrix_Bobot!$B$2))</f>
        <v>0.09225092251</v>
      </c>
      <c r="Z8" s="30">
        <f>IF(Matrix_Waktu!Z8="",0,1/(Matrix_Waktu!Z8^Matrix_Bobot!$B$1*(1+Matrix_Transit!Z8)^Matrix_Bobot!$B$2))</f>
        <v>0.07407407407</v>
      </c>
      <c r="AA8" s="30">
        <f>IF(Matrix_Waktu!AA8="",0,1/(Matrix_Waktu!AA8^Matrix_Bobot!$B$1*(1+Matrix_Transit!AA8)^Matrix_Bobot!$B$2))</f>
        <v>0.04444444444</v>
      </c>
      <c r="AB8" s="30">
        <f>IF(Matrix_Waktu!AB8="",0,1/(Matrix_Waktu!AB8^Matrix_Bobot!$B$1*(1+Matrix_Transit!AB8)^Matrix_Bobot!$B$2))</f>
        <v>0.1091703057</v>
      </c>
      <c r="AC8" s="30">
        <f>IF(Matrix_Waktu!AC8="",0,1/(Matrix_Waktu!AC8^Matrix_Bobot!$B$1*(1+Matrix_Transit!AC8)^Matrix_Bobot!$B$2))</f>
        <v>0.07407407407</v>
      </c>
      <c r="AD8" s="30">
        <f>IF(Matrix_Waktu!AD8="",0,1/(Matrix_Waktu!AD8^Matrix_Bobot!$B$1*(1+Matrix_Transit!AD8)^Matrix_Bobot!$B$2))</f>
        <v>0.06973500697</v>
      </c>
      <c r="AE8" s="30">
        <f>IF(Matrix_Waktu!AE8="",0,1/(Matrix_Waktu!AE8^Matrix_Bobot!$B$1*(1+Matrix_Transit!AE8)^Matrix_Bobot!$B$2))</f>
        <v>0.03671071953</v>
      </c>
      <c r="AF8" s="30">
        <f>IF(Matrix_Waktu!AF8="",0,1/(Matrix_Waktu!AF8^Matrix_Bobot!$B$1*(1+Matrix_Transit!AF8)^Matrix_Bobot!$B$2))</f>
        <v>0.05128205128</v>
      </c>
      <c r="AG8" s="30">
        <f>IF(Matrix_Waktu!AG8="",0,1/(Matrix_Waktu!AG8^Matrix_Bobot!$B$1*(1+Matrix_Transit!AG8)^Matrix_Bobot!$B$2))</f>
        <v>0.04616805171</v>
      </c>
      <c r="AH8" s="30">
        <f>IF(Matrix_Waktu!AH8="",0,1/(Matrix_Waktu!AH8^Matrix_Bobot!$B$1*(1+Matrix_Transit!AH8)^Matrix_Bobot!$B$2))</f>
        <v>0.03418803419</v>
      </c>
      <c r="AI8" s="30">
        <f>IF(Matrix_Waktu!AI8="",0,1/(Matrix_Waktu!AI8^Matrix_Bobot!$B$1*(1+Matrix_Transit!AI8)^Matrix_Bobot!$B$2))</f>
        <v>0.03390979993</v>
      </c>
      <c r="AJ8" s="33">
        <f t="shared" si="1"/>
        <v>3.229542166</v>
      </c>
    </row>
    <row r="9" ht="14.25" customHeight="1">
      <c r="A9" s="22" t="s">
        <v>17</v>
      </c>
      <c r="B9" s="30">
        <f>IF(Matrix_Waktu!B9="",0,1/(Matrix_Waktu!B9^Matrix_Bobot!$B$1*(1+Matrix_Transit!B9)^Matrix_Bobot!$B$2))</f>
        <v>0.1034489893</v>
      </c>
      <c r="C9" s="30">
        <f>IF(Matrix_Waktu!C9="",0,1/(Matrix_Waktu!C9^Matrix_Bobot!$B$1*(1+Matrix_Transit!C9)^Matrix_Bobot!$B$2))</f>
        <v>0.545553737</v>
      </c>
      <c r="D9" s="30">
        <f>IF(Matrix_Waktu!D9="",0,1/(Matrix_Waktu!D9^Matrix_Bobot!$B$1*(1+Matrix_Transit!D9)^Matrix_Bobot!$B$2))</f>
        <v>0.125</v>
      </c>
      <c r="E9" s="30">
        <f>IF(Matrix_Waktu!E9="",0,1/(Matrix_Waktu!E9^Matrix_Bobot!$B$1*(1+Matrix_Transit!E9)^Matrix_Bobot!$B$2))</f>
        <v>0.1396648045</v>
      </c>
      <c r="F9" s="30">
        <f>IF(Matrix_Waktu!F9="",0,1/(Matrix_Waktu!F9^Matrix_Bobot!$B$1*(1+Matrix_Transit!F9)^Matrix_Bobot!$B$2))</f>
        <v>0.1305483029</v>
      </c>
      <c r="G9" s="28">
        <v>0.0</v>
      </c>
      <c r="H9" s="30">
        <f>IF(Matrix_Waktu!H9="",0,1/(Matrix_Waktu!H9^Matrix_Bobot!$B$1*(1+Matrix_Transit!H9)^Matrix_Bobot!$B$2))</f>
        <v>0.125</v>
      </c>
      <c r="I9" s="30">
        <f>IF(Matrix_Waktu!I9="",0,1/(Matrix_Waktu!I9^Matrix_Bobot!$B$1*(1+Matrix_Transit!I9)^Matrix_Bobot!$B$2))</f>
        <v>0.1712328767</v>
      </c>
      <c r="J9" s="30">
        <f>IF(Matrix_Waktu!J9="",0,1/(Matrix_Waktu!J9^Matrix_Bobot!$B$1*(1+Matrix_Transit!J9)^Matrix_Bobot!$B$2))</f>
        <v>1.333333333</v>
      </c>
      <c r="K9" s="30">
        <f>IF(Matrix_Waktu!K9="",0,1/(Matrix_Waktu!K9^Matrix_Bobot!$B$1*(1+Matrix_Transit!K9)^Matrix_Bobot!$B$2))</f>
        <v>0.1818181818</v>
      </c>
      <c r="L9" s="30">
        <f>IF(Matrix_Waktu!L9="",0,1/(Matrix_Waktu!L9^Matrix_Bobot!$B$1*(1+Matrix_Transit!L9)^Matrix_Bobot!$B$2))</f>
        <v>0.4284490146</v>
      </c>
      <c r="M9" s="30">
        <f>IF(Matrix_Waktu!M9="",0,1/(Matrix_Waktu!M9^Matrix_Bobot!$B$1*(1+Matrix_Transit!M9)^Matrix_Bobot!$B$2))</f>
        <v>0.07692307692</v>
      </c>
      <c r="N9" s="30">
        <f>IF(Matrix_Waktu!N9="",0,1/(Matrix_Waktu!N9^Matrix_Bobot!$B$1*(1+Matrix_Transit!N9)^Matrix_Bobot!$B$2))</f>
        <v>0.1666666667</v>
      </c>
      <c r="O9" s="30">
        <f>IF(Matrix_Waktu!O9="",0,1/(Matrix_Waktu!O9^Matrix_Bobot!$B$1*(1+Matrix_Transit!O9)^Matrix_Bobot!$B$2))</f>
        <v>0.6329113924</v>
      </c>
      <c r="P9" s="30">
        <f>IF(Matrix_Waktu!P9="",0,1/(Matrix_Waktu!P9^Matrix_Bobot!$B$1*(1+Matrix_Transit!P9)^Matrix_Bobot!$B$2))</f>
        <v>0.5</v>
      </c>
      <c r="Q9" s="30">
        <f>IF(Matrix_Waktu!Q9="",0,1/(Matrix_Waktu!Q9^Matrix_Bobot!$B$1*(1+Matrix_Transit!Q9)^Matrix_Bobot!$B$2))</f>
        <v>0</v>
      </c>
      <c r="R9" s="30">
        <f>IF(Matrix_Waktu!R9="",0,1/(Matrix_Waktu!R9^Matrix_Bobot!$B$1*(1+Matrix_Transit!R9)^Matrix_Bobot!$B$2))</f>
        <v>0.125</v>
      </c>
      <c r="S9" s="30">
        <f>IF(Matrix_Waktu!S9="",0,1/(Matrix_Waktu!S9^Matrix_Bobot!$B$1*(1+Matrix_Transit!S9)^Matrix_Bobot!$B$2))</f>
        <v>0.09671179884</v>
      </c>
      <c r="T9" s="30">
        <f>IF(Matrix_Waktu!T9="",0,1/(Matrix_Waktu!T9^Matrix_Bobot!$B$1*(1+Matrix_Transit!T9)^Matrix_Bobot!$B$2))</f>
        <v>0.05827505828</v>
      </c>
      <c r="U9" s="30">
        <f>IF(Matrix_Waktu!U9="",0,1/(Matrix_Waktu!U9^Matrix_Bobot!$B$1*(1+Matrix_Transit!U9)^Matrix_Bobot!$B$2))</f>
        <v>0.1305483029</v>
      </c>
      <c r="V9" s="30">
        <f>IF(Matrix_Waktu!V9="",0,1/(Matrix_Waktu!V9^Matrix_Bobot!$B$1*(1+Matrix_Transit!V9)^Matrix_Bobot!$B$2))</f>
        <v>0.1225490196</v>
      </c>
      <c r="W9" s="30">
        <f>IF(Matrix_Waktu!W9="",0,1/(Matrix_Waktu!W9^Matrix_Bobot!$B$1*(1+Matrix_Transit!W9)^Matrix_Bobot!$B$2))</f>
        <v>0.1111111111</v>
      </c>
      <c r="X9" s="30">
        <f>IF(Matrix_Waktu!X9="",0,1/(Matrix_Waktu!X9^Matrix_Bobot!$B$1*(1+Matrix_Transit!X9)^Matrix_Bobot!$B$2))</f>
        <v>0.09380863039</v>
      </c>
      <c r="Y9" s="30">
        <f>IF(Matrix_Waktu!Y9="",0,1/(Matrix_Waktu!Y9^Matrix_Bobot!$B$1*(1+Matrix_Transit!Y9)^Matrix_Bobot!$B$2))</f>
        <v>0.09225092251</v>
      </c>
      <c r="Z9" s="30">
        <f>IF(Matrix_Waktu!Z9="",0,1/(Matrix_Waktu!Z9^Matrix_Bobot!$B$1*(1+Matrix_Transit!Z9)^Matrix_Bobot!$B$2))</f>
        <v>0.08223684211</v>
      </c>
      <c r="AA9" s="30">
        <f>IF(Matrix_Waktu!AA9="",0,1/(Matrix_Waktu!AA9^Matrix_Bobot!$B$1*(1+Matrix_Transit!AA9)^Matrix_Bobot!$B$2))</f>
        <v>0.03450655625</v>
      </c>
      <c r="AB9" s="30">
        <f>IF(Matrix_Waktu!AB9="",0,1/(Matrix_Waktu!AB9^Matrix_Bobot!$B$1*(1+Matrix_Transit!AB9)^Matrix_Bobot!$B$2))</f>
        <v>0.09842519685</v>
      </c>
      <c r="AC9" s="30">
        <f>IF(Matrix_Waktu!AC9="",0,1/(Matrix_Waktu!AC9^Matrix_Bobot!$B$1*(1+Matrix_Transit!AC9)^Matrix_Bobot!$B$2))</f>
        <v>0.08103727715</v>
      </c>
      <c r="AD9" s="30">
        <f>IF(Matrix_Waktu!AD9="",0,1/(Matrix_Waktu!AD9^Matrix_Bobot!$B$1*(1+Matrix_Transit!AD9)^Matrix_Bobot!$B$2))</f>
        <v>0.03681885125</v>
      </c>
      <c r="AE9" s="30">
        <f>IF(Matrix_Waktu!AE9="",0,1/(Matrix_Waktu!AE9^Matrix_Bobot!$B$1*(1+Matrix_Transit!AE9)^Matrix_Bobot!$B$2))</f>
        <v>0.0550660793</v>
      </c>
      <c r="AF9" s="30">
        <f>IF(Matrix_Waktu!AF9="",0,1/(Matrix_Waktu!AF9^Matrix_Bobot!$B$1*(1+Matrix_Transit!AF9)^Matrix_Bobot!$B$2))</f>
        <v>0.06821282401</v>
      </c>
      <c r="AG9" s="30">
        <f>IF(Matrix_Waktu!AG9="",0,1/(Matrix_Waktu!AG9^Matrix_Bobot!$B$1*(1+Matrix_Transit!AG9)^Matrix_Bobot!$B$2))</f>
        <v>0.04686035614</v>
      </c>
      <c r="AH9" s="30">
        <f>IF(Matrix_Waktu!AH9="",0,1/(Matrix_Waktu!AH9^Matrix_Bobot!$B$1*(1+Matrix_Transit!AH9)^Matrix_Bobot!$B$2))</f>
        <v>0.05040322581</v>
      </c>
      <c r="AI9" s="30">
        <f>IF(Matrix_Waktu!AI9="",0,1/(Matrix_Waktu!AI9^Matrix_Bobot!$B$1*(1+Matrix_Transit!AI9)^Matrix_Bobot!$B$2))</f>
        <v>0.04916420846</v>
      </c>
      <c r="AJ9" s="33">
        <f t="shared" si="1"/>
        <v>6.093536637</v>
      </c>
    </row>
    <row r="10" ht="14.25" customHeight="1">
      <c r="A10" s="22" t="s">
        <v>20</v>
      </c>
      <c r="B10" s="30">
        <f>IF(Matrix_Waktu!B10="",0,1/(Matrix_Waktu!B10^Matrix_Bobot!$B$1*(1+Matrix_Transit!B10)^Matrix_Bobot!$B$2))</f>
        <v>0.07225433526</v>
      </c>
      <c r="C10" s="30">
        <f>IF(Matrix_Waktu!C10="",0,1/(Matrix_Waktu!C10^Matrix_Bobot!$B$1*(1+Matrix_Transit!C10)^Matrix_Bobot!$B$2))</f>
        <v>0.0967735692</v>
      </c>
      <c r="D10" s="30">
        <f>IF(Matrix_Waktu!D10="",0,1/(Matrix_Waktu!D10^Matrix_Bobot!$B$1*(1+Matrix_Transit!D10)^Matrix_Bobot!$B$2))</f>
        <v>0.09380863039</v>
      </c>
      <c r="E10" s="30">
        <f>IF(Matrix_Waktu!E10="",0,1/(Matrix_Waktu!E10^Matrix_Bobot!$B$1*(1+Matrix_Transit!E10)^Matrix_Bobot!$B$2))</f>
        <v>0.1035196687</v>
      </c>
      <c r="F10" s="30">
        <f>IF(Matrix_Waktu!F10="",0,1/(Matrix_Waktu!F10^Matrix_Bobot!$B$1*(1+Matrix_Transit!F10)^Matrix_Bobot!$B$2))</f>
        <v>0.1</v>
      </c>
      <c r="G10" s="30">
        <f>IF(Matrix_Waktu!G10="",0,1/(Matrix_Waktu!G10^Matrix_Bobot!$B$1*(1+Matrix_Transit!G10)^Matrix_Bobot!$B$2))</f>
        <v>0.125</v>
      </c>
      <c r="H10" s="28">
        <v>0.0</v>
      </c>
      <c r="I10" s="30">
        <f>IF(Matrix_Waktu!I10="",0,1/(Matrix_Waktu!I10^Matrix_Bobot!$B$1*(1+Matrix_Transit!I10)^Matrix_Bobot!$B$2))</f>
        <v>0.1305483029</v>
      </c>
      <c r="J10" s="30">
        <f>IF(Matrix_Waktu!J10="",0,1/(Matrix_Waktu!J10^Matrix_Bobot!$B$1*(1+Matrix_Transit!J10)^Matrix_Bobot!$B$2))</f>
        <v>0.1111111111</v>
      </c>
      <c r="K10" s="30">
        <f>IF(Matrix_Waktu!K10="",0,1/(Matrix_Waktu!K10^Matrix_Bobot!$B$1*(1+Matrix_Transit!K10)^Matrix_Bobot!$B$2))</f>
        <v>0.09842519685</v>
      </c>
      <c r="L10" s="30">
        <f>IF(Matrix_Waktu!L10="",0,1/(Matrix_Waktu!L10^Matrix_Bobot!$B$1*(1+Matrix_Transit!L10)^Matrix_Bobot!$B$2))</f>
        <v>0.7518796992</v>
      </c>
      <c r="M10" s="30">
        <f>IF(Matrix_Waktu!M10="",0,1/(Matrix_Waktu!M10^Matrix_Bobot!$B$1*(1+Matrix_Transit!M10)^Matrix_Bobot!$B$2))</f>
        <v>0</v>
      </c>
      <c r="N10" s="30">
        <f>IF(Matrix_Waktu!N10="",0,1/(Matrix_Waktu!N10^Matrix_Bobot!$B$1*(1+Matrix_Transit!N10)^Matrix_Bobot!$B$2))</f>
        <v>0.1501501502</v>
      </c>
      <c r="O10" s="30">
        <f>IF(Matrix_Waktu!O10="",0,1/(Matrix_Waktu!O10^Matrix_Bobot!$B$1*(1+Matrix_Transit!O10)^Matrix_Bobot!$B$2))</f>
        <v>0.136239782</v>
      </c>
      <c r="P10" s="30">
        <f>IF(Matrix_Waktu!P10="",0,1/(Matrix_Waktu!P10^Matrix_Bobot!$B$1*(1+Matrix_Transit!P10)^Matrix_Bobot!$B$2))</f>
        <v>0.1333333333</v>
      </c>
      <c r="Q10" s="30">
        <f>IF(Matrix_Waktu!Q10="",0,1/(Matrix_Waktu!Q10^Matrix_Bobot!$B$1*(1+Matrix_Transit!Q10)^Matrix_Bobot!$B$2))</f>
        <v>0</v>
      </c>
      <c r="R10" s="30">
        <f>IF(Matrix_Waktu!R10="",0,1/(Matrix_Waktu!R10^Matrix_Bobot!$B$1*(1+Matrix_Transit!R10)^Matrix_Bobot!$B$2))</f>
        <v>0.1225490196</v>
      </c>
      <c r="S10" s="30">
        <f>IF(Matrix_Waktu!S10="",0,1/(Matrix_Waktu!S10^Matrix_Bobot!$B$1*(1+Matrix_Transit!S10)^Matrix_Bobot!$B$2))</f>
        <v>0.09090909091</v>
      </c>
      <c r="T10" s="30">
        <f>IF(Matrix_Waktu!T10="",0,1/(Matrix_Waktu!T10^Matrix_Bobot!$B$1*(1+Matrix_Transit!T10)^Matrix_Bobot!$B$2))</f>
        <v>0.04597701149</v>
      </c>
      <c r="U10" s="30">
        <f>IF(Matrix_Waktu!U10="",0,1/(Matrix_Waktu!U10^Matrix_Bobot!$B$1*(1+Matrix_Transit!U10)^Matrix_Bobot!$B$2))</f>
        <v>0.1333333333</v>
      </c>
      <c r="V10" s="30">
        <f>IF(Matrix_Waktu!V10="",0,1/(Matrix_Waktu!V10^Matrix_Bobot!$B$1*(1+Matrix_Transit!V10)^Matrix_Bobot!$B$2))</f>
        <v>0.09523809524</v>
      </c>
      <c r="W10" s="30">
        <f>IF(Matrix_Waktu!W10="",0,1/(Matrix_Waktu!W10^Matrix_Bobot!$B$1*(1+Matrix_Transit!W10)^Matrix_Bobot!$B$2))</f>
        <v>0.1091703057</v>
      </c>
      <c r="X10" s="30">
        <f>IF(Matrix_Waktu!X10="",0,1/(Matrix_Waktu!X10^Matrix_Bobot!$B$1*(1+Matrix_Transit!X10)^Matrix_Bobot!$B$2))</f>
        <v>0.09380863039</v>
      </c>
      <c r="Y10" s="30">
        <f>IF(Matrix_Waktu!Y10="",0,1/(Matrix_Waktu!Y10^Matrix_Bobot!$B$1*(1+Matrix_Transit!Y10)^Matrix_Bobot!$B$2))</f>
        <v>0.07225433526</v>
      </c>
      <c r="Z10" s="30">
        <f>IF(Matrix_Waktu!Z10="",0,1/(Matrix_Waktu!Z10^Matrix_Bobot!$B$1*(1+Matrix_Transit!Z10)^Matrix_Bobot!$B$2))</f>
        <v>0.07692307692</v>
      </c>
      <c r="AA10" s="30">
        <f>IF(Matrix_Waktu!AA10="",0,1/(Matrix_Waktu!AA10^Matrix_Bobot!$B$1*(1+Matrix_Transit!AA10)^Matrix_Bobot!$B$2))</f>
        <v>0.04444444444</v>
      </c>
      <c r="AB10" s="30">
        <f>IF(Matrix_Waktu!AB10="",0,1/(Matrix_Waktu!AB10^Matrix_Bobot!$B$1*(1+Matrix_Transit!AB10)^Matrix_Bobot!$B$2))</f>
        <v>0.09090909091</v>
      </c>
      <c r="AC10" s="30">
        <f>IF(Matrix_Waktu!AC10="",0,1/(Matrix_Waktu!AC10^Matrix_Bobot!$B$1*(1+Matrix_Transit!AC10)^Matrix_Bobot!$B$2))</f>
        <v>0.08695652174</v>
      </c>
      <c r="AD10" s="30">
        <f>IF(Matrix_Waktu!AD10="",0,1/(Matrix_Waktu!AD10^Matrix_Bobot!$B$1*(1+Matrix_Transit!AD10)^Matrix_Bobot!$B$2))</f>
        <v>0.04649000465</v>
      </c>
      <c r="AE10" s="30">
        <f>IF(Matrix_Waktu!AE10="",0,1/(Matrix_Waktu!AE10^Matrix_Bobot!$B$1*(1+Matrix_Transit!AE10)^Matrix_Bobot!$B$2))</f>
        <v>0.03671071953</v>
      </c>
      <c r="AF10" s="30">
        <f>IF(Matrix_Waktu!AF10="",0,1/(Matrix_Waktu!AF10^Matrix_Bobot!$B$1*(1+Matrix_Transit!AF10)^Matrix_Bobot!$B$2))</f>
        <v>0.04108463435</v>
      </c>
      <c r="AG10" s="30">
        <f>IF(Matrix_Waktu!AG10="",0,1/(Matrix_Waktu!AG10^Matrix_Bobot!$B$1*(1+Matrix_Transit!AG10)^Matrix_Bobot!$B$2))</f>
        <v>0.03008423586</v>
      </c>
      <c r="AH10" s="30">
        <f>IF(Matrix_Waktu!AH10="",0,1/(Matrix_Waktu!AH10^Matrix_Bobot!$B$1*(1+Matrix_Transit!AH10)^Matrix_Bobot!$B$2))</f>
        <v>0.03921568627</v>
      </c>
      <c r="AI10" s="30">
        <f>IF(Matrix_Waktu!AI10="",0,1/(Matrix_Waktu!AI10^Matrix_Bobot!$B$1*(1+Matrix_Transit!AI10)^Matrix_Bobot!$B$2))</f>
        <v>0.02721088435</v>
      </c>
      <c r="AJ10" s="33">
        <f t="shared" si="1"/>
        <v>3.3863129</v>
      </c>
    </row>
    <row r="11" ht="14.25" customHeight="1">
      <c r="A11" s="22" t="s">
        <v>22</v>
      </c>
      <c r="B11" s="30">
        <f>IF(Matrix_Waktu!B11="",0,1/(Matrix_Waktu!B11^Matrix_Bobot!$B$1*(1+Matrix_Transit!B11)^Matrix_Bobot!$B$2))</f>
        <v>0.08960573477</v>
      </c>
      <c r="C11" s="30">
        <f>IF(Matrix_Waktu!C11="",0,1/(Matrix_Waktu!C11^Matrix_Bobot!$B$1*(1+Matrix_Transit!C11)^Matrix_Bobot!$B$2))</f>
        <v>0.1199904008</v>
      </c>
      <c r="D11" s="30">
        <f>IF(Matrix_Waktu!D11="",0,1/(Matrix_Waktu!D11^Matrix_Bobot!$B$1*(1+Matrix_Transit!D11)^Matrix_Bobot!$B$2))</f>
        <v>0.1034554107</v>
      </c>
      <c r="E11" s="30">
        <f>IF(Matrix_Waktu!E11="",0,1/(Matrix_Waktu!E11^Matrix_Bobot!$B$1*(1+Matrix_Transit!E11)^Matrix_Bobot!$B$2))</f>
        <v>0.1333333333</v>
      </c>
      <c r="F11" s="30">
        <f>IF(Matrix_Waktu!F11="",0,1/(Matrix_Waktu!F11^Matrix_Bobot!$B$1*(1+Matrix_Transit!F11)^Matrix_Bobot!$B$2))</f>
        <v>0.1333333333</v>
      </c>
      <c r="G11" s="30">
        <f>IF(Matrix_Waktu!G11="",0,1/(Matrix_Waktu!G11^Matrix_Bobot!$B$1*(1+Matrix_Transit!G11)^Matrix_Bobot!$B$2))</f>
        <v>0.1712328767</v>
      </c>
      <c r="H11" s="30">
        <f>IF(Matrix_Waktu!H11="",0,1/(Matrix_Waktu!H11^Matrix_Bobot!$B$1*(1+Matrix_Transit!H11)^Matrix_Bobot!$B$2))</f>
        <v>0.1305483029</v>
      </c>
      <c r="I11" s="28">
        <v>0.0</v>
      </c>
      <c r="J11" s="30">
        <f>IF(Matrix_Waktu!J11="",0,1/(Matrix_Waktu!J11^Matrix_Bobot!$B$1*(1+Matrix_Transit!J11)^Matrix_Bobot!$B$2))</f>
        <v>0.1154734411</v>
      </c>
      <c r="K11" s="30">
        <f>IF(Matrix_Waktu!K11="",0,1/(Matrix_Waktu!K11^Matrix_Bobot!$B$1*(1+Matrix_Transit!K11)^Matrix_Bobot!$B$2))</f>
        <v>0.125</v>
      </c>
      <c r="L11" s="30">
        <f>IF(Matrix_Waktu!L11="",0,1/(Matrix_Waktu!L11^Matrix_Bobot!$B$1*(1+Matrix_Transit!L11)^Matrix_Bobot!$B$2))</f>
        <v>1.333333333</v>
      </c>
      <c r="M11" s="30">
        <f>IF(Matrix_Waktu!M11="",0,1/(Matrix_Waktu!M11^Matrix_Bobot!$B$1*(1+Matrix_Transit!M11)^Matrix_Bobot!$B$2))</f>
        <v>0.01498127341</v>
      </c>
      <c r="N11" s="30">
        <f>IF(Matrix_Waktu!N11="",0,1/(Matrix_Waktu!N11^Matrix_Bobot!$B$1*(1+Matrix_Transit!N11)^Matrix_Bobot!$B$2))</f>
        <v>0.1154734411</v>
      </c>
      <c r="O11" s="30">
        <f>IF(Matrix_Waktu!O11="",0,1/(Matrix_Waktu!O11^Matrix_Bobot!$B$1*(1+Matrix_Transit!O11)^Matrix_Bobot!$B$2))</f>
        <v>0.1712328767</v>
      </c>
      <c r="P11" s="30">
        <f>IF(Matrix_Waktu!P11="",0,1/(Matrix_Waktu!P11^Matrix_Bobot!$B$1*(1+Matrix_Transit!P11)^Matrix_Bobot!$B$2))</f>
        <v>0.1538461538</v>
      </c>
      <c r="Q11" s="30">
        <f>IF(Matrix_Waktu!Q11="",0,1/(Matrix_Waktu!Q11^Matrix_Bobot!$B$1*(1+Matrix_Transit!Q11)^Matrix_Bobot!$B$2))</f>
        <v>0</v>
      </c>
      <c r="R11" s="30">
        <f>IF(Matrix_Waktu!R11="",0,1/(Matrix_Waktu!R11^Matrix_Bobot!$B$1*(1+Matrix_Transit!R11)^Matrix_Bobot!$B$2))</f>
        <v>0.1428571429</v>
      </c>
      <c r="S11" s="30">
        <f>IF(Matrix_Waktu!S11="",0,1/(Matrix_Waktu!S11^Matrix_Bobot!$B$1*(1+Matrix_Transit!S11)^Matrix_Bobot!$B$2))</f>
        <v>0.1275510204</v>
      </c>
      <c r="T11" s="30">
        <f>IF(Matrix_Waktu!T11="",0,1/(Matrix_Waktu!T11^Matrix_Bobot!$B$1*(1+Matrix_Transit!T11)^Matrix_Bobot!$B$2))</f>
        <v>0.04194630872</v>
      </c>
      <c r="U11" s="30">
        <f>IF(Matrix_Waktu!U11="",0,1/(Matrix_Waktu!U11^Matrix_Bobot!$B$1*(1+Matrix_Transit!U11)^Matrix_Bobot!$B$2))</f>
        <v>0.1577287066</v>
      </c>
      <c r="V11" s="30">
        <f>IF(Matrix_Waktu!V11="",0,1/(Matrix_Waktu!V11^Matrix_Bobot!$B$1*(1+Matrix_Transit!V11)^Matrix_Bobot!$B$2))</f>
        <v>0.1070663812</v>
      </c>
      <c r="W11" s="30">
        <f>IF(Matrix_Waktu!W11="",0,1/(Matrix_Waktu!W11^Matrix_Bobot!$B$1*(1+Matrix_Transit!W11)^Matrix_Bobot!$B$2))</f>
        <v>0.1070663812</v>
      </c>
      <c r="X11" s="30">
        <f>IF(Matrix_Waktu!X11="",0,1/(Matrix_Waktu!X11^Matrix_Bobot!$B$1*(1+Matrix_Transit!X11)^Matrix_Bobot!$B$2))</f>
        <v>0.09523809524</v>
      </c>
      <c r="Y11" s="30">
        <f>IF(Matrix_Waktu!Y11="",0,1/(Matrix_Waktu!Y11^Matrix_Bobot!$B$1*(1+Matrix_Transit!Y11)^Matrix_Bobot!$B$2))</f>
        <v>0.1035196687</v>
      </c>
      <c r="Z11" s="30">
        <f>IF(Matrix_Waktu!Z11="",0,1/(Matrix_Waktu!Z11^Matrix_Bobot!$B$1*(1+Matrix_Transit!Z11)^Matrix_Bobot!$B$2))</f>
        <v>0.08960573477</v>
      </c>
      <c r="AA11" s="30">
        <f>IF(Matrix_Waktu!AA11="",0,1/(Matrix_Waktu!AA11^Matrix_Bobot!$B$1*(1+Matrix_Transit!AA11)^Matrix_Bobot!$B$2))</f>
        <v>0.0352858151</v>
      </c>
      <c r="AB11" s="30">
        <f>IF(Matrix_Waktu!AB11="",0,1/(Matrix_Waktu!AB11^Matrix_Bobot!$B$1*(1+Matrix_Transit!AB11)^Matrix_Bobot!$B$2))</f>
        <v>0.1154734411</v>
      </c>
      <c r="AC11" s="30">
        <f>IF(Matrix_Waktu!AC11="",0,1/(Matrix_Waktu!AC11^Matrix_Bobot!$B$1*(1+Matrix_Transit!AC11)^Matrix_Bobot!$B$2))</f>
        <v>0.07407407407</v>
      </c>
      <c r="AD11" s="30">
        <f>IF(Matrix_Waktu!AD11="",0,1/(Matrix_Waktu!AD11^Matrix_Bobot!$B$1*(1+Matrix_Transit!AD11)^Matrix_Bobot!$B$2))</f>
        <v>0.02804262479</v>
      </c>
      <c r="AE11" s="30">
        <f>IF(Matrix_Waktu!AE11="",0,1/(Matrix_Waktu!AE11^Matrix_Bobot!$B$1*(1+Matrix_Transit!AE11)^Matrix_Bobot!$B$2))</f>
        <v>0.02970885324</v>
      </c>
      <c r="AF11" s="30">
        <f>IF(Matrix_Waktu!AF11="",0,1/(Matrix_Waktu!AF11^Matrix_Bobot!$B$1*(1+Matrix_Transit!AF11)^Matrix_Bobot!$B$2))</f>
        <v>0.08103727715</v>
      </c>
      <c r="AG11" s="30">
        <f>IF(Matrix_Waktu!AG11="",0,1/(Matrix_Waktu!AG11^Matrix_Bobot!$B$1*(1+Matrix_Transit!AG11)^Matrix_Bobot!$B$2))</f>
        <v>0.03351206434</v>
      </c>
      <c r="AH11" s="30">
        <f>IF(Matrix_Waktu!AH11="",0,1/(Matrix_Waktu!AH11^Matrix_Bobot!$B$1*(1+Matrix_Transit!AH11)^Matrix_Bobot!$B$2))</f>
        <v>0.08333333333</v>
      </c>
      <c r="AI11" s="30">
        <f>IF(Matrix_Waktu!AI11="",0,1/(Matrix_Waktu!AI11^Matrix_Bobot!$B$1*(1+Matrix_Transit!AI11)^Matrix_Bobot!$B$2))</f>
        <v>0.04444444444</v>
      </c>
      <c r="AJ11" s="33">
        <f t="shared" si="1"/>
        <v>4.408331279</v>
      </c>
    </row>
    <row r="12" ht="14.25" customHeight="1">
      <c r="A12" s="22" t="s">
        <v>25</v>
      </c>
      <c r="B12" s="30">
        <f>IF(Matrix_Waktu!B12="",0,1/(Matrix_Waktu!B12^Matrix_Bobot!$B$1*(1+Matrix_Transit!B12)^Matrix_Bobot!$B$2))</f>
        <v>0.05309715718</v>
      </c>
      <c r="C12" s="30">
        <f>IF(Matrix_Waktu!C12="",0,1/(Matrix_Waktu!C12^Matrix_Bobot!$B$1*(1+Matrix_Transit!C12)^Matrix_Bobot!$B$2))</f>
        <v>0.09090909091</v>
      </c>
      <c r="D12" s="30">
        <f>IF(Matrix_Waktu!D12="",0,1/(Matrix_Waktu!D12^Matrix_Bobot!$B$1*(1+Matrix_Transit!D12)^Matrix_Bobot!$B$2))</f>
        <v>0.1034554107</v>
      </c>
      <c r="E12" s="30">
        <f>IF(Matrix_Waktu!E12="",0,1/(Matrix_Waktu!E12^Matrix_Bobot!$B$1*(1+Matrix_Transit!E12)^Matrix_Bobot!$B$2))</f>
        <v>0.09090909091</v>
      </c>
      <c r="F12" s="30">
        <f>IF(Matrix_Waktu!F12="",0,1/(Matrix_Waktu!F12^Matrix_Bobot!$B$1*(1+Matrix_Transit!F12)^Matrix_Bobot!$B$2))</f>
        <v>0.125</v>
      </c>
      <c r="G12" s="30">
        <f>IF(Matrix_Waktu!G12="",0,1/(Matrix_Waktu!G12^Matrix_Bobot!$B$1*(1+Matrix_Transit!G12)^Matrix_Bobot!$B$2))</f>
        <v>1.333333333</v>
      </c>
      <c r="H12" s="30">
        <f>IF(Matrix_Waktu!H12="",0,1/(Matrix_Waktu!H12^Matrix_Bobot!$B$1*(1+Matrix_Transit!H12)^Matrix_Bobot!$B$2))</f>
        <v>0.1111111111</v>
      </c>
      <c r="I12" s="30">
        <f>IF(Matrix_Waktu!I12="",0,1/(Matrix_Waktu!I12^Matrix_Bobot!$B$1*(1+Matrix_Transit!I12)^Matrix_Bobot!$B$2))</f>
        <v>0.1154734411</v>
      </c>
      <c r="J12" s="28">
        <v>0.0</v>
      </c>
      <c r="K12" s="30">
        <f>IF(Matrix_Waktu!K12="",0,1/(Matrix_Waktu!K12^Matrix_Bobot!$B$1*(1+Matrix_Transit!K12)^Matrix_Bobot!$B$2))</f>
        <v>0.3333333333</v>
      </c>
      <c r="L12" s="30">
        <f>IF(Matrix_Waktu!L12="",0,1/(Matrix_Waktu!L12^Matrix_Bobot!$B$1*(1+Matrix_Transit!L12)^Matrix_Bobot!$B$2))</f>
        <v>0.4273504274</v>
      </c>
      <c r="M12" s="30">
        <f>IF(Matrix_Waktu!M12="",0,1/(Matrix_Waktu!M12^Matrix_Bobot!$B$1*(1+Matrix_Transit!M12)^Matrix_Bobot!$B$2))</f>
        <v>0</v>
      </c>
      <c r="N12" s="30">
        <f>IF(Matrix_Waktu!N12="",0,1/(Matrix_Waktu!N12^Matrix_Bobot!$B$1*(1+Matrix_Transit!N12)^Matrix_Bobot!$B$2))</f>
        <v>0.1577287066</v>
      </c>
      <c r="O12" s="30">
        <f>IF(Matrix_Waktu!O12="",0,1/(Matrix_Waktu!O12^Matrix_Bobot!$B$1*(1+Matrix_Transit!O12)^Matrix_Bobot!$B$2))</f>
        <v>0.1538461538</v>
      </c>
      <c r="P12" s="30">
        <f>IF(Matrix_Waktu!P12="",0,1/(Matrix_Waktu!P12^Matrix_Bobot!$B$1*(1+Matrix_Transit!P12)^Matrix_Bobot!$B$2))</f>
        <v>0.1501501502</v>
      </c>
      <c r="Q12" s="30">
        <f>IF(Matrix_Waktu!Q12="",0,1/(Matrix_Waktu!Q12^Matrix_Bobot!$B$1*(1+Matrix_Transit!Q12)^Matrix_Bobot!$B$2))</f>
        <v>0</v>
      </c>
      <c r="R12" s="30">
        <f>IF(Matrix_Waktu!R12="",0,1/(Matrix_Waktu!R12^Matrix_Bobot!$B$1*(1+Matrix_Transit!R12)^Matrix_Bobot!$B$2))</f>
        <v>0.125</v>
      </c>
      <c r="S12" s="30">
        <f>IF(Matrix_Waktu!S12="",0,1/(Matrix_Waktu!S12^Matrix_Bobot!$B$1*(1+Matrix_Transit!S12)^Matrix_Bobot!$B$2))</f>
        <v>0.1091703057</v>
      </c>
      <c r="T12" s="30">
        <f>IF(Matrix_Waktu!T12="",0,1/(Matrix_Waktu!T12^Matrix_Bobot!$B$1*(1+Matrix_Transit!T12)^Matrix_Bobot!$B$2))</f>
        <v>0.04705882355</v>
      </c>
      <c r="U12" s="30">
        <f>IF(Matrix_Waktu!U12="",0,1/(Matrix_Waktu!U12^Matrix_Bobot!$B$1*(1+Matrix_Transit!U12)^Matrix_Bobot!$B$2))</f>
        <v>0.1666666667</v>
      </c>
      <c r="V12" s="30">
        <f>IF(Matrix_Waktu!V12="",0,1/(Matrix_Waktu!V12^Matrix_Bobot!$B$1*(1+Matrix_Transit!V12)^Matrix_Bobot!$B$2))</f>
        <v>0.1199040767</v>
      </c>
      <c r="W12" s="30">
        <f>IF(Matrix_Waktu!W12="",0,1/(Matrix_Waktu!W12^Matrix_Bobot!$B$1*(1+Matrix_Transit!W12)^Matrix_Bobot!$B$2))</f>
        <v>0.1052631579</v>
      </c>
      <c r="X12" s="30">
        <f>IF(Matrix_Waktu!X12="",0,1/(Matrix_Waktu!X12^Matrix_Bobot!$B$1*(1+Matrix_Transit!X12)^Matrix_Bobot!$B$2))</f>
        <v>0.07692307692</v>
      </c>
      <c r="Y12" s="30">
        <f>IF(Matrix_Waktu!Y12="",0,1/(Matrix_Waktu!Y12^Matrix_Bobot!$B$1*(1+Matrix_Transit!Y12)^Matrix_Bobot!$B$2))</f>
        <v>0.01339046599</v>
      </c>
      <c r="Z12" s="30">
        <f>IF(Matrix_Waktu!Z12="",0,1/(Matrix_Waktu!Z12^Matrix_Bobot!$B$1*(1+Matrix_Transit!Z12)^Matrix_Bobot!$B$2))</f>
        <v>0.04616805171</v>
      </c>
      <c r="AA12" s="30">
        <f>IF(Matrix_Waktu!AA12="",0,1/(Matrix_Waktu!AA12^Matrix_Bobot!$B$1*(1+Matrix_Transit!AA12)^Matrix_Bobot!$B$2))</f>
        <v>0.04108463435</v>
      </c>
      <c r="AB12" s="30">
        <f>IF(Matrix_Waktu!AB12="",0,1/(Matrix_Waktu!AB12^Matrix_Bobot!$B$1*(1+Matrix_Transit!AB12)^Matrix_Bobot!$B$2))</f>
        <v>0.1091703057</v>
      </c>
      <c r="AC12" s="30">
        <f>IF(Matrix_Waktu!AC12="",0,1/(Matrix_Waktu!AC12^Matrix_Bobot!$B$1*(1+Matrix_Transit!AC12)^Matrix_Bobot!$B$2))</f>
        <v>0.08</v>
      </c>
      <c r="AD12" s="30">
        <f>IF(Matrix_Waktu!AD12="",0,1/(Matrix_Waktu!AD12^Matrix_Bobot!$B$1*(1+Matrix_Transit!AD12)^Matrix_Bobot!$B$2))</f>
        <v>0.03351206434</v>
      </c>
      <c r="AE12" s="30">
        <f>IF(Matrix_Waktu!AE12="",0,1/(Matrix_Waktu!AE12^Matrix_Bobot!$B$1*(1+Matrix_Transit!AE12)^Matrix_Bobot!$B$2))</f>
        <v>0.0331491786</v>
      </c>
      <c r="AF12" s="30">
        <f>IF(Matrix_Waktu!AF12="",0,1/(Matrix_Waktu!AF12^Matrix_Bobot!$B$1*(1+Matrix_Transit!AF12)^Matrix_Bobot!$B$2))</f>
        <v>0.04615526632</v>
      </c>
      <c r="AG12" s="30">
        <f>IF(Matrix_Waktu!AG12="",0,1/(Matrix_Waktu!AG12^Matrix_Bobot!$B$1*(1+Matrix_Transit!AG12)^Matrix_Bobot!$B$2))</f>
        <v>0.03846153846</v>
      </c>
      <c r="AH12" s="30">
        <f>IF(Matrix_Waktu!AH12="",0,1/(Matrix_Waktu!AH12^Matrix_Bobot!$B$1*(1+Matrix_Transit!AH12)^Matrix_Bobot!$B$2))</f>
        <v>0.04378283713</v>
      </c>
      <c r="AI12" s="30">
        <f>IF(Matrix_Waktu!AI12="",0,1/(Matrix_Waktu!AI12^Matrix_Bobot!$B$1*(1+Matrix_Transit!AI12)^Matrix_Bobot!$B$2))</f>
        <v>0.03052503053</v>
      </c>
      <c r="AJ12" s="33">
        <f t="shared" si="1"/>
        <v>4.511082887</v>
      </c>
    </row>
    <row r="13" ht="14.25" customHeight="1">
      <c r="A13" s="22" t="s">
        <v>28</v>
      </c>
      <c r="B13" s="30">
        <f>IF(Matrix_Waktu!B13="",0,1/(Matrix_Waktu!B13^Matrix_Bobot!$B$1*(1+Matrix_Transit!B13)^Matrix_Bobot!$B$2))</f>
        <v>0.01041666667</v>
      </c>
      <c r="C13" s="30">
        <f>IF(Matrix_Waktu!C13="",0,1/(Matrix_Waktu!C13^Matrix_Bobot!$B$1*(1+Matrix_Transit!C13)^Matrix_Bobot!$B$2))</f>
        <v>0.08445945946</v>
      </c>
      <c r="D13" s="30">
        <f>IF(Matrix_Waktu!D13="",0,1/(Matrix_Waktu!D13^Matrix_Bobot!$B$1*(1+Matrix_Transit!D13)^Matrix_Bobot!$B$2))</f>
        <v>0.1</v>
      </c>
      <c r="E13" s="30">
        <f>IF(Matrix_Waktu!E13="",0,1/(Matrix_Waktu!E13^Matrix_Bobot!$B$1*(1+Matrix_Transit!E13)^Matrix_Bobot!$B$2))</f>
        <v>0.08445945946</v>
      </c>
      <c r="F13" s="30">
        <f>IF(Matrix_Waktu!F13="",0,1/(Matrix_Waktu!F13^Matrix_Bobot!$B$1*(1+Matrix_Transit!F13)^Matrix_Bobot!$B$2))</f>
        <v>0.1</v>
      </c>
      <c r="G13" s="30">
        <f>IF(Matrix_Waktu!G13="",0,1/(Matrix_Waktu!G13^Matrix_Bobot!$B$1*(1+Matrix_Transit!G13)^Matrix_Bobot!$B$2))</f>
        <v>0.1818181818</v>
      </c>
      <c r="H13" s="30">
        <f>IF(Matrix_Waktu!H13="",0,1/(Matrix_Waktu!H13^Matrix_Bobot!$B$1*(1+Matrix_Transit!H13)^Matrix_Bobot!$B$2))</f>
        <v>0.09842519685</v>
      </c>
      <c r="I13" s="30">
        <f>IF(Matrix_Waktu!I13="",0,1/(Matrix_Waktu!I13^Matrix_Bobot!$B$1*(1+Matrix_Transit!I13)^Matrix_Bobot!$B$2))</f>
        <v>0.125</v>
      </c>
      <c r="J13" s="30">
        <f>IF(Matrix_Waktu!J13="",0,1/(Matrix_Waktu!J13^Matrix_Bobot!$B$1*(1+Matrix_Transit!J13)^Matrix_Bobot!$B$2))</f>
        <v>0.3333333333</v>
      </c>
      <c r="K13" s="28">
        <v>0.0</v>
      </c>
      <c r="L13" s="30">
        <f>IF(Matrix_Waktu!L13="",0,1/(Matrix_Waktu!L13^Matrix_Bobot!$B$1*(1+Matrix_Transit!L13)^Matrix_Bobot!$B$2))</f>
        <v>0.5999988</v>
      </c>
      <c r="M13" s="30">
        <f>IF(Matrix_Waktu!M13="",0,1/(Matrix_Waktu!M13^Matrix_Bobot!$B$1*(1+Matrix_Transit!M13)^Matrix_Bobot!$B$2))</f>
        <v>0</v>
      </c>
      <c r="N13" s="30">
        <f>IF(Matrix_Waktu!N13="",0,1/(Matrix_Waktu!N13^Matrix_Bobot!$B$1*(1+Matrix_Transit!N13)^Matrix_Bobot!$B$2))</f>
        <v>0.5</v>
      </c>
      <c r="O13" s="30">
        <f>IF(Matrix_Waktu!O13="",0,1/(Matrix_Waktu!O13^Matrix_Bobot!$B$1*(1+Matrix_Transit!O13)^Matrix_Bobot!$B$2))</f>
        <v>0.4444444444</v>
      </c>
      <c r="P13" s="30">
        <f>IF(Matrix_Waktu!P13="",0,1/(Matrix_Waktu!P13^Matrix_Bobot!$B$1*(1+Matrix_Transit!P13)^Matrix_Bobot!$B$2))</f>
        <v>0.1199040767</v>
      </c>
      <c r="Q13" s="30">
        <f>IF(Matrix_Waktu!Q13="",0,1/(Matrix_Waktu!Q13^Matrix_Bobot!$B$1*(1+Matrix_Transit!Q13)^Matrix_Bobot!$B$2))</f>
        <v>0</v>
      </c>
      <c r="R13" s="30">
        <f>IF(Matrix_Waktu!R13="",0,1/(Matrix_Waktu!R13^Matrix_Bobot!$B$1*(1+Matrix_Transit!R13)^Matrix_Bobot!$B$2))</f>
        <v>0.101692778</v>
      </c>
      <c r="S13" s="30">
        <f>IF(Matrix_Waktu!S13="",0,1/(Matrix_Waktu!S13^Matrix_Bobot!$B$1*(1+Matrix_Transit!S13)^Matrix_Bobot!$B$2))</f>
        <v>0.1131221719</v>
      </c>
      <c r="T13" s="30">
        <f>IF(Matrix_Waktu!T13="",0,1/(Matrix_Waktu!T13^Matrix_Bobot!$B$1*(1+Matrix_Transit!T13)^Matrix_Bobot!$B$2))</f>
        <v>0.07062146893</v>
      </c>
      <c r="U13" s="30">
        <f>IF(Matrix_Waktu!U13="",0,1/(Matrix_Waktu!U13^Matrix_Bobot!$B$1*(1+Matrix_Transit!U13)^Matrix_Bobot!$B$2))</f>
        <v>0.8</v>
      </c>
      <c r="V13" s="30">
        <f>IF(Matrix_Waktu!V13="",0,1/(Matrix_Waktu!V13^Matrix_Bobot!$B$1*(1+Matrix_Transit!V13)^Matrix_Bobot!$B$2))</f>
        <v>0.1091703057</v>
      </c>
      <c r="W13" s="30">
        <f>IF(Matrix_Waktu!W13="",0,1/(Matrix_Waktu!W13^Matrix_Bobot!$B$1*(1+Matrix_Transit!W13)^Matrix_Bobot!$B$2))</f>
        <v>0.8</v>
      </c>
      <c r="X13" s="30">
        <f>IF(Matrix_Waktu!X13="",0,1/(Matrix_Waktu!X13^Matrix_Bobot!$B$1*(1+Matrix_Transit!X13)^Matrix_Bobot!$B$2))</f>
        <v>0.08571428576</v>
      </c>
      <c r="Y13" s="30">
        <f>IF(Matrix_Waktu!Y13="",0,1/(Matrix_Waktu!Y13^Matrix_Bobot!$B$1*(1+Matrix_Transit!Y13)^Matrix_Bobot!$B$2))</f>
        <v>0.04918065036</v>
      </c>
      <c r="Z13" s="30">
        <f>IF(Matrix_Waktu!Z13="",0,1/(Matrix_Waktu!Z13^Matrix_Bobot!$B$1*(1+Matrix_Transit!Z13)^Matrix_Bobot!$B$2))</f>
        <v>0.07788161994</v>
      </c>
      <c r="AA13" s="30">
        <f>IF(Matrix_Waktu!AA13="",0,1/(Matrix_Waktu!AA13^Matrix_Bobot!$B$1*(1+Matrix_Transit!AA13)^Matrix_Bobot!$B$2))</f>
        <v>0.06976750676</v>
      </c>
      <c r="AB13" s="30">
        <f>IF(Matrix_Waktu!AB13="",0,1/(Matrix_Waktu!AB13^Matrix_Bobot!$B$1*(1+Matrix_Transit!AB13)^Matrix_Bobot!$B$2))</f>
        <v>0.09523809524</v>
      </c>
      <c r="AC13" s="30">
        <f>IF(Matrix_Waktu!AC13="",0,1/(Matrix_Waktu!AC13^Matrix_Bobot!$B$1*(1+Matrix_Transit!AC13)^Matrix_Bobot!$B$2))</f>
        <v>0.08695652174</v>
      </c>
      <c r="AD13" s="30">
        <f>IF(Matrix_Waktu!AD13="",0,1/(Matrix_Waktu!AD13^Matrix_Bobot!$B$1*(1+Matrix_Transit!AD13)^Matrix_Bobot!$B$2))</f>
        <v>0.04285738776</v>
      </c>
      <c r="AE13" s="30">
        <f>IF(Matrix_Waktu!AE13="",0,1/(Matrix_Waktu!AE13^Matrix_Bobot!$B$1*(1+Matrix_Transit!AE13)^Matrix_Bobot!$B$2))</f>
        <v>0.02580645294</v>
      </c>
      <c r="AF13" s="30">
        <f>IF(Matrix_Waktu!AF13="",0,1/(Matrix_Waktu!AF13^Matrix_Bobot!$B$1*(1+Matrix_Transit!AF13)^Matrix_Bobot!$B$2))</f>
        <v>0.0625</v>
      </c>
      <c r="AG13" s="30">
        <f>IF(Matrix_Waktu!AG13="",0,1/(Matrix_Waktu!AG13^Matrix_Bobot!$B$1*(1+Matrix_Transit!AG13)^Matrix_Bobot!$B$2))</f>
        <v>0.04615398817</v>
      </c>
      <c r="AH13" s="30">
        <f>IF(Matrix_Waktu!AH13="",0,1/(Matrix_Waktu!AH13^Matrix_Bobot!$B$1*(1+Matrix_Transit!AH13)^Matrix_Bobot!$B$2))</f>
        <v>0.04687045942</v>
      </c>
      <c r="AI13" s="30">
        <f>IF(Matrix_Waktu!AI13="",0,1/(Matrix_Waktu!AI13^Matrix_Bobot!$B$1*(1+Matrix_Transit!AI13)^Matrix_Bobot!$B$2))</f>
        <v>0.04616805171</v>
      </c>
      <c r="AJ13" s="33">
        <f t="shared" si="1"/>
        <v>5.511961363</v>
      </c>
    </row>
    <row r="14" ht="14.25" customHeight="1">
      <c r="A14" s="22" t="s">
        <v>31</v>
      </c>
      <c r="B14" s="30">
        <f>IF(Matrix_Waktu!B14="",0,1/(Matrix_Waktu!B14^Matrix_Bobot!$B$1*(1+Matrix_Transit!B14)^Matrix_Bobot!$B$2))</f>
        <v>0.3427274939</v>
      </c>
      <c r="C14" s="30">
        <f>IF(Matrix_Waktu!C14="",0,1/(Matrix_Waktu!C14^Matrix_Bobot!$B$1*(1+Matrix_Transit!C14)^Matrix_Bobot!$B$2))</f>
        <v>0.2066115702</v>
      </c>
      <c r="D14" s="30">
        <f>IF(Matrix_Waktu!D14="",0,1/(Matrix_Waktu!D14^Matrix_Bobot!$B$1*(1+Matrix_Transit!D14)^Matrix_Bobot!$B$2))</f>
        <v>0.5464480874</v>
      </c>
      <c r="E14" s="30">
        <f>IF(Matrix_Waktu!E14="",0,1/(Matrix_Waktu!E14^Matrix_Bobot!$B$1*(1+Matrix_Transit!E14)^Matrix_Bobot!$B$2))</f>
        <v>0.2857142857</v>
      </c>
      <c r="F14" s="30">
        <f>IF(Matrix_Waktu!F14="",0,1/(Matrix_Waktu!F14^Matrix_Bobot!$B$1*(1+Matrix_Transit!F14)^Matrix_Bobot!$B$2))</f>
        <v>0.3759398496</v>
      </c>
      <c r="G14" s="30">
        <f>IF(Matrix_Waktu!G14="",0,1/(Matrix_Waktu!G14^Matrix_Bobot!$B$1*(1+Matrix_Transit!G14)^Matrix_Bobot!$B$2))</f>
        <v>0.4284490146</v>
      </c>
      <c r="H14" s="30">
        <f>IF(Matrix_Waktu!H14="",0,1/(Matrix_Waktu!H14^Matrix_Bobot!$B$1*(1+Matrix_Transit!H14)^Matrix_Bobot!$B$2))</f>
        <v>0.7518796992</v>
      </c>
      <c r="I14" s="30">
        <f>IF(Matrix_Waktu!I14="",0,1/(Matrix_Waktu!I14^Matrix_Bobot!$B$1*(1+Matrix_Transit!I14)^Matrix_Bobot!$B$2))</f>
        <v>1.333333333</v>
      </c>
      <c r="J14" s="30">
        <f>IF(Matrix_Waktu!J14="",0,1/(Matrix_Waktu!J14^Matrix_Bobot!$B$1*(1+Matrix_Transit!J14)^Matrix_Bobot!$B$2))</f>
        <v>0.4273504274</v>
      </c>
      <c r="K14" s="30">
        <f>IF(Matrix_Waktu!K14="",0,1/(Matrix_Waktu!K14^Matrix_Bobot!$B$1*(1+Matrix_Transit!K14)^Matrix_Bobot!$B$2))</f>
        <v>0.5999988</v>
      </c>
      <c r="L14" s="28">
        <v>0.0</v>
      </c>
      <c r="M14" s="30">
        <f>IF(Matrix_Waktu!M14="",0,1/(Matrix_Waktu!M14^Matrix_Bobot!$B$1*(1+Matrix_Transit!M14)^Matrix_Bobot!$B$2))</f>
        <v>0.3333333333</v>
      </c>
      <c r="N14" s="30">
        <f>IF(Matrix_Waktu!N14="",0,1/(Matrix_Waktu!N14^Matrix_Bobot!$B$1*(1+Matrix_Transit!N14)^Matrix_Bobot!$B$2))</f>
        <v>0.8620689655</v>
      </c>
      <c r="O14" s="30">
        <f>IF(Matrix_Waktu!O14="",0,1/(Matrix_Waktu!O14^Matrix_Bobot!$B$1*(1+Matrix_Transit!O14)^Matrix_Bobot!$B$2))</f>
        <v>0.8620689655</v>
      </c>
      <c r="P14" s="30">
        <f>IF(Matrix_Waktu!P14="",0,1/(Matrix_Waktu!P14^Matrix_Bobot!$B$1*(1+Matrix_Transit!P14)^Matrix_Bobot!$B$2))</f>
        <v>0.6666666667</v>
      </c>
      <c r="Q14" s="30">
        <f>IF(Matrix_Waktu!Q14="",0,1/(Matrix_Waktu!Q14^Matrix_Bobot!$B$1*(1+Matrix_Transit!Q14)^Matrix_Bobot!$B$2))</f>
        <v>0</v>
      </c>
      <c r="R14" s="30">
        <f>IF(Matrix_Waktu!R14="",0,1/(Matrix_Waktu!R14^Matrix_Bobot!$B$1*(1+Matrix_Transit!R14)^Matrix_Bobot!$B$2))</f>
        <v>0.5464480874</v>
      </c>
      <c r="S14" s="30">
        <f>IF(Matrix_Waktu!S14="",0,1/(Matrix_Waktu!S14^Matrix_Bobot!$B$1*(1+Matrix_Transit!S14)^Matrix_Bobot!$B$2))</f>
        <v>0.5</v>
      </c>
      <c r="T14" s="30">
        <f>IF(Matrix_Waktu!T14="",0,1/(Matrix_Waktu!T14^Matrix_Bobot!$B$1*(1+Matrix_Transit!T14)^Matrix_Bobot!$B$2))</f>
        <v>0.4444444444</v>
      </c>
      <c r="U14" s="30">
        <f>IF(Matrix_Waktu!U14="",0,1/(Matrix_Waktu!U14^Matrix_Bobot!$B$1*(1+Matrix_Transit!U14)^Matrix_Bobot!$B$2))</f>
        <v>0.7042253521</v>
      </c>
      <c r="V14" s="30">
        <f>IF(Matrix_Waktu!V14="",0,1/(Matrix_Waktu!V14^Matrix_Bobot!$B$1*(1+Matrix_Transit!V14)^Matrix_Bobot!$B$2))</f>
        <v>0.5714285714</v>
      </c>
      <c r="W14" s="30">
        <f>IF(Matrix_Waktu!W14="",0,1/(Matrix_Waktu!W14^Matrix_Bobot!$B$1*(1+Matrix_Transit!W14)^Matrix_Bobot!$B$2))</f>
        <v>0.5464480874</v>
      </c>
      <c r="X14" s="30">
        <f>IF(Matrix_Waktu!X14="",0,1/(Matrix_Waktu!X14^Matrix_Bobot!$B$1*(1+Matrix_Transit!X14)^Matrix_Bobot!$B$2))</f>
        <v>0.4608294931</v>
      </c>
      <c r="Y14" s="30">
        <f>IF(Matrix_Waktu!Y14="",0,1/(Matrix_Waktu!Y14^Matrix_Bobot!$B$1*(1+Matrix_Transit!Y14)^Matrix_Bobot!$B$2))</f>
        <v>0.3533568905</v>
      </c>
      <c r="Z14" s="30">
        <f>IF(Matrix_Waktu!Z14="",0,1/(Matrix_Waktu!Z14^Matrix_Bobot!$B$1*(1+Matrix_Transit!Z14)^Matrix_Bobot!$B$2))</f>
        <v>0.2923976608</v>
      </c>
      <c r="AA14" s="30">
        <f>IF(Matrix_Waktu!AA14="",0,1/(Matrix_Waktu!AA14^Matrix_Bobot!$B$1*(1+Matrix_Transit!AA14)^Matrix_Bobot!$B$2))</f>
        <v>0.1199040767</v>
      </c>
      <c r="AB14" s="30">
        <f>IF(Matrix_Waktu!AB14="",0,1/(Matrix_Waktu!AB14^Matrix_Bobot!$B$1*(1+Matrix_Transit!AB14)^Matrix_Bobot!$B$2))</f>
        <v>0.4291845494</v>
      </c>
      <c r="AC14" s="30">
        <f>IF(Matrix_Waktu!AC14="",0,1/(Matrix_Waktu!AC14^Matrix_Bobot!$B$1*(1+Matrix_Transit!AC14)^Matrix_Bobot!$B$2))</f>
        <v>0.3533568905</v>
      </c>
      <c r="AD14" s="30">
        <f>IF(Matrix_Waktu!AD14="",0,1/(Matrix_Waktu!AD14^Matrix_Bobot!$B$1*(1+Matrix_Transit!AD14)^Matrix_Bobot!$B$2))</f>
        <v>0.3243593902</v>
      </c>
      <c r="AE14" s="30">
        <f>IF(Matrix_Waktu!AE14="",0,1/(Matrix_Waktu!AE14^Matrix_Bobot!$B$1*(1+Matrix_Transit!AE14)^Matrix_Bobot!$B$2))</f>
        <v>0.1070663812</v>
      </c>
      <c r="AF14" s="30">
        <f>IF(Matrix_Waktu!AF14="",0,1/(Matrix_Waktu!AF14^Matrix_Bobot!$B$1*(1+Matrix_Transit!AF14)^Matrix_Bobot!$B$2))</f>
        <v>0.2790957298</v>
      </c>
      <c r="AG14" s="30">
        <f>IF(Matrix_Waktu!AG14="",0,1/(Matrix_Waktu!AG14^Matrix_Bobot!$B$1*(1+Matrix_Transit!AG14)^Matrix_Bobot!$B$2))</f>
        <v>0.272479564</v>
      </c>
      <c r="AH14" s="30">
        <f>IF(Matrix_Waktu!AH14="",0,1/(Matrix_Waktu!AH14^Matrix_Bobot!$B$1*(1+Matrix_Transit!AH14)^Matrix_Bobot!$B$2))</f>
        <v>0.2449179525</v>
      </c>
      <c r="AI14" s="30">
        <f>IF(Matrix_Waktu!AI14="",0,1/(Matrix_Waktu!AI14^Matrix_Bobot!$B$1*(1+Matrix_Transit!AI14)^Matrix_Bobot!$B$2))</f>
        <v>0.1876172608</v>
      </c>
      <c r="AJ14" s="33">
        <f t="shared" si="1"/>
        <v>14.76015087</v>
      </c>
    </row>
    <row r="15" ht="14.25" customHeight="1">
      <c r="A15" s="22" t="s">
        <v>33</v>
      </c>
      <c r="B15" s="30">
        <f>IF(Matrix_Waktu!B15="",0,1/(Matrix_Waktu!B15^Matrix_Bobot!$B$1*(1+Matrix_Transit!B15)^Matrix_Bobot!$B$2))</f>
        <v>0.01606425703</v>
      </c>
      <c r="C15" s="30">
        <f>IF(Matrix_Waktu!C15="",0,1/(Matrix_Waktu!C15^Matrix_Bobot!$B$1*(1+Matrix_Transit!C15)^Matrix_Bobot!$B$2))</f>
        <v>0.3749531309</v>
      </c>
      <c r="D15" s="30">
        <f>IF(Matrix_Waktu!D15="",0,1/(Matrix_Waktu!D15^Matrix_Bobot!$B$1*(1+Matrix_Transit!D15)^Matrix_Bobot!$B$2))</f>
        <v>0.0173910019</v>
      </c>
      <c r="E15" s="30">
        <f>IF(Matrix_Waktu!E15="",0,1/(Matrix_Waktu!E15^Matrix_Bobot!$B$1*(1+Matrix_Transit!E15)^Matrix_Bobot!$B$2))</f>
        <v>0.07898894155</v>
      </c>
      <c r="F15" s="30">
        <f>IF(Matrix_Waktu!F15="",0,1/(Matrix_Waktu!F15^Matrix_Bobot!$B$1*(1+Matrix_Transit!F15)^Matrix_Bobot!$B$2))</f>
        <v>0</v>
      </c>
      <c r="G15" s="30">
        <f>IF(Matrix_Waktu!G15="",0,1/(Matrix_Waktu!G15^Matrix_Bobot!$B$1*(1+Matrix_Transit!G15)^Matrix_Bobot!$B$2))</f>
        <v>0.07692307692</v>
      </c>
      <c r="H15" s="30">
        <f>IF(Matrix_Waktu!H15="",0,1/(Matrix_Waktu!H15^Matrix_Bobot!$B$1*(1+Matrix_Transit!H15)^Matrix_Bobot!$B$2))</f>
        <v>0</v>
      </c>
      <c r="I15" s="30">
        <f>IF(Matrix_Waktu!I15="",0,1/(Matrix_Waktu!I15^Matrix_Bobot!$B$1*(1+Matrix_Transit!I15)^Matrix_Bobot!$B$2))</f>
        <v>0.01498127341</v>
      </c>
      <c r="J15" s="30">
        <f>IF(Matrix_Waktu!J15="",0,1/(Matrix_Waktu!J15^Matrix_Bobot!$B$1*(1+Matrix_Transit!J15)^Matrix_Bobot!$B$2))</f>
        <v>0</v>
      </c>
      <c r="K15" s="30">
        <f>IF(Matrix_Waktu!K15="",0,1/(Matrix_Waktu!K15^Matrix_Bobot!$B$1*(1+Matrix_Transit!K15)^Matrix_Bobot!$B$2))</f>
        <v>0</v>
      </c>
      <c r="L15" s="30">
        <f>IF(Matrix_Waktu!L15="",0,1/(Matrix_Waktu!L15^Matrix_Bobot!$B$1*(1+Matrix_Transit!L15)^Matrix_Bobot!$B$2))</f>
        <v>0.3333333333</v>
      </c>
      <c r="M15" s="28">
        <v>0.0</v>
      </c>
      <c r="N15" s="30">
        <f>IF(Matrix_Waktu!N15="",0,1/(Matrix_Waktu!N15^Matrix_Bobot!$B$1*(1+Matrix_Transit!N15)^Matrix_Bobot!$B$2))</f>
        <v>0</v>
      </c>
      <c r="O15" s="30">
        <f>IF(Matrix_Waktu!O15="",0,1/(Matrix_Waktu!O15^Matrix_Bobot!$B$1*(1+Matrix_Transit!O15)^Matrix_Bobot!$B$2))</f>
        <v>0</v>
      </c>
      <c r="P15" s="30">
        <f>IF(Matrix_Waktu!P15="",0,1/(Matrix_Waktu!P15^Matrix_Bobot!$B$1*(1+Matrix_Transit!P15)^Matrix_Bobot!$B$2))</f>
        <v>0.5988023952</v>
      </c>
      <c r="Q15" s="30">
        <f>IF(Matrix_Waktu!Q15="",0,1/(Matrix_Waktu!Q15^Matrix_Bobot!$B$1*(1+Matrix_Transit!Q15)^Matrix_Bobot!$B$2))</f>
        <v>0</v>
      </c>
      <c r="R15" s="30">
        <f>IF(Matrix_Waktu!R15="",0,1/(Matrix_Waktu!R15^Matrix_Bobot!$B$1*(1+Matrix_Transit!R15)^Matrix_Bobot!$B$2))</f>
        <v>0.5714285714</v>
      </c>
      <c r="S15" s="30">
        <f>IF(Matrix_Waktu!S15="",0,1/(Matrix_Waktu!S15^Matrix_Bobot!$B$1*(1+Matrix_Transit!S15)^Matrix_Bobot!$B$2))</f>
        <v>0.09140767824</v>
      </c>
      <c r="T15" s="30">
        <f>IF(Matrix_Waktu!T15="",0,1/(Matrix_Waktu!T15^Matrix_Bobot!$B$1*(1+Matrix_Transit!T15)^Matrix_Bobot!$B$2))</f>
        <v>0.08333333333</v>
      </c>
      <c r="U15" s="30">
        <f>IF(Matrix_Waktu!U15="",0,1/(Matrix_Waktu!U15^Matrix_Bobot!$B$1*(1+Matrix_Transit!U15)^Matrix_Bobot!$B$2))</f>
        <v>0.01777777778</v>
      </c>
      <c r="V15" s="30">
        <f>IF(Matrix_Waktu!V15="",0,1/(Matrix_Waktu!V15^Matrix_Bobot!$B$1*(1+Matrix_Transit!V15)^Matrix_Bobot!$B$2))</f>
        <v>0</v>
      </c>
      <c r="W15" s="30">
        <f>IF(Matrix_Waktu!W15="",0,1/(Matrix_Waktu!W15^Matrix_Bobot!$B$1*(1+Matrix_Transit!W15)^Matrix_Bobot!$B$2))</f>
        <v>0.09090909091</v>
      </c>
      <c r="X15" s="30">
        <f>IF(Matrix_Waktu!X15="",0,1/(Matrix_Waktu!X15^Matrix_Bobot!$B$1*(1+Matrix_Transit!X15)^Matrix_Bobot!$B$2))</f>
        <v>0.4608294931</v>
      </c>
      <c r="Y15" s="30">
        <f>IF(Matrix_Waktu!Y15="",0,1/(Matrix_Waktu!Y15^Matrix_Bobot!$B$1*(1+Matrix_Transit!Y15)^Matrix_Bobot!$B$2))</f>
        <v>0</v>
      </c>
      <c r="Z15" s="30">
        <f>IF(Matrix_Waktu!Z15="",0,1/(Matrix_Waktu!Z15^Matrix_Bobot!$B$1*(1+Matrix_Transit!Z15)^Matrix_Bobot!$B$2))</f>
        <v>0.03958828187</v>
      </c>
      <c r="AA15" s="30">
        <f>IF(Matrix_Waktu!AA15="",0,1/(Matrix_Waktu!AA15^Matrix_Bobot!$B$1*(1+Matrix_Transit!AA15)^Matrix_Bobot!$B$2))</f>
        <v>0</v>
      </c>
      <c r="AB15" s="30">
        <f>IF(Matrix_Waktu!AB15="",0,1/(Matrix_Waktu!AB15^Matrix_Bobot!$B$1*(1+Matrix_Transit!AB15)^Matrix_Bobot!$B$2))</f>
        <v>0.07225433526</v>
      </c>
      <c r="AC15" s="30">
        <f>IF(Matrix_Waktu!AC15="",0,1/(Matrix_Waktu!AC15^Matrix_Bobot!$B$1*(1+Matrix_Transit!AC15)^Matrix_Bobot!$B$2))</f>
        <v>0.01209482342</v>
      </c>
      <c r="AD15" s="30">
        <f>IF(Matrix_Waktu!AD15="",0,1/(Matrix_Waktu!AD15^Matrix_Bobot!$B$1*(1+Matrix_Transit!AD15)^Matrix_Bobot!$B$2))</f>
        <v>0.01770224819</v>
      </c>
      <c r="AE15" s="30">
        <f>IF(Matrix_Waktu!AE15="",0,1/(Matrix_Waktu!AE15^Matrix_Bobot!$B$1*(1+Matrix_Transit!AE15)^Matrix_Bobot!$B$2))</f>
        <v>0.01083048131</v>
      </c>
      <c r="AF15" s="30">
        <f>IF(Matrix_Waktu!AF15="",0,1/(Matrix_Waktu!AF15^Matrix_Bobot!$B$1*(1+Matrix_Transit!AF15)^Matrix_Bobot!$B$2))</f>
        <v>0.02531004809</v>
      </c>
      <c r="AG15" s="30">
        <f>IF(Matrix_Waktu!AG15="",0,1/(Matrix_Waktu!AG15^Matrix_Bobot!$B$1*(1+Matrix_Transit!AG15)^Matrix_Bobot!$B$2))</f>
        <v>0.02093802345</v>
      </c>
      <c r="AH15" s="30">
        <f>IF(Matrix_Waktu!AH15="",0,1/(Matrix_Waktu!AH15^Matrix_Bobot!$B$1*(1+Matrix_Transit!AH15)^Matrix_Bobot!$B$2))</f>
        <v>0.02531004809</v>
      </c>
      <c r="AI15" s="30">
        <f>IF(Matrix_Waktu!AI15="",0,1/(Matrix_Waktu!AI15^Matrix_Bobot!$B$1*(1+Matrix_Transit!AI15)^Matrix_Bobot!$B$2))</f>
        <v>0.0251572327</v>
      </c>
      <c r="AJ15" s="33">
        <f t="shared" si="1"/>
        <v>3.076308877</v>
      </c>
    </row>
    <row r="16" ht="14.25" customHeight="1">
      <c r="A16" s="22" t="s">
        <v>37</v>
      </c>
      <c r="B16" s="30">
        <f>IF(Matrix_Waktu!B16="",0,1/(Matrix_Waktu!B16^Matrix_Bobot!$B$1*(1+Matrix_Transit!B16)^Matrix_Bobot!$B$2))</f>
        <v>0.09836072024</v>
      </c>
      <c r="C16" s="30">
        <f>IF(Matrix_Waktu!C16="",0,1/(Matrix_Waktu!C16^Matrix_Bobot!$B$1*(1+Matrix_Transit!C16)^Matrix_Bobot!$B$2))</f>
        <v>0.1</v>
      </c>
      <c r="D16" s="30">
        <f>IF(Matrix_Waktu!D16="",0,1/(Matrix_Waktu!D16^Matrix_Bobot!$B$1*(1+Matrix_Transit!D16)^Matrix_Bobot!$B$2))</f>
        <v>0.1304461258</v>
      </c>
      <c r="E16" s="30">
        <f>IF(Matrix_Waktu!E16="",0,1/(Matrix_Waktu!E16^Matrix_Bobot!$B$1*(1+Matrix_Transit!E16)^Matrix_Bobot!$B$2))</f>
        <v>0.1016260163</v>
      </c>
      <c r="F16" s="30">
        <f>IF(Matrix_Waktu!F16="",0,1/(Matrix_Waktu!F16^Matrix_Bobot!$B$1*(1+Matrix_Transit!F16)^Matrix_Bobot!$B$2))</f>
        <v>0.1578781181</v>
      </c>
      <c r="G16" s="30">
        <f>IF(Matrix_Waktu!G16="",0,1/(Matrix_Waktu!G16^Matrix_Bobot!$B$1*(1+Matrix_Transit!G16)^Matrix_Bobot!$B$2))</f>
        <v>0.1666666667</v>
      </c>
      <c r="H16" s="30">
        <f>IF(Matrix_Waktu!H16="",0,1/(Matrix_Waktu!H16^Matrix_Bobot!$B$1*(1+Matrix_Transit!H16)^Matrix_Bobot!$B$2))</f>
        <v>0.1501501502</v>
      </c>
      <c r="I16" s="30">
        <f>IF(Matrix_Waktu!I16="",0,1/(Matrix_Waktu!I16^Matrix_Bobot!$B$1*(1+Matrix_Transit!I16)^Matrix_Bobot!$B$2))</f>
        <v>0.1154734411</v>
      </c>
      <c r="J16" s="30">
        <f>IF(Matrix_Waktu!J16="",0,1/(Matrix_Waktu!J16^Matrix_Bobot!$B$1*(1+Matrix_Transit!J16)^Matrix_Bobot!$B$2))</f>
        <v>0.1577287066</v>
      </c>
      <c r="K16" s="30">
        <f>IF(Matrix_Waktu!K16="",0,1/(Matrix_Waktu!K16^Matrix_Bobot!$B$1*(1+Matrix_Transit!K16)^Matrix_Bobot!$B$2))</f>
        <v>0.5</v>
      </c>
      <c r="L16" s="30">
        <f>IF(Matrix_Waktu!L16="",0,1/(Matrix_Waktu!L16^Matrix_Bobot!$B$1*(1+Matrix_Transit!L16)^Matrix_Bobot!$B$2))</f>
        <v>0.8620689655</v>
      </c>
      <c r="M16" s="30">
        <f>IF(Matrix_Waktu!M16="",0,1/(Matrix_Waktu!M16^Matrix_Bobot!$B$1*(1+Matrix_Transit!M16)^Matrix_Bobot!$B$2))</f>
        <v>0</v>
      </c>
      <c r="N16" s="28">
        <v>0.0</v>
      </c>
      <c r="O16" s="30">
        <f>IF(Matrix_Waktu!O16="",0,1/(Matrix_Waktu!O16^Matrix_Bobot!$B$1*(1+Matrix_Transit!O16)^Matrix_Bobot!$B$2))</f>
        <v>0.1428571429</v>
      </c>
      <c r="P16" s="30">
        <f>IF(Matrix_Waktu!P16="",0,1/(Matrix_Waktu!P16^Matrix_Bobot!$B$1*(1+Matrix_Transit!P16)^Matrix_Bobot!$B$2))</f>
        <v>0.8547008547</v>
      </c>
      <c r="Q16" s="30">
        <f>IF(Matrix_Waktu!Q16="",0,1/(Matrix_Waktu!Q16^Matrix_Bobot!$B$1*(1+Matrix_Transit!Q16)^Matrix_Bobot!$B$2))</f>
        <v>0</v>
      </c>
      <c r="R16" s="30">
        <f>IF(Matrix_Waktu!R16="",0,1/(Matrix_Waktu!R16^Matrix_Bobot!$B$1*(1+Matrix_Transit!R16)^Matrix_Bobot!$B$2))</f>
        <v>0.8</v>
      </c>
      <c r="S16" s="30">
        <f>IF(Matrix_Waktu!S16="",0,1/(Matrix_Waktu!S16^Matrix_Bobot!$B$1*(1+Matrix_Transit!S16)^Matrix_Bobot!$B$2))</f>
        <v>0.1305483029</v>
      </c>
      <c r="T16" s="30">
        <f>IF(Matrix_Waktu!T16="",0,1/(Matrix_Waktu!T16^Matrix_Bobot!$B$1*(1+Matrix_Transit!T16)^Matrix_Bobot!$B$2))</f>
        <v>0.1035196687</v>
      </c>
      <c r="U16" s="30">
        <f>IF(Matrix_Waktu!U16="",0,1/(Matrix_Waktu!U16^Matrix_Bobot!$B$1*(1+Matrix_Transit!U16)^Matrix_Bobot!$B$2))</f>
        <v>0.6666666667</v>
      </c>
      <c r="V16" s="30">
        <f>IF(Matrix_Waktu!V16="",0,1/(Matrix_Waktu!V16^Matrix_Bobot!$B$1*(1+Matrix_Transit!V16)^Matrix_Bobot!$B$2))</f>
        <v>0.7518796992</v>
      </c>
      <c r="W16" s="30">
        <f>IF(Matrix_Waktu!W16="",0,1/(Matrix_Waktu!W16^Matrix_Bobot!$B$1*(1+Matrix_Transit!W16)^Matrix_Bobot!$B$2))</f>
        <v>0.8</v>
      </c>
      <c r="X16" s="30">
        <f>IF(Matrix_Waktu!X16="",0,1/(Matrix_Waktu!X16^Matrix_Bobot!$B$1*(1+Matrix_Transit!X16)^Matrix_Bobot!$B$2))</f>
        <v>0.5714285714</v>
      </c>
      <c r="Y16" s="30">
        <f>IF(Matrix_Waktu!Y16="",0,1/(Matrix_Waktu!Y16^Matrix_Bobot!$B$1*(1+Matrix_Transit!Y16)^Matrix_Bobot!$B$2))</f>
        <v>0.1224589762</v>
      </c>
      <c r="Z16" s="30">
        <f>IF(Matrix_Waktu!Z16="",0,1/(Matrix_Waktu!Z16^Matrix_Bobot!$B$1*(1+Matrix_Transit!Z16)^Matrix_Bobot!$B$2))</f>
        <v>0.08818342152</v>
      </c>
      <c r="AA16" s="30">
        <f>IF(Matrix_Waktu!AA16="",0,1/(Matrix_Waktu!AA16^Matrix_Bobot!$B$1*(1+Matrix_Transit!AA16)^Matrix_Bobot!$B$2))</f>
        <v>0.04816955684</v>
      </c>
      <c r="AB16" s="30">
        <f>IF(Matrix_Waktu!AB16="",0,1/(Matrix_Waktu!AB16^Matrix_Bobot!$B$1*(1+Matrix_Transit!AB16)^Matrix_Bobot!$B$2))</f>
        <v>0.5714285714</v>
      </c>
      <c r="AC16" s="30">
        <f>IF(Matrix_Waktu!AC16="",0,1/(Matrix_Waktu!AC16^Matrix_Bobot!$B$1*(1+Matrix_Transit!AC16)^Matrix_Bobot!$B$2))</f>
        <v>0.07898894155</v>
      </c>
      <c r="AD16" s="30">
        <f>IF(Matrix_Waktu!AD16="",0,1/(Matrix_Waktu!AD16^Matrix_Bobot!$B$1*(1+Matrix_Transit!AD16)^Matrix_Bobot!$B$2))</f>
        <v>0.04476275739</v>
      </c>
      <c r="AE16" s="30">
        <f>IF(Matrix_Waktu!AE16="",0,1/(Matrix_Waktu!AE16^Matrix_Bobot!$B$1*(1+Matrix_Transit!AE16)^Matrix_Bobot!$B$2))</f>
        <v>0.04208754209</v>
      </c>
      <c r="AF16" s="30">
        <f>IF(Matrix_Waktu!AF16="",0,1/(Matrix_Waktu!AF16^Matrix_Bobot!$B$1*(1+Matrix_Transit!AF16)^Matrix_Bobot!$B$2))</f>
        <v>0.08</v>
      </c>
      <c r="AG16" s="30">
        <f>IF(Matrix_Waktu!AG16="",0,1/(Matrix_Waktu!AG16^Matrix_Bobot!$B$1*(1+Matrix_Transit!AG16)^Matrix_Bobot!$B$2))</f>
        <v>0.03360215054</v>
      </c>
      <c r="AH16" s="30">
        <f>IF(Matrix_Waktu!AH16="",0,1/(Matrix_Waktu!AH16^Matrix_Bobot!$B$1*(1+Matrix_Transit!AH16)^Matrix_Bobot!$B$2))</f>
        <v>0.05714285714</v>
      </c>
      <c r="AI16" s="30">
        <f>IF(Matrix_Waktu!AI16="",0,1/(Matrix_Waktu!AI16^Matrix_Bobot!$B$1*(1+Matrix_Transit!AI16)^Matrix_Bobot!$B$2))</f>
        <v>0.03390979993</v>
      </c>
      <c r="AJ16" s="33">
        <f t="shared" si="1"/>
        <v>8.562734392</v>
      </c>
    </row>
    <row r="17" ht="14.25" customHeight="1">
      <c r="A17" s="22" t="s">
        <v>40</v>
      </c>
      <c r="B17" s="30">
        <f>IF(Matrix_Waktu!B17="",0,1/(Matrix_Waktu!B17^Matrix_Bobot!$B$1*(1+Matrix_Transit!B17)^Matrix_Bobot!$B$2))</f>
        <v>0.09677413111</v>
      </c>
      <c r="C17" s="30">
        <f>IF(Matrix_Waktu!C17="",0,1/(Matrix_Waktu!C17^Matrix_Bobot!$B$1*(1+Matrix_Transit!C17)^Matrix_Bobot!$B$2))</f>
        <v>0.3533568905</v>
      </c>
      <c r="D17" s="30">
        <f>IF(Matrix_Waktu!D17="",0,1/(Matrix_Waktu!D17^Matrix_Bobot!$B$1*(1+Matrix_Transit!D17)^Matrix_Bobot!$B$2))</f>
        <v>0.4444444444</v>
      </c>
      <c r="E17" s="30">
        <f>IF(Matrix_Waktu!E17="",0,1/(Matrix_Waktu!E17^Matrix_Bobot!$B$1*(1+Matrix_Transit!E17)^Matrix_Bobot!$B$2))</f>
        <v>0.1</v>
      </c>
      <c r="F17" s="30">
        <f>IF(Matrix_Waktu!F17="",0,1/(Matrix_Waktu!F17^Matrix_Bobot!$B$1*(1+Matrix_Transit!F17)^Matrix_Bobot!$B$2))</f>
        <v>0.1035196687</v>
      </c>
      <c r="G17" s="30">
        <f>IF(Matrix_Waktu!G17="",0,1/(Matrix_Waktu!G17^Matrix_Bobot!$B$1*(1+Matrix_Transit!G17)^Matrix_Bobot!$B$2))</f>
        <v>0.6329113924</v>
      </c>
      <c r="H17" s="30">
        <f>IF(Matrix_Waktu!H17="",0,1/(Matrix_Waktu!H17^Matrix_Bobot!$B$1*(1+Matrix_Transit!H17)^Matrix_Bobot!$B$2))</f>
        <v>0.136239782</v>
      </c>
      <c r="I17" s="30">
        <f>IF(Matrix_Waktu!I17="",0,1/(Matrix_Waktu!I17^Matrix_Bobot!$B$1*(1+Matrix_Transit!I17)^Matrix_Bobot!$B$2))</f>
        <v>0.1712328767</v>
      </c>
      <c r="J17" s="30">
        <f>IF(Matrix_Waktu!J17="",0,1/(Matrix_Waktu!J17^Matrix_Bobot!$B$1*(1+Matrix_Transit!J17)^Matrix_Bobot!$B$2))</f>
        <v>0.1538461538</v>
      </c>
      <c r="K17" s="30">
        <f>IF(Matrix_Waktu!K17="",0,1/(Matrix_Waktu!K17^Matrix_Bobot!$B$1*(1+Matrix_Transit!K17)^Matrix_Bobot!$B$2))</f>
        <v>0.4444444444</v>
      </c>
      <c r="L17" s="30">
        <f>IF(Matrix_Waktu!L17="",0,1/(Matrix_Waktu!L17^Matrix_Bobot!$B$1*(1+Matrix_Transit!L17)^Matrix_Bobot!$B$2))</f>
        <v>0.8620689655</v>
      </c>
      <c r="M17" s="30">
        <f>IF(Matrix_Waktu!M17="",0,1/(Matrix_Waktu!M17^Matrix_Bobot!$B$1*(1+Matrix_Transit!M17)^Matrix_Bobot!$B$2))</f>
        <v>0</v>
      </c>
      <c r="N17" s="30">
        <f>IF(Matrix_Waktu!N17="",0,1/(Matrix_Waktu!N17^Matrix_Bobot!$B$1*(1+Matrix_Transit!N17)^Matrix_Bobot!$B$2))</f>
        <v>0.1428571429</v>
      </c>
      <c r="O17" s="28">
        <v>0.0</v>
      </c>
      <c r="P17" s="30">
        <f>IF(Matrix_Waktu!P17="",0,1/(Matrix_Waktu!P17^Matrix_Bobot!$B$1*(1+Matrix_Transit!P17)^Matrix_Bobot!$B$2))</f>
        <v>0.1428571429</v>
      </c>
      <c r="Q17" s="30">
        <f>IF(Matrix_Waktu!Q17="",0,1/(Matrix_Waktu!Q17^Matrix_Bobot!$B$1*(1+Matrix_Transit!Q17)^Matrix_Bobot!$B$2))</f>
        <v>0</v>
      </c>
      <c r="R17" s="30">
        <f>IF(Matrix_Waktu!R17="",0,1/(Matrix_Waktu!R17^Matrix_Bobot!$B$1*(1+Matrix_Transit!R17)^Matrix_Bobot!$B$2))</f>
        <v>0.7042253521</v>
      </c>
      <c r="S17" s="30">
        <f>IF(Matrix_Waktu!S17="",0,1/(Matrix_Waktu!S17^Matrix_Bobot!$B$1*(1+Matrix_Transit!S17)^Matrix_Bobot!$B$2))</f>
        <v>0.6666666667</v>
      </c>
      <c r="T17" s="30">
        <f>IF(Matrix_Waktu!T17="",0,1/(Matrix_Waktu!T17^Matrix_Bobot!$B$1*(1+Matrix_Transit!T17)^Matrix_Bobot!$B$2))</f>
        <v>0.1016260163</v>
      </c>
      <c r="U17" s="30">
        <f>IF(Matrix_Waktu!U17="",0,1/(Matrix_Waktu!U17^Matrix_Bobot!$B$1*(1+Matrix_Transit!U17)^Matrix_Bobot!$B$2))</f>
        <v>0.5464480874</v>
      </c>
      <c r="V17" s="30">
        <f>IF(Matrix_Waktu!V17="",0,1/(Matrix_Waktu!V17^Matrix_Bobot!$B$1*(1+Matrix_Transit!V17)^Matrix_Bobot!$B$2))</f>
        <v>0.6317119394</v>
      </c>
      <c r="W17" s="30">
        <f>IF(Matrix_Waktu!W17="",0,1/(Matrix_Waktu!W17^Matrix_Bobot!$B$1*(1+Matrix_Transit!W17)^Matrix_Bobot!$B$2))</f>
        <v>0.6666666667</v>
      </c>
      <c r="X17" s="30">
        <f>IF(Matrix_Waktu!X17="",0,1/(Matrix_Waktu!X17^Matrix_Bobot!$B$1*(1+Matrix_Transit!X17)^Matrix_Bobot!$B$2))</f>
        <v>0.5208333333</v>
      </c>
      <c r="Y17" s="30">
        <f>IF(Matrix_Waktu!Y17="",0,1/(Matrix_Waktu!Y17^Matrix_Bobot!$B$1*(1+Matrix_Transit!Y17)^Matrix_Bobot!$B$2))</f>
        <v>0.1052631579</v>
      </c>
      <c r="Z17" s="30">
        <f>IF(Matrix_Waktu!Z17="",0,1/(Matrix_Waktu!Z17^Matrix_Bobot!$B$1*(1+Matrix_Transit!Z17)^Matrix_Bobot!$B$2))</f>
        <v>0.1070663812</v>
      </c>
      <c r="AA17" s="30">
        <f>IF(Matrix_Waktu!AA17="",0,1/(Matrix_Waktu!AA17^Matrix_Bobot!$B$1*(1+Matrix_Transit!AA17)^Matrix_Bobot!$B$2))</f>
        <v>0.1305483029</v>
      </c>
      <c r="AB17" s="30">
        <f>IF(Matrix_Waktu!AB17="",0,1/(Matrix_Waktu!AB17^Matrix_Bobot!$B$1*(1+Matrix_Transit!AB17)^Matrix_Bobot!$B$2))</f>
        <v>0.5464480874</v>
      </c>
      <c r="AC17" s="30">
        <f>IF(Matrix_Waktu!AC17="",0,1/(Matrix_Waktu!AC17^Matrix_Bobot!$B$1*(1+Matrix_Transit!AC17)^Matrix_Bobot!$B$2))</f>
        <v>0.1395478649</v>
      </c>
      <c r="AD17" s="30">
        <f>IF(Matrix_Waktu!AD17="",0,1/(Matrix_Waktu!AD17^Matrix_Bobot!$B$1*(1+Matrix_Transit!AD17)^Matrix_Bobot!$B$2))</f>
        <v>0.04545454545</v>
      </c>
      <c r="AE17" s="30">
        <f>IF(Matrix_Waktu!AE17="",0,1/(Matrix_Waktu!AE17^Matrix_Bobot!$B$1*(1+Matrix_Transit!AE17)^Matrix_Bobot!$B$2))</f>
        <v>0.1035196687</v>
      </c>
      <c r="AF17" s="30">
        <f>IF(Matrix_Waktu!AF17="",0,1/(Matrix_Waktu!AF17^Matrix_Bobot!$B$1*(1+Matrix_Transit!AF17)^Matrix_Bobot!$B$2))</f>
        <v>0.07692307692</v>
      </c>
      <c r="AG17" s="30">
        <f>IF(Matrix_Waktu!AG17="",0,1/(Matrix_Waktu!AG17^Matrix_Bobot!$B$1*(1+Matrix_Transit!AG17)^Matrix_Bobot!$B$2))</f>
        <v>0.07320644217</v>
      </c>
      <c r="AH17" s="30">
        <f>IF(Matrix_Waktu!AH17="",0,1/(Matrix_Waktu!AH17^Matrix_Bobot!$B$1*(1+Matrix_Transit!AH17)^Matrix_Bobot!$B$2))</f>
        <v>0.0625</v>
      </c>
      <c r="AI17" s="30">
        <f>IF(Matrix_Waktu!AI17="",0,1/(Matrix_Waktu!AI17^Matrix_Bobot!$B$1*(1+Matrix_Transit!AI17)^Matrix_Bobot!$B$2))</f>
        <v>0.06185822096</v>
      </c>
      <c r="AJ17" s="33">
        <f t="shared" si="1"/>
        <v>9.075066846</v>
      </c>
    </row>
    <row r="18" ht="14.25" customHeight="1">
      <c r="A18" s="22" t="s">
        <v>43</v>
      </c>
      <c r="B18" s="30">
        <f>IF(Matrix_Waktu!B18="",0,1/(Matrix_Waktu!B18^Matrix_Bobot!$B$1*(1+Matrix_Transit!B18)^Matrix_Bobot!$B$2))</f>
        <v>0.08450656616</v>
      </c>
      <c r="C18" s="30">
        <f>IF(Matrix_Waktu!C18="",0,1/(Matrix_Waktu!C18^Matrix_Bobot!$B$1*(1+Matrix_Transit!C18)^Matrix_Bobot!$B$2))</f>
        <v>0.3154574132</v>
      </c>
      <c r="D18" s="30">
        <f>IF(Matrix_Waktu!D18="",0,1/(Matrix_Waktu!D18^Matrix_Bobot!$B$1*(1+Matrix_Transit!D18)^Matrix_Bobot!$B$2))</f>
        <v>0.1091703057</v>
      </c>
      <c r="E18" s="30">
        <f>IF(Matrix_Waktu!E18="",0,1/(Matrix_Waktu!E18^Matrix_Bobot!$B$1*(1+Matrix_Transit!E18)^Matrix_Bobot!$B$2))</f>
        <v>0.08</v>
      </c>
      <c r="F18" s="30">
        <f>IF(Matrix_Waktu!F18="",0,1/(Matrix_Waktu!F18^Matrix_Bobot!$B$1*(1+Matrix_Transit!F18)^Matrix_Bobot!$B$2))</f>
        <v>0.1333333333</v>
      </c>
      <c r="G18" s="30">
        <f>IF(Matrix_Waktu!G18="",0,1/(Matrix_Waktu!G18^Matrix_Bobot!$B$1*(1+Matrix_Transit!G18)^Matrix_Bobot!$B$2))</f>
        <v>0.5</v>
      </c>
      <c r="H18" s="30">
        <f>IF(Matrix_Waktu!H18="",0,1/(Matrix_Waktu!H18^Matrix_Bobot!$B$1*(1+Matrix_Transit!H18)^Matrix_Bobot!$B$2))</f>
        <v>0.1333333333</v>
      </c>
      <c r="I18" s="30">
        <f>IF(Matrix_Waktu!I18="",0,1/(Matrix_Waktu!I18^Matrix_Bobot!$B$1*(1+Matrix_Transit!I18)^Matrix_Bobot!$B$2))</f>
        <v>0.1538461538</v>
      </c>
      <c r="J18" s="30">
        <f>IF(Matrix_Waktu!J18="",0,1/(Matrix_Waktu!J18^Matrix_Bobot!$B$1*(1+Matrix_Transit!J18)^Matrix_Bobot!$B$2))</f>
        <v>0.1501501502</v>
      </c>
      <c r="K18" s="30">
        <f>IF(Matrix_Waktu!K18="",0,1/(Matrix_Waktu!K18^Matrix_Bobot!$B$1*(1+Matrix_Transit!K18)^Matrix_Bobot!$B$2))</f>
        <v>0.1199040767</v>
      </c>
      <c r="L18" s="30">
        <f>IF(Matrix_Waktu!L18="",0,1/(Matrix_Waktu!L18^Matrix_Bobot!$B$1*(1+Matrix_Transit!L18)^Matrix_Bobot!$B$2))</f>
        <v>0.6666666667</v>
      </c>
      <c r="M18" s="30">
        <f>IF(Matrix_Waktu!M18="",0,1/(Matrix_Waktu!M18^Matrix_Bobot!$B$1*(1+Matrix_Transit!M18)^Matrix_Bobot!$B$2))</f>
        <v>0.5988023952</v>
      </c>
      <c r="N18" s="30">
        <f>IF(Matrix_Waktu!N18="",0,1/(Matrix_Waktu!N18^Matrix_Bobot!$B$1*(1+Matrix_Transit!N18)^Matrix_Bobot!$B$2))</f>
        <v>0.8547008547</v>
      </c>
      <c r="O18" s="30">
        <f>IF(Matrix_Waktu!O18="",0,1/(Matrix_Waktu!O18^Matrix_Bobot!$B$1*(1+Matrix_Transit!O18)^Matrix_Bobot!$B$2))</f>
        <v>0.1428571429</v>
      </c>
      <c r="P18" s="28">
        <v>0.0</v>
      </c>
      <c r="Q18" s="30">
        <f>IF(Matrix_Waktu!Q18="",0,1/(Matrix_Waktu!Q18^Matrix_Bobot!$B$1*(1+Matrix_Transit!Q18)^Matrix_Bobot!$B$2))</f>
        <v>0</v>
      </c>
      <c r="R18" s="30">
        <f>IF(Matrix_Waktu!R18="",0,1/(Matrix_Waktu!R18^Matrix_Bobot!$B$1*(1+Matrix_Transit!R18)^Matrix_Bobot!$B$2))</f>
        <v>1</v>
      </c>
      <c r="S18" s="30">
        <f>IF(Matrix_Waktu!S18="",0,1/(Matrix_Waktu!S18^Matrix_Bobot!$B$1*(1+Matrix_Transit!S18)^Matrix_Bobot!$B$2))</f>
        <v>0.9233610342</v>
      </c>
      <c r="T18" s="30">
        <f>IF(Matrix_Waktu!T18="",0,1/(Matrix_Waktu!T18^Matrix_Bobot!$B$1*(1+Matrix_Transit!T18)^Matrix_Bobot!$B$2))</f>
        <v>0.6666666667</v>
      </c>
      <c r="U18" s="30">
        <f>IF(Matrix_Waktu!U18="",0,1/(Matrix_Waktu!U18^Matrix_Bobot!$B$1*(1+Matrix_Transit!U18)^Matrix_Bobot!$B$2))</f>
        <v>0.5988023952</v>
      </c>
      <c r="V18" s="30">
        <f>IF(Matrix_Waktu!V18="",0,1/(Matrix_Waktu!V18^Matrix_Bobot!$B$1*(1+Matrix_Transit!V18)^Matrix_Bobot!$B$2))</f>
        <v>0.8</v>
      </c>
      <c r="W18" s="30">
        <f>IF(Matrix_Waktu!W18="",0,1/(Matrix_Waktu!W18^Matrix_Bobot!$B$1*(1+Matrix_Transit!W18)^Matrix_Bobot!$B$2))</f>
        <v>0.8568980291</v>
      </c>
      <c r="X18" s="30">
        <f>IF(Matrix_Waktu!X18="",0,1/(Matrix_Waktu!X18^Matrix_Bobot!$B$1*(1+Matrix_Transit!X18)^Matrix_Bobot!$B$2))</f>
        <v>0.6317119394</v>
      </c>
      <c r="Y18" s="30">
        <f>IF(Matrix_Waktu!Y18="",0,1/(Matrix_Waktu!Y18^Matrix_Bobot!$B$1*(1+Matrix_Transit!Y18)^Matrix_Bobot!$B$2))</f>
        <v>0.4800768123</v>
      </c>
      <c r="Z18" s="30">
        <f>IF(Matrix_Waktu!Z18="",0,1/(Matrix_Waktu!Z18^Matrix_Bobot!$B$1*(1+Matrix_Transit!Z18)^Matrix_Bobot!$B$2))</f>
        <v>0.3745318352</v>
      </c>
      <c r="AA18" s="30">
        <f>IF(Matrix_Waktu!AA18="",0,1/(Matrix_Waktu!AA18^Matrix_Bobot!$B$1*(1+Matrix_Transit!AA18)^Matrix_Bobot!$B$2))</f>
        <v>0.1395478649</v>
      </c>
      <c r="AB18" s="30">
        <f>IF(Matrix_Waktu!AB18="",0,1/(Matrix_Waktu!AB18^Matrix_Bobot!$B$1*(1+Matrix_Transit!AB18)^Matrix_Bobot!$B$2))</f>
        <v>0.7062146893</v>
      </c>
      <c r="AC18" s="30">
        <f>IF(Matrix_Waktu!AC18="",0,1/(Matrix_Waktu!AC18^Matrix_Bobot!$B$1*(1+Matrix_Transit!AC18)^Matrix_Bobot!$B$2))</f>
        <v>0.5</v>
      </c>
      <c r="AD18" s="30">
        <f>IF(Matrix_Waktu!AD18="",0,1/(Matrix_Waktu!AD18^Matrix_Bobot!$B$1*(1+Matrix_Transit!AD18)^Matrix_Bobot!$B$2))</f>
        <v>0.07793017456</v>
      </c>
      <c r="AE18" s="30">
        <f>IF(Matrix_Waktu!AE18="",0,1/(Matrix_Waktu!AE18^Matrix_Bobot!$B$1*(1+Matrix_Transit!AE18)^Matrix_Bobot!$B$2))</f>
        <v>0.1578781181</v>
      </c>
      <c r="AF18" s="30">
        <f>IF(Matrix_Waktu!AF18="",0,1/(Matrix_Waktu!AF18^Matrix_Bobot!$B$1*(1+Matrix_Transit!AF18)^Matrix_Bobot!$B$2))</f>
        <v>0.3750937734</v>
      </c>
      <c r="AG18" s="30">
        <f>IF(Matrix_Waktu!AG18="",0,1/(Matrix_Waktu!AG18^Matrix_Bobot!$B$1*(1+Matrix_Transit!AG18)^Matrix_Bobot!$B$2))</f>
        <v>0.3428649798</v>
      </c>
      <c r="AH18" s="30">
        <f>IF(Matrix_Waktu!AH18="",0,1/(Matrix_Waktu!AH18^Matrix_Bobot!$B$1*(1+Matrix_Transit!AH18)^Matrix_Bobot!$B$2))</f>
        <v>0.1132246377</v>
      </c>
      <c r="AI18" s="30">
        <f>IF(Matrix_Waktu!AI18="",0,1/(Matrix_Waktu!AI18^Matrix_Bobot!$B$1*(1+Matrix_Transit!AI18)^Matrix_Bobot!$B$2))</f>
        <v>0.06316321374</v>
      </c>
      <c r="AJ18" s="33">
        <f t="shared" si="1"/>
        <v>12.85069456</v>
      </c>
    </row>
    <row r="19" ht="14.25" customHeight="1">
      <c r="A19" s="22" t="s">
        <v>46</v>
      </c>
      <c r="B19" s="30">
        <f>IF(Matrix_Waktu!B19="",0,1/(Matrix_Waktu!B19^Matrix_Bobot!$B$1*(1+Matrix_Transit!B19)^Matrix_Bobot!$B$2))</f>
        <v>0</v>
      </c>
      <c r="C19" s="30">
        <f>IF(Matrix_Waktu!C19="",0,1/(Matrix_Waktu!C19^Matrix_Bobot!$B$1*(1+Matrix_Transit!C19)^Matrix_Bobot!$B$2))</f>
        <v>0</v>
      </c>
      <c r="D19" s="30">
        <f>IF(Matrix_Waktu!D19="",0,1/(Matrix_Waktu!D19^Matrix_Bobot!$B$1*(1+Matrix_Transit!D19)^Matrix_Bobot!$B$2))</f>
        <v>0</v>
      </c>
      <c r="E19" s="30">
        <f>IF(Matrix_Waktu!E19="",0,1/(Matrix_Waktu!E19^Matrix_Bobot!$B$1*(1+Matrix_Transit!E19)^Matrix_Bobot!$B$2))</f>
        <v>0</v>
      </c>
      <c r="F19" s="30">
        <f>IF(Matrix_Waktu!F19="",0,1/(Matrix_Waktu!F19^Matrix_Bobot!$B$1*(1+Matrix_Transit!F19)^Matrix_Bobot!$B$2))</f>
        <v>0</v>
      </c>
      <c r="G19" s="30">
        <f>IF(Matrix_Waktu!G19="",0,1/(Matrix_Waktu!G19^Matrix_Bobot!$B$1*(1+Matrix_Transit!G19)^Matrix_Bobot!$B$2))</f>
        <v>0</v>
      </c>
      <c r="H19" s="30">
        <f>IF(Matrix_Waktu!H19="",0,1/(Matrix_Waktu!H19^Matrix_Bobot!$B$1*(1+Matrix_Transit!H19)^Matrix_Bobot!$B$2))</f>
        <v>0</v>
      </c>
      <c r="I19" s="30">
        <f>IF(Matrix_Waktu!I19="",0,1/(Matrix_Waktu!I19^Matrix_Bobot!$B$1*(1+Matrix_Transit!I19)^Matrix_Bobot!$B$2))</f>
        <v>0</v>
      </c>
      <c r="J19" s="30">
        <f>IF(Matrix_Waktu!J19="",0,1/(Matrix_Waktu!J19^Matrix_Bobot!$B$1*(1+Matrix_Transit!J19)^Matrix_Bobot!$B$2))</f>
        <v>0</v>
      </c>
      <c r="K19" s="30">
        <f>IF(Matrix_Waktu!K19="",0,1/(Matrix_Waktu!K19^Matrix_Bobot!$B$1*(1+Matrix_Transit!K19)^Matrix_Bobot!$B$2))</f>
        <v>0</v>
      </c>
      <c r="L19" s="30">
        <f>IF(Matrix_Waktu!L19="",0,1/(Matrix_Waktu!L19^Matrix_Bobot!$B$1*(1+Matrix_Transit!L19)^Matrix_Bobot!$B$2))</f>
        <v>0</v>
      </c>
      <c r="M19" s="30">
        <f>IF(Matrix_Waktu!M19="",0,1/(Matrix_Waktu!M19^Matrix_Bobot!$B$1*(1+Matrix_Transit!M19)^Matrix_Bobot!$B$2))</f>
        <v>0</v>
      </c>
      <c r="N19" s="30">
        <f>IF(Matrix_Waktu!N19="",0,1/(Matrix_Waktu!N19^Matrix_Bobot!$B$1*(1+Matrix_Transit!N19)^Matrix_Bobot!$B$2))</f>
        <v>0</v>
      </c>
      <c r="O19" s="30">
        <f>IF(Matrix_Waktu!O19="",0,1/(Matrix_Waktu!O19^Matrix_Bobot!$B$1*(1+Matrix_Transit!O19)^Matrix_Bobot!$B$2))</f>
        <v>0</v>
      </c>
      <c r="P19" s="30">
        <f>IF(Matrix_Waktu!P19="",0,1/(Matrix_Waktu!P19^Matrix_Bobot!$B$1*(1+Matrix_Transit!P19)^Matrix_Bobot!$B$2))</f>
        <v>0</v>
      </c>
      <c r="Q19" s="28">
        <v>0.0</v>
      </c>
      <c r="R19" s="30">
        <f>IF(Matrix_Waktu!R19="",0,1/(Matrix_Waktu!R19^Matrix_Bobot!$B$1*(1+Matrix_Transit!R19)^Matrix_Bobot!$B$2))</f>
        <v>0</v>
      </c>
      <c r="S19" s="30">
        <f>IF(Matrix_Waktu!S19="",0,1/(Matrix_Waktu!S19^Matrix_Bobot!$B$1*(1+Matrix_Transit!S19)^Matrix_Bobot!$B$2))</f>
        <v>0</v>
      </c>
      <c r="T19" s="30">
        <f>IF(Matrix_Waktu!T19="",0,1/(Matrix_Waktu!T19^Matrix_Bobot!$B$1*(1+Matrix_Transit!T19)^Matrix_Bobot!$B$2))</f>
        <v>0</v>
      </c>
      <c r="U19" s="30">
        <f>IF(Matrix_Waktu!U19="",0,1/(Matrix_Waktu!U19^Matrix_Bobot!$B$1*(1+Matrix_Transit!U19)^Matrix_Bobot!$B$2))</f>
        <v>0</v>
      </c>
      <c r="V19" s="30">
        <f>IF(Matrix_Waktu!V19="",0,1/(Matrix_Waktu!V19^Matrix_Bobot!$B$1*(1+Matrix_Transit!V19)^Matrix_Bobot!$B$2))</f>
        <v>0</v>
      </c>
      <c r="W19" s="30">
        <f>IF(Matrix_Waktu!W19="",0,1/(Matrix_Waktu!W19^Matrix_Bobot!$B$1*(1+Matrix_Transit!W19)^Matrix_Bobot!$B$2))</f>
        <v>0</v>
      </c>
      <c r="X19" s="30">
        <f>IF(Matrix_Waktu!X19="",0,1/(Matrix_Waktu!X19^Matrix_Bobot!$B$1*(1+Matrix_Transit!X19)^Matrix_Bobot!$B$2))</f>
        <v>0</v>
      </c>
      <c r="Y19" s="30">
        <f>IF(Matrix_Waktu!Y19="",0,1/(Matrix_Waktu!Y19^Matrix_Bobot!$B$1*(1+Matrix_Transit!Y19)^Matrix_Bobot!$B$2))</f>
        <v>0</v>
      </c>
      <c r="Z19" s="30">
        <f>IF(Matrix_Waktu!Z19="",0,1/(Matrix_Waktu!Z19^Matrix_Bobot!$B$1*(1+Matrix_Transit!Z19)^Matrix_Bobot!$B$2))</f>
        <v>0</v>
      </c>
      <c r="AA19" s="30">
        <f>IF(Matrix_Waktu!AA19="",0,1/(Matrix_Waktu!AA19^Matrix_Bobot!$B$1*(1+Matrix_Transit!AA19)^Matrix_Bobot!$B$2))</f>
        <v>0</v>
      </c>
      <c r="AB19" s="30">
        <f>IF(Matrix_Waktu!AB19="",0,1/(Matrix_Waktu!AB19^Matrix_Bobot!$B$1*(1+Matrix_Transit!AB19)^Matrix_Bobot!$B$2))</f>
        <v>0</v>
      </c>
      <c r="AC19" s="30">
        <f>IF(Matrix_Waktu!AC19="",0,1/(Matrix_Waktu!AC19^Matrix_Bobot!$B$1*(1+Matrix_Transit!AC19)^Matrix_Bobot!$B$2))</f>
        <v>0</v>
      </c>
      <c r="AD19" s="30">
        <f>IF(Matrix_Waktu!AD19="",0,1/(Matrix_Waktu!AD19^Matrix_Bobot!$B$1*(1+Matrix_Transit!AD19)^Matrix_Bobot!$B$2))</f>
        <v>0</v>
      </c>
      <c r="AE19" s="30">
        <f>IF(Matrix_Waktu!AE19="",0,1/(Matrix_Waktu!AE19^Matrix_Bobot!$B$1*(1+Matrix_Transit!AE19)^Matrix_Bobot!$B$2))</f>
        <v>0</v>
      </c>
      <c r="AF19" s="30">
        <f>IF(Matrix_Waktu!AF19="",0,1/(Matrix_Waktu!AF19^Matrix_Bobot!$B$1*(1+Matrix_Transit!AF19)^Matrix_Bobot!$B$2))</f>
        <v>0</v>
      </c>
      <c r="AG19" s="30">
        <f>IF(Matrix_Waktu!AG19="",0,1/(Matrix_Waktu!AG19^Matrix_Bobot!$B$1*(1+Matrix_Transit!AG19)^Matrix_Bobot!$B$2))</f>
        <v>0</v>
      </c>
      <c r="AH19" s="30">
        <f>IF(Matrix_Waktu!AH19="",0,1/(Matrix_Waktu!AH19^Matrix_Bobot!$B$1*(1+Matrix_Transit!AH19)^Matrix_Bobot!$B$2))</f>
        <v>0</v>
      </c>
      <c r="AI19" s="30">
        <f>IF(Matrix_Waktu!AI19="",0,1/(Matrix_Waktu!AI19^Matrix_Bobot!$B$1*(1+Matrix_Transit!AI19)^Matrix_Bobot!$B$2))</f>
        <v>0</v>
      </c>
      <c r="AJ19" s="33">
        <f t="shared" si="1"/>
        <v>0</v>
      </c>
    </row>
    <row r="20" ht="14.25" customHeight="1">
      <c r="A20" s="22" t="s">
        <v>49</v>
      </c>
      <c r="B20" s="30">
        <f>IF(Matrix_Waktu!B20="",0,1/(Matrix_Waktu!B20^Matrix_Bobot!$B$1*(1+Matrix_Transit!B20)^Matrix_Bobot!$B$2))</f>
        <v>0.08219182586</v>
      </c>
      <c r="C20" s="30">
        <f>IF(Matrix_Waktu!C20="",0,1/(Matrix_Waktu!C20^Matrix_Bobot!$B$1*(1+Matrix_Transit!C20)^Matrix_Bobot!$B$2))</f>
        <v>0.09671179884</v>
      </c>
      <c r="D20" s="30">
        <f>IF(Matrix_Waktu!D20="",0,1/(Matrix_Waktu!D20^Matrix_Bobot!$B$1*(1+Matrix_Transit!D20)^Matrix_Bobot!$B$2))</f>
        <v>0.1016260163</v>
      </c>
      <c r="E20" s="30">
        <f>IF(Matrix_Waktu!E20="",0,1/(Matrix_Waktu!E20^Matrix_Bobot!$B$1*(1+Matrix_Transit!E20)^Matrix_Bobot!$B$2))</f>
        <v>0.1070663812</v>
      </c>
      <c r="F20" s="30">
        <f>IF(Matrix_Waktu!F20="",0,1/(Matrix_Waktu!F20^Matrix_Bobot!$B$1*(1+Matrix_Transit!F20)^Matrix_Bobot!$B$2))</f>
        <v>0.1449275362</v>
      </c>
      <c r="G20" s="30">
        <f>IF(Matrix_Waktu!G20="",0,1/(Matrix_Waktu!G20^Matrix_Bobot!$B$1*(1+Matrix_Transit!G20)^Matrix_Bobot!$B$2))</f>
        <v>0.125</v>
      </c>
      <c r="H20" s="30">
        <f>IF(Matrix_Waktu!H20="",0,1/(Matrix_Waktu!H20^Matrix_Bobot!$B$1*(1+Matrix_Transit!H20)^Matrix_Bobot!$B$2))</f>
        <v>0.1225490196</v>
      </c>
      <c r="I20" s="30">
        <f>IF(Matrix_Waktu!I20="",0,1/(Matrix_Waktu!I20^Matrix_Bobot!$B$1*(1+Matrix_Transit!I20)^Matrix_Bobot!$B$2))</f>
        <v>0.1428571429</v>
      </c>
      <c r="J20" s="30">
        <f>IF(Matrix_Waktu!J20="",0,1/(Matrix_Waktu!J20^Matrix_Bobot!$B$1*(1+Matrix_Transit!J20)^Matrix_Bobot!$B$2))</f>
        <v>0.125</v>
      </c>
      <c r="K20" s="30">
        <f>IF(Matrix_Waktu!K20="",0,1/(Matrix_Waktu!K20^Matrix_Bobot!$B$1*(1+Matrix_Transit!K20)^Matrix_Bobot!$B$2))</f>
        <v>0.101692778</v>
      </c>
      <c r="L20" s="30">
        <f>IF(Matrix_Waktu!L20="",0,1/(Matrix_Waktu!L20^Matrix_Bobot!$B$1*(1+Matrix_Transit!L20)^Matrix_Bobot!$B$2))</f>
        <v>0.5464480874</v>
      </c>
      <c r="M20" s="30">
        <f>IF(Matrix_Waktu!M20="",0,1/(Matrix_Waktu!M20^Matrix_Bobot!$B$1*(1+Matrix_Transit!M20)^Matrix_Bobot!$B$2))</f>
        <v>0.5714285714</v>
      </c>
      <c r="N20" s="30">
        <f>IF(Matrix_Waktu!N20="",0,1/(Matrix_Waktu!N20^Matrix_Bobot!$B$1*(1+Matrix_Transit!N20)^Matrix_Bobot!$B$2))</f>
        <v>0.8</v>
      </c>
      <c r="O20" s="30">
        <f>IF(Matrix_Waktu!O20="",0,1/(Matrix_Waktu!O20^Matrix_Bobot!$B$1*(1+Matrix_Transit!O20)^Matrix_Bobot!$B$2))</f>
        <v>0.7042253521</v>
      </c>
      <c r="P20" s="30">
        <f>IF(Matrix_Waktu!P20="",0,1/(Matrix_Waktu!P20^Matrix_Bobot!$B$1*(1+Matrix_Transit!P20)^Matrix_Bobot!$B$2))</f>
        <v>1</v>
      </c>
      <c r="Q20" s="30">
        <f>IF(Matrix_Waktu!Q20="",0,1/(Matrix_Waktu!Q20^Matrix_Bobot!$B$1*(1+Matrix_Transit!Q20)^Matrix_Bobot!$B$2))</f>
        <v>0</v>
      </c>
      <c r="R20" s="28">
        <v>0.0</v>
      </c>
      <c r="S20" s="30">
        <f>IF(Matrix_Waktu!S20="",0,1/(Matrix_Waktu!S20^Matrix_Bobot!$B$1*(1+Matrix_Transit!S20)^Matrix_Bobot!$B$2))</f>
        <v>1.501501502</v>
      </c>
      <c r="T20" s="30">
        <f>IF(Matrix_Waktu!T20="",0,1/(Matrix_Waktu!T20^Matrix_Bobot!$B$1*(1+Matrix_Transit!T20)^Matrix_Bobot!$B$2))</f>
        <v>0.9231053263</v>
      </c>
      <c r="U20" s="30">
        <f>IF(Matrix_Waktu!U20="",0,1/(Matrix_Waktu!U20^Matrix_Bobot!$B$1*(1+Matrix_Transit!U20)^Matrix_Bobot!$B$2))</f>
        <v>0.4800768123</v>
      </c>
      <c r="V20" s="30">
        <f>IF(Matrix_Waktu!V20="",0,1/(Matrix_Waktu!V20^Matrix_Bobot!$B$1*(1+Matrix_Transit!V20)^Matrix_Bobot!$B$2))</f>
        <v>0.1714677641</v>
      </c>
      <c r="W20" s="30">
        <f>IF(Matrix_Waktu!W20="",0,1/(Matrix_Waktu!W20^Matrix_Bobot!$B$1*(1+Matrix_Transit!W20)^Matrix_Bobot!$B$2))</f>
        <v>0.6666666667</v>
      </c>
      <c r="X20" s="30">
        <f>IF(Matrix_Waktu!X20="",0,1/(Matrix_Waktu!X20^Matrix_Bobot!$B$1*(1+Matrix_Transit!X20)^Matrix_Bobot!$B$2))</f>
        <v>0.5714285714</v>
      </c>
      <c r="Y20" s="30">
        <f>IF(Matrix_Waktu!Y20="",0,1/(Matrix_Waktu!Y20^Matrix_Bobot!$B$1*(1+Matrix_Transit!Y20)^Matrix_Bobot!$B$2))</f>
        <v>0.08451656525</v>
      </c>
      <c r="Z20" s="30">
        <f>IF(Matrix_Waktu!Z20="",0,1/(Matrix_Waktu!Z20^Matrix_Bobot!$B$1*(1+Matrix_Transit!Z20)^Matrix_Bobot!$B$2))</f>
        <v>0.4</v>
      </c>
      <c r="AA20" s="30">
        <f>IF(Matrix_Waktu!AA20="",0,1/(Matrix_Waktu!AA20^Matrix_Bobot!$B$1*(1+Matrix_Transit!AA20)^Matrix_Bobot!$B$2))</f>
        <v>0.1200192031</v>
      </c>
      <c r="AB20" s="30">
        <f>IF(Matrix_Waktu!AB20="",0,1/(Matrix_Waktu!AB20^Matrix_Bobot!$B$1*(1+Matrix_Transit!AB20)^Matrix_Bobot!$B$2))</f>
        <v>0.7518796992</v>
      </c>
      <c r="AC20" s="30">
        <f>IF(Matrix_Waktu!AC20="",0,1/(Matrix_Waktu!AC20^Matrix_Bobot!$B$1*(1+Matrix_Transit!AC20)^Matrix_Bobot!$B$2))</f>
        <v>0.1034554107</v>
      </c>
      <c r="AD20" s="30">
        <f>IF(Matrix_Waktu!AD20="",0,1/(Matrix_Waktu!AD20^Matrix_Bobot!$B$1*(1+Matrix_Transit!AD20)^Matrix_Bobot!$B$2))</f>
        <v>0.06977393246</v>
      </c>
      <c r="AE20" s="30">
        <f>IF(Matrix_Waktu!AE20="",0,1/(Matrix_Waktu!AE20^Matrix_Bobot!$B$1*(1+Matrix_Transit!AE20)^Matrix_Bobot!$B$2))</f>
        <v>0.09678668215</v>
      </c>
      <c r="AF20" s="30">
        <f>IF(Matrix_Waktu!AF20="",0,1/(Matrix_Waktu!AF20^Matrix_Bobot!$B$1*(1+Matrix_Transit!AF20)^Matrix_Bobot!$B$2))</f>
        <v>0.07317430119</v>
      </c>
      <c r="AG20" s="30">
        <f>IF(Matrix_Waktu!AG20="",0,1/(Matrix_Waktu!AG20^Matrix_Bobot!$B$1*(1+Matrix_Transit!AG20)^Matrix_Bobot!$B$2))</f>
        <v>0.08571918395</v>
      </c>
      <c r="AH20" s="30">
        <f>IF(Matrix_Waktu!AH20="",0,1/(Matrix_Waktu!AH20^Matrix_Bobot!$B$1*(1+Matrix_Transit!AH20)^Matrix_Bobot!$B$2))</f>
        <v>0.07407407407</v>
      </c>
      <c r="AI20" s="30">
        <f>IF(Matrix_Waktu!AI20="",0,1/(Matrix_Waktu!AI20^Matrix_Bobot!$B$1*(1+Matrix_Transit!AI20)^Matrix_Bobot!$B$2))</f>
        <v>0.08576329331</v>
      </c>
      <c r="AJ20" s="33">
        <f t="shared" si="1"/>
        <v>11.0311335</v>
      </c>
    </row>
    <row r="21" ht="14.25" customHeight="1">
      <c r="A21" s="22" t="s">
        <v>52</v>
      </c>
      <c r="B21" s="30">
        <f>IF(Matrix_Waktu!B21="",0,1/(Matrix_Waktu!B21^Matrix_Bobot!$B$1*(1+Matrix_Transit!B21)^Matrix_Bobot!$B$2))</f>
        <v>0.06451612903</v>
      </c>
      <c r="C21" s="30">
        <f>IF(Matrix_Waktu!C21="",0,1/(Matrix_Waktu!C21^Matrix_Bobot!$B$1*(1+Matrix_Transit!C21)^Matrix_Bobot!$B$2))</f>
        <v>0.09090909091</v>
      </c>
      <c r="D21" s="30">
        <f>IF(Matrix_Waktu!D21="",0,1/(Matrix_Waktu!D21^Matrix_Bobot!$B$1*(1+Matrix_Transit!D21)^Matrix_Bobot!$B$2))</f>
        <v>0.09380863039</v>
      </c>
      <c r="E21" s="30">
        <f>IF(Matrix_Waktu!E21="",0,1/(Matrix_Waktu!E21^Matrix_Bobot!$B$1*(1+Matrix_Transit!E21)^Matrix_Bobot!$B$2))</f>
        <v>0.1035196687</v>
      </c>
      <c r="F21" s="30">
        <f>IF(Matrix_Waktu!F21="",0,1/(Matrix_Waktu!F21^Matrix_Bobot!$B$1*(1+Matrix_Transit!F21)^Matrix_Bobot!$B$2))</f>
        <v>0.1111111111</v>
      </c>
      <c r="G21" s="30">
        <f>IF(Matrix_Waktu!G21="",0,1/(Matrix_Waktu!G21^Matrix_Bobot!$B$1*(1+Matrix_Transit!G21)^Matrix_Bobot!$B$2))</f>
        <v>0.09671179884</v>
      </c>
      <c r="H21" s="30">
        <f>IF(Matrix_Waktu!H21="",0,1/(Matrix_Waktu!H21^Matrix_Bobot!$B$1*(1+Matrix_Transit!H21)^Matrix_Bobot!$B$2))</f>
        <v>0.09090909091</v>
      </c>
      <c r="I21" s="30">
        <f>IF(Matrix_Waktu!I21="",0,1/(Matrix_Waktu!I21^Matrix_Bobot!$B$1*(1+Matrix_Transit!I21)^Matrix_Bobot!$B$2))</f>
        <v>0.1275510204</v>
      </c>
      <c r="J21" s="30">
        <f>IF(Matrix_Waktu!J21="",0,1/(Matrix_Waktu!J21^Matrix_Bobot!$B$1*(1+Matrix_Transit!J21)^Matrix_Bobot!$B$2))</f>
        <v>0.1091703057</v>
      </c>
      <c r="K21" s="30">
        <f>IF(Matrix_Waktu!K21="",0,1/(Matrix_Waktu!K21^Matrix_Bobot!$B$1*(1+Matrix_Transit!K21)^Matrix_Bobot!$B$2))</f>
        <v>0.1131221719</v>
      </c>
      <c r="L21" s="30">
        <f>IF(Matrix_Waktu!L21="",0,1/(Matrix_Waktu!L21^Matrix_Bobot!$B$1*(1+Matrix_Transit!L21)^Matrix_Bobot!$B$2))</f>
        <v>0.5</v>
      </c>
      <c r="M21" s="30">
        <f>IF(Matrix_Waktu!M21="",0,1/(Matrix_Waktu!M21^Matrix_Bobot!$B$1*(1+Matrix_Transit!M21)^Matrix_Bobot!$B$2))</f>
        <v>0.09140767824</v>
      </c>
      <c r="N21" s="30">
        <f>IF(Matrix_Waktu!N21="",0,1/(Matrix_Waktu!N21^Matrix_Bobot!$B$1*(1+Matrix_Transit!N21)^Matrix_Bobot!$B$2))</f>
        <v>0.1305483029</v>
      </c>
      <c r="O21" s="30">
        <f>IF(Matrix_Waktu!O21="",0,1/(Matrix_Waktu!O21^Matrix_Bobot!$B$1*(1+Matrix_Transit!O21)^Matrix_Bobot!$B$2))</f>
        <v>0.6666666667</v>
      </c>
      <c r="P21" s="30">
        <f>IF(Matrix_Waktu!P21="",0,1/(Matrix_Waktu!P21^Matrix_Bobot!$B$1*(1+Matrix_Transit!P21)^Matrix_Bobot!$B$2))</f>
        <v>0.9233610342</v>
      </c>
      <c r="Q21" s="30">
        <f>IF(Matrix_Waktu!Q21="",0,1/(Matrix_Waktu!Q21^Matrix_Bobot!$B$1*(1+Matrix_Transit!Q21)^Matrix_Bobot!$B$2))</f>
        <v>0</v>
      </c>
      <c r="R21" s="30">
        <f>IF(Matrix_Waktu!R21="",0,1/(Matrix_Waktu!R21^Matrix_Bobot!$B$1*(1+Matrix_Transit!R21)^Matrix_Bobot!$B$2))</f>
        <v>1.501501502</v>
      </c>
      <c r="S21" s="28">
        <v>0.0</v>
      </c>
      <c r="T21" s="30">
        <f>IF(Matrix_Waktu!T21="",0,1/(Matrix_Waktu!T21^Matrix_Bobot!$B$1*(1+Matrix_Transit!T21)^Matrix_Bobot!$B$2))</f>
        <v>0.8</v>
      </c>
      <c r="U21" s="30">
        <f>IF(Matrix_Waktu!U21="",0,1/(Matrix_Waktu!U21^Matrix_Bobot!$B$1*(1+Matrix_Transit!U21)^Matrix_Bobot!$B$2))</f>
        <v>0.1017087063</v>
      </c>
      <c r="V21" s="30">
        <f>IF(Matrix_Waktu!V21="",0,1/(Matrix_Waktu!V21^Matrix_Bobot!$B$1*(1+Matrix_Transit!V21)^Matrix_Bobot!$B$2))</f>
        <v>0.09523809524</v>
      </c>
      <c r="W21" s="30">
        <f>IF(Matrix_Waktu!W21="",0,1/(Matrix_Waktu!W21^Matrix_Bobot!$B$1*(1+Matrix_Transit!W21)^Matrix_Bobot!$B$2))</f>
        <v>0.1714677641</v>
      </c>
      <c r="X21" s="30">
        <f>IF(Matrix_Waktu!X21="",0,1/(Matrix_Waktu!X21^Matrix_Bobot!$B$1*(1+Matrix_Transit!X21)^Matrix_Bobot!$B$2))</f>
        <v>0.631592244</v>
      </c>
      <c r="Y21" s="30">
        <f>IF(Matrix_Waktu!Y21="",0,1/(Matrix_Waktu!Y21^Matrix_Bobot!$B$1*(1+Matrix_Transit!Y21)^Matrix_Bobot!$B$2))</f>
        <v>0.0631584266</v>
      </c>
      <c r="Z21" s="30">
        <f>IF(Matrix_Waktu!Z21="",0,1/(Matrix_Waktu!Z21^Matrix_Bobot!$B$1*(1+Matrix_Transit!Z21)^Matrix_Bobot!$B$2))</f>
        <v>0.125</v>
      </c>
      <c r="AA21" s="30">
        <f>IF(Matrix_Waktu!AA21="",0,1/(Matrix_Waktu!AA21^Matrix_Bobot!$B$1*(1+Matrix_Transit!AA21)^Matrix_Bobot!$B$2))</f>
        <v>0.04938271605</v>
      </c>
      <c r="AB21" s="30">
        <f>IF(Matrix_Waktu!AB21="",0,1/(Matrix_Waktu!AB21^Matrix_Bobot!$B$1*(1+Matrix_Transit!AB21)^Matrix_Bobot!$B$2))</f>
        <v>0.8576329331</v>
      </c>
      <c r="AC21" s="30">
        <f>IF(Matrix_Waktu!AC21="",0,1/(Matrix_Waktu!AC21^Matrix_Bobot!$B$1*(1+Matrix_Transit!AC21)^Matrix_Bobot!$B$2))</f>
        <v>0.07407407407</v>
      </c>
      <c r="AD21" s="30">
        <f>IF(Matrix_Waktu!AD21="",0,1/(Matrix_Waktu!AD21^Matrix_Bobot!$B$1*(1+Matrix_Transit!AD21)^Matrix_Bobot!$B$2))</f>
        <v>0.04081965875</v>
      </c>
      <c r="AE21" s="30">
        <f>IF(Matrix_Waktu!AE21="",0,1/(Matrix_Waktu!AE21^Matrix_Bobot!$B$1*(1+Matrix_Transit!AE21)^Matrix_Bobot!$B$2))</f>
        <v>0.03883510227</v>
      </c>
      <c r="AF21" s="30">
        <f>IF(Matrix_Waktu!AF21="",0,1/(Matrix_Waktu!AF21^Matrix_Bobot!$B$1*(1+Matrix_Transit!AF21)^Matrix_Bobot!$B$2))</f>
        <v>0.03603603604</v>
      </c>
      <c r="AG21" s="30">
        <f>IF(Matrix_Waktu!AG21="",0,1/(Matrix_Waktu!AG21^Matrix_Bobot!$B$1*(1+Matrix_Transit!AG21)^Matrix_Bobot!$B$2))</f>
        <v>0.03572704537</v>
      </c>
      <c r="AH21" s="30">
        <f>IF(Matrix_Waktu!AH21="",0,1/(Matrix_Waktu!AH21^Matrix_Bobot!$B$1*(1+Matrix_Transit!AH21)^Matrix_Bobot!$B$2))</f>
        <v>0.02777777778</v>
      </c>
      <c r="AI21" s="30">
        <f>IF(Matrix_Waktu!AI21="",0,1/(Matrix_Waktu!AI21^Matrix_Bobot!$B$1*(1+Matrix_Transit!AI21)^Matrix_Bobot!$B$2))</f>
        <v>0.03053621595</v>
      </c>
      <c r="AJ21" s="33">
        <f t="shared" si="1"/>
        <v>7.993800997</v>
      </c>
    </row>
    <row r="22" ht="14.25" customHeight="1">
      <c r="A22" s="22" t="s">
        <v>55</v>
      </c>
      <c r="B22" s="30">
        <f>IF(Matrix_Waktu!B22="",0,1/(Matrix_Waktu!B22^Matrix_Bobot!$B$1*(1+Matrix_Transit!B22)^Matrix_Bobot!$B$2))</f>
        <v>0.04081632653</v>
      </c>
      <c r="C22" s="30">
        <f>IF(Matrix_Waktu!C22="",0,1/(Matrix_Waktu!C22^Matrix_Bobot!$B$1*(1+Matrix_Transit!C22)^Matrix_Bobot!$B$2))</f>
        <v>0.04916420846</v>
      </c>
      <c r="D22" s="30">
        <f>IF(Matrix_Waktu!D22="",0,1/(Matrix_Waktu!D22^Matrix_Bobot!$B$1*(1+Matrix_Transit!D22)^Matrix_Bobot!$B$2))</f>
        <v>0.05605381166</v>
      </c>
      <c r="E22" s="30">
        <f>IF(Matrix_Waktu!E22="",0,1/(Matrix_Waktu!E22^Matrix_Bobot!$B$1*(1+Matrix_Transit!E22)^Matrix_Bobot!$B$2))</f>
        <v>0.07062146893</v>
      </c>
      <c r="F22" s="30">
        <f>IF(Matrix_Waktu!F22="",0,1/(Matrix_Waktu!F22^Matrix_Bobot!$B$1*(1+Matrix_Transit!F22)^Matrix_Bobot!$B$2))</f>
        <v>0.06973500697</v>
      </c>
      <c r="G22" s="30">
        <f>IF(Matrix_Waktu!G22="",0,1/(Matrix_Waktu!G22^Matrix_Bobot!$B$1*(1+Matrix_Transit!G22)^Matrix_Bobot!$B$2))</f>
        <v>0.05827505828</v>
      </c>
      <c r="H22" s="30">
        <f>IF(Matrix_Waktu!H22="",0,1/(Matrix_Waktu!H22^Matrix_Bobot!$B$1*(1+Matrix_Transit!H22)^Matrix_Bobot!$B$2))</f>
        <v>0.04597701149</v>
      </c>
      <c r="I22" s="30">
        <f>IF(Matrix_Waktu!I22="",0,1/(Matrix_Waktu!I22^Matrix_Bobot!$B$1*(1+Matrix_Transit!I22)^Matrix_Bobot!$B$2))</f>
        <v>0.04194630872</v>
      </c>
      <c r="J22" s="30">
        <f>IF(Matrix_Waktu!J22="",0,1/(Matrix_Waktu!J22^Matrix_Bobot!$B$1*(1+Matrix_Transit!J22)^Matrix_Bobot!$B$2))</f>
        <v>0.04705882355</v>
      </c>
      <c r="K22" s="30">
        <f>IF(Matrix_Waktu!K22="",0,1/(Matrix_Waktu!K22^Matrix_Bobot!$B$1*(1+Matrix_Transit!K22)^Matrix_Bobot!$B$2))</f>
        <v>0.07062146893</v>
      </c>
      <c r="L22" s="30">
        <f>IF(Matrix_Waktu!L22="",0,1/(Matrix_Waktu!L22^Matrix_Bobot!$B$1*(1+Matrix_Transit!L22)^Matrix_Bobot!$B$2))</f>
        <v>0.4444444444</v>
      </c>
      <c r="M22" s="30">
        <f>IF(Matrix_Waktu!M22="",0,1/(Matrix_Waktu!M22^Matrix_Bobot!$B$1*(1+Matrix_Transit!M22)^Matrix_Bobot!$B$2))</f>
        <v>0.08333333333</v>
      </c>
      <c r="N22" s="30">
        <f>IF(Matrix_Waktu!N22="",0,1/(Matrix_Waktu!N22^Matrix_Bobot!$B$1*(1+Matrix_Transit!N22)^Matrix_Bobot!$B$2))</f>
        <v>0.1035196687</v>
      </c>
      <c r="O22" s="30">
        <f>IF(Matrix_Waktu!O22="",0,1/(Matrix_Waktu!O22^Matrix_Bobot!$B$1*(1+Matrix_Transit!O22)^Matrix_Bobot!$B$2))</f>
        <v>0.1016260163</v>
      </c>
      <c r="P22" s="30">
        <f>IF(Matrix_Waktu!P22="",0,1/(Matrix_Waktu!P22^Matrix_Bobot!$B$1*(1+Matrix_Transit!P22)^Matrix_Bobot!$B$2))</f>
        <v>0.6666666667</v>
      </c>
      <c r="Q22" s="30">
        <f>IF(Matrix_Waktu!Q22="",0,1/(Matrix_Waktu!Q22^Matrix_Bobot!$B$1*(1+Matrix_Transit!Q22)^Matrix_Bobot!$B$2))</f>
        <v>0</v>
      </c>
      <c r="R22" s="30">
        <f>IF(Matrix_Waktu!R22="",0,1/(Matrix_Waktu!R22^Matrix_Bobot!$B$1*(1+Matrix_Transit!R22)^Matrix_Bobot!$B$2))</f>
        <v>0.9231053263</v>
      </c>
      <c r="S22" s="30">
        <f>IF(Matrix_Waktu!S22="",0,1/(Matrix_Waktu!S22^Matrix_Bobot!$B$1*(1+Matrix_Transit!S22)^Matrix_Bobot!$B$2))</f>
        <v>0.8</v>
      </c>
      <c r="T22" s="28">
        <v>0.0</v>
      </c>
      <c r="U22" s="30">
        <f>IF(Matrix_Waktu!U22="",0,1/(Matrix_Waktu!U22^Matrix_Bobot!$B$1*(1+Matrix_Transit!U22)^Matrix_Bobot!$B$2))</f>
        <v>0.1090917025</v>
      </c>
      <c r="V22" s="30">
        <f>IF(Matrix_Waktu!V22="",0,1/(Matrix_Waktu!V22^Matrix_Bobot!$B$1*(1+Matrix_Transit!V22)^Matrix_Bobot!$B$2))</f>
        <v>0.03960427409</v>
      </c>
      <c r="W22" s="30">
        <f>IF(Matrix_Waktu!W22="",0,1/(Matrix_Waktu!W22^Matrix_Bobot!$B$1*(1+Matrix_Transit!W22)^Matrix_Bobot!$B$2))</f>
        <v>0.09523809524</v>
      </c>
      <c r="X22" s="30">
        <f>IF(Matrix_Waktu!X22="",0,1/(Matrix_Waktu!X22^Matrix_Bobot!$B$1*(1+Matrix_Transit!X22)^Matrix_Bobot!$B$2))</f>
        <v>0.1333333333</v>
      </c>
      <c r="Y22" s="30">
        <f>IF(Matrix_Waktu!Y22="",0,1/(Matrix_Waktu!Y22^Matrix_Bobot!$B$1*(1+Matrix_Transit!Y22)^Matrix_Bobot!$B$2))</f>
        <v>0.03333333333</v>
      </c>
      <c r="Z22" s="30">
        <f>IF(Matrix_Waktu!Z22="",0,1/(Matrix_Waktu!Z22^Matrix_Bobot!$B$1*(1+Matrix_Transit!Z22)^Matrix_Bobot!$B$2))</f>
        <v>0.07692307692</v>
      </c>
      <c r="AA22" s="30">
        <f>IF(Matrix_Waktu!AA22="",0,1/(Matrix_Waktu!AA22^Matrix_Bobot!$B$1*(1+Matrix_Transit!AA22)^Matrix_Bobot!$B$2))</f>
        <v>0.02666666667</v>
      </c>
      <c r="AB22" s="30">
        <f>IF(Matrix_Waktu!AB22="",0,1/(Matrix_Waktu!AB22^Matrix_Bobot!$B$1*(1+Matrix_Transit!AB22)^Matrix_Bobot!$B$2))</f>
        <v>0.600240096</v>
      </c>
      <c r="AC22" s="30">
        <f>IF(Matrix_Waktu!AC22="",0,1/(Matrix_Waktu!AC22^Matrix_Bobot!$B$1*(1+Matrix_Transit!AC22)^Matrix_Bobot!$B$2))</f>
        <v>0.1501501502</v>
      </c>
      <c r="AD22" s="30">
        <f>IF(Matrix_Waktu!AD22="",0,1/(Matrix_Waktu!AD22^Matrix_Bobot!$B$1*(1+Matrix_Transit!AD22)^Matrix_Bobot!$B$2))</f>
        <v>0.01724435247</v>
      </c>
      <c r="AE22" s="30">
        <f>IF(Matrix_Waktu!AE22="",0,1/(Matrix_Waktu!AE22^Matrix_Bobot!$B$1*(1+Matrix_Transit!AE22)^Matrix_Bobot!$B$2))</f>
        <v>0.01724435247</v>
      </c>
      <c r="AF22" s="30">
        <f>IF(Matrix_Waktu!AF22="",0,1/(Matrix_Waktu!AF22^Matrix_Bobot!$B$1*(1+Matrix_Transit!AF22)^Matrix_Bobot!$B$2))</f>
        <v>0.03200204813</v>
      </c>
      <c r="AG22" s="30">
        <f>IF(Matrix_Waktu!AG22="",0,1/(Matrix_Waktu!AG22^Matrix_Bobot!$B$1*(1+Matrix_Transit!AG22)^Matrix_Bobot!$B$2))</f>
        <v>0.09523809524</v>
      </c>
      <c r="AH22" s="30">
        <f>IF(Matrix_Waktu!AH22="",0,1/(Matrix_Waktu!AH22^Matrix_Bobot!$B$1*(1+Matrix_Transit!AH22)^Matrix_Bobot!$B$2))</f>
        <v>0.04413062665</v>
      </c>
      <c r="AI22" s="30">
        <f>IF(Matrix_Waktu!AI22="",0,1/(Matrix_Waktu!AI22^Matrix_Bobot!$B$1*(1+Matrix_Transit!AI22)^Matrix_Bobot!$B$2))</f>
        <v>0.04316559184</v>
      </c>
      <c r="AJ22" s="33">
        <f t="shared" si="1"/>
        <v>5.186570744</v>
      </c>
    </row>
    <row r="23" ht="14.25" customHeight="1">
      <c r="A23" s="22" t="s">
        <v>58</v>
      </c>
      <c r="B23" s="30">
        <f>IF(Matrix_Waktu!B23="",0,1/(Matrix_Waktu!B23^Matrix_Bobot!$B$1*(1+Matrix_Transit!B23)^Matrix_Bobot!$B$2))</f>
        <v>0.09090909091</v>
      </c>
      <c r="C23" s="30">
        <f>IF(Matrix_Waktu!C23="",0,1/(Matrix_Waktu!C23^Matrix_Bobot!$B$1*(1+Matrix_Transit!C23)^Matrix_Bobot!$B$2))</f>
        <v>0.1154734411</v>
      </c>
      <c r="D23" s="30">
        <f>IF(Matrix_Waktu!D23="",0,1/(Matrix_Waktu!D23^Matrix_Bobot!$B$1*(1+Matrix_Transit!D23)^Matrix_Bobot!$B$2))</f>
        <v>0.1176470588</v>
      </c>
      <c r="E23" s="30">
        <f>IF(Matrix_Waktu!E23="",0,1/(Matrix_Waktu!E23^Matrix_Bobot!$B$1*(1+Matrix_Transit!E23)^Matrix_Bobot!$B$2))</f>
        <v>0.1035196687</v>
      </c>
      <c r="F23" s="30">
        <f>IF(Matrix_Waktu!F23="",0,1/(Matrix_Waktu!F23^Matrix_Bobot!$B$1*(1+Matrix_Transit!F23)^Matrix_Bobot!$B$2))</f>
        <v>0.1275510204</v>
      </c>
      <c r="G23" s="30">
        <f>IF(Matrix_Waktu!G23="",0,1/(Matrix_Waktu!G23^Matrix_Bobot!$B$1*(1+Matrix_Transit!G23)^Matrix_Bobot!$B$2))</f>
        <v>0.1305483029</v>
      </c>
      <c r="H23" s="30">
        <f>IF(Matrix_Waktu!H23="",0,1/(Matrix_Waktu!H23^Matrix_Bobot!$B$1*(1+Matrix_Transit!H23)^Matrix_Bobot!$B$2))</f>
        <v>0.1333333333</v>
      </c>
      <c r="I23" s="30">
        <f>IF(Matrix_Waktu!I23="",0,1/(Matrix_Waktu!I23^Matrix_Bobot!$B$1*(1+Matrix_Transit!I23)^Matrix_Bobot!$B$2))</f>
        <v>0.1577287066</v>
      </c>
      <c r="J23" s="30">
        <f>IF(Matrix_Waktu!J23="",0,1/(Matrix_Waktu!J23^Matrix_Bobot!$B$1*(1+Matrix_Transit!J23)^Matrix_Bobot!$B$2))</f>
        <v>0.1666666667</v>
      </c>
      <c r="K23" s="30">
        <f>IF(Matrix_Waktu!K23="",0,1/(Matrix_Waktu!K23^Matrix_Bobot!$B$1*(1+Matrix_Transit!K23)^Matrix_Bobot!$B$2))</f>
        <v>0.8</v>
      </c>
      <c r="L23" s="30">
        <f>IF(Matrix_Waktu!L23="",0,1/(Matrix_Waktu!L23^Matrix_Bobot!$B$1*(1+Matrix_Transit!L23)^Matrix_Bobot!$B$2))</f>
        <v>0.7042253521</v>
      </c>
      <c r="M23" s="30">
        <f>IF(Matrix_Waktu!M23="",0,1/(Matrix_Waktu!M23^Matrix_Bobot!$B$1*(1+Matrix_Transit!M23)^Matrix_Bobot!$B$2))</f>
        <v>0.01777777778</v>
      </c>
      <c r="N23" s="30">
        <f>IF(Matrix_Waktu!N23="",0,1/(Matrix_Waktu!N23^Matrix_Bobot!$B$1*(1+Matrix_Transit!N23)^Matrix_Bobot!$B$2))</f>
        <v>0.6666666667</v>
      </c>
      <c r="O23" s="30">
        <f>IF(Matrix_Waktu!O23="",0,1/(Matrix_Waktu!O23^Matrix_Bobot!$B$1*(1+Matrix_Transit!O23)^Matrix_Bobot!$B$2))</f>
        <v>0.5464480874</v>
      </c>
      <c r="P23" s="30">
        <f>IF(Matrix_Waktu!P23="",0,1/(Matrix_Waktu!P23^Matrix_Bobot!$B$1*(1+Matrix_Transit!P23)^Matrix_Bobot!$B$2))</f>
        <v>0.5988023952</v>
      </c>
      <c r="Q23" s="30">
        <f>IF(Matrix_Waktu!Q23="",0,1/(Matrix_Waktu!Q23^Matrix_Bobot!$B$1*(1+Matrix_Transit!Q23)^Matrix_Bobot!$B$2))</f>
        <v>0</v>
      </c>
      <c r="R23" s="30">
        <f>IF(Matrix_Waktu!R23="",0,1/(Matrix_Waktu!R23^Matrix_Bobot!$B$1*(1+Matrix_Transit!R23)^Matrix_Bobot!$B$2))</f>
        <v>0.4800768123</v>
      </c>
      <c r="S23" s="30">
        <f>IF(Matrix_Waktu!S23="",0,1/(Matrix_Waktu!S23^Matrix_Bobot!$B$1*(1+Matrix_Transit!S23)^Matrix_Bobot!$B$2))</f>
        <v>0.1017087063</v>
      </c>
      <c r="T23" s="30">
        <f>IF(Matrix_Waktu!T23="",0,1/(Matrix_Waktu!T23^Matrix_Bobot!$B$1*(1+Matrix_Transit!T23)^Matrix_Bobot!$B$2))</f>
        <v>0.1090917025</v>
      </c>
      <c r="U23" s="28">
        <v>0.0</v>
      </c>
      <c r="V23" s="30">
        <f>IF(Matrix_Waktu!V23="",0,1/(Matrix_Waktu!V23^Matrix_Bobot!$B$1*(1+Matrix_Transit!V23)^Matrix_Bobot!$B$2))</f>
        <v>0.1224499792</v>
      </c>
      <c r="W23" s="30">
        <f>IF(Matrix_Waktu!W23="",0,1/(Matrix_Waktu!W23^Matrix_Bobot!$B$1*(1+Matrix_Transit!W23)^Matrix_Bobot!$B$2))</f>
        <v>0.1154734411</v>
      </c>
      <c r="X23" s="30">
        <f>IF(Matrix_Waktu!X23="",0,1/(Matrix_Waktu!X23^Matrix_Bobot!$B$1*(1+Matrix_Transit!X23)^Matrix_Bobot!$B$2))</f>
        <v>0.631592244</v>
      </c>
      <c r="Y23" s="30">
        <f>IF(Matrix_Waktu!Y23="",0,1/(Matrix_Waktu!Y23^Matrix_Bobot!$B$1*(1+Matrix_Transit!Y23)^Matrix_Bobot!$B$2))</f>
        <v>0.09380863039</v>
      </c>
      <c r="Z23" s="30">
        <f>IF(Matrix_Waktu!Z23="",0,1/(Matrix_Waktu!Z23^Matrix_Bobot!$B$1*(1+Matrix_Transit!Z23)^Matrix_Bobot!$B$2))</f>
        <v>0.06451612903</v>
      </c>
      <c r="AA23" s="30">
        <f>IF(Matrix_Waktu!AA23="",0,1/(Matrix_Waktu!AA23^Matrix_Bobot!$B$1*(1+Matrix_Transit!AA23)^Matrix_Bobot!$B$2))</f>
        <v>0.04301075269</v>
      </c>
      <c r="AB23" s="30">
        <f>IF(Matrix_Waktu!AB23="",0,1/(Matrix_Waktu!AB23^Matrix_Bobot!$B$1*(1+Matrix_Transit!AB23)^Matrix_Bobot!$B$2))</f>
        <v>0.1463443189</v>
      </c>
      <c r="AC23" s="30">
        <f>IF(Matrix_Waktu!AC23="",0,1/(Matrix_Waktu!AC23^Matrix_Bobot!$B$1*(1+Matrix_Transit!AC23)^Matrix_Bobot!$B$2))</f>
        <v>0.04413062665</v>
      </c>
      <c r="AD23" s="30">
        <f>IF(Matrix_Waktu!AD23="",0,1/(Matrix_Waktu!AD23^Matrix_Bobot!$B$1*(1+Matrix_Transit!AD23)^Matrix_Bobot!$B$2))</f>
        <v>0.04195827669</v>
      </c>
      <c r="AE23" s="30">
        <f>IF(Matrix_Waktu!AE23="",0,1/(Matrix_Waktu!AE23^Matrix_Bobot!$B$1*(1+Matrix_Transit!AE23)^Matrix_Bobot!$B$2))</f>
        <v>0.0380952381</v>
      </c>
      <c r="AF23" s="30">
        <f>IF(Matrix_Waktu!AF23="",0,1/(Matrix_Waktu!AF23^Matrix_Bobot!$B$1*(1+Matrix_Transit!AF23)^Matrix_Bobot!$B$2))</f>
        <v>0.06896551724</v>
      </c>
      <c r="AG23" s="30">
        <f>IF(Matrix_Waktu!AG23="",0,1/(Matrix_Waktu!AG23^Matrix_Bobot!$B$1*(1+Matrix_Transit!AG23)^Matrix_Bobot!$B$2))</f>
        <v>0.03100775194</v>
      </c>
      <c r="AH23" s="30">
        <f>IF(Matrix_Waktu!AH23="",0,1/(Matrix_Waktu!AH23^Matrix_Bobot!$B$1*(1+Matrix_Transit!AH23)^Matrix_Bobot!$B$2))</f>
        <v>0.03448513691</v>
      </c>
      <c r="AI23" s="30">
        <f>IF(Matrix_Waktu!AI23="",0,1/(Matrix_Waktu!AI23^Matrix_Bobot!$B$1*(1+Matrix_Transit!AI23)^Matrix_Bobot!$B$2))</f>
        <v>0.03007609251</v>
      </c>
      <c r="AJ23" s="33">
        <f t="shared" si="1"/>
        <v>6.674088925</v>
      </c>
    </row>
    <row r="24" ht="14.25" customHeight="1">
      <c r="A24" s="22" t="s">
        <v>61</v>
      </c>
      <c r="B24" s="30">
        <f>IF(Matrix_Waktu!B24="",0,1/(Matrix_Waktu!B24^Matrix_Bobot!$B$1*(1+Matrix_Transit!B24)^Matrix_Bobot!$B$2))</f>
        <v>0.08823477509</v>
      </c>
      <c r="C24" s="30">
        <f>IF(Matrix_Waktu!C24="",0,1/(Matrix_Waktu!C24^Matrix_Bobot!$B$1*(1+Matrix_Transit!C24)^Matrix_Bobot!$B$2))</f>
        <v>0.09523809524</v>
      </c>
      <c r="D24" s="30">
        <f>IF(Matrix_Waktu!D24="",0,1/(Matrix_Waktu!D24^Matrix_Bobot!$B$1*(1+Matrix_Transit!D24)^Matrix_Bobot!$B$2))</f>
        <v>0.1131221719</v>
      </c>
      <c r="E24" s="30">
        <f>IF(Matrix_Waktu!E24="",0,1/(Matrix_Waktu!E24^Matrix_Bobot!$B$1*(1+Matrix_Transit!E24)^Matrix_Bobot!$B$2))</f>
        <v>0.08960573477</v>
      </c>
      <c r="F24" s="30">
        <f>IF(Matrix_Waktu!F24="",0,1/(Matrix_Waktu!F24^Matrix_Bobot!$B$1*(1+Matrix_Transit!F24)^Matrix_Bobot!$B$2))</f>
        <v>0.09842519685</v>
      </c>
      <c r="G24" s="30">
        <f>IF(Matrix_Waktu!G24="",0,1/(Matrix_Waktu!G24^Matrix_Bobot!$B$1*(1+Matrix_Transit!G24)^Matrix_Bobot!$B$2))</f>
        <v>0.1225490196</v>
      </c>
      <c r="H24" s="30">
        <f>IF(Matrix_Waktu!H24="",0,1/(Matrix_Waktu!H24^Matrix_Bobot!$B$1*(1+Matrix_Transit!H24)^Matrix_Bobot!$B$2))</f>
        <v>0.09523809524</v>
      </c>
      <c r="I24" s="30">
        <f>IF(Matrix_Waktu!I24="",0,1/(Matrix_Waktu!I24^Matrix_Bobot!$B$1*(1+Matrix_Transit!I24)^Matrix_Bobot!$B$2))</f>
        <v>0.1070663812</v>
      </c>
      <c r="J24" s="30">
        <f>IF(Matrix_Waktu!J24="",0,1/(Matrix_Waktu!J24^Matrix_Bobot!$B$1*(1+Matrix_Transit!J24)^Matrix_Bobot!$B$2))</f>
        <v>0.1199040767</v>
      </c>
      <c r="K24" s="30">
        <f>IF(Matrix_Waktu!K24="",0,1/(Matrix_Waktu!K24^Matrix_Bobot!$B$1*(1+Matrix_Transit!K24)^Matrix_Bobot!$B$2))</f>
        <v>0.1091703057</v>
      </c>
      <c r="L24" s="30">
        <f>IF(Matrix_Waktu!L24="",0,1/(Matrix_Waktu!L24^Matrix_Bobot!$B$1*(1+Matrix_Transit!L24)^Matrix_Bobot!$B$2))</f>
        <v>0.5714285714</v>
      </c>
      <c r="M24" s="30">
        <f>IF(Matrix_Waktu!M24="",0,1/(Matrix_Waktu!M24^Matrix_Bobot!$B$1*(1+Matrix_Transit!M24)^Matrix_Bobot!$B$2))</f>
        <v>0</v>
      </c>
      <c r="N24" s="30">
        <f>IF(Matrix_Waktu!N24="",0,1/(Matrix_Waktu!N24^Matrix_Bobot!$B$1*(1+Matrix_Transit!N24)^Matrix_Bobot!$B$2))</f>
        <v>0.7518796992</v>
      </c>
      <c r="O24" s="30">
        <f>IF(Matrix_Waktu!O24="",0,1/(Matrix_Waktu!O24^Matrix_Bobot!$B$1*(1+Matrix_Transit!O24)^Matrix_Bobot!$B$2))</f>
        <v>0.6317119394</v>
      </c>
      <c r="P24" s="30">
        <f>IF(Matrix_Waktu!P24="",0,1/(Matrix_Waktu!P24^Matrix_Bobot!$B$1*(1+Matrix_Transit!P24)^Matrix_Bobot!$B$2))</f>
        <v>0.8</v>
      </c>
      <c r="Q24" s="30">
        <f>IF(Matrix_Waktu!Q24="",0,1/(Matrix_Waktu!Q24^Matrix_Bobot!$B$1*(1+Matrix_Transit!Q24)^Matrix_Bobot!$B$2))</f>
        <v>0</v>
      </c>
      <c r="R24" s="30">
        <f>IF(Matrix_Waktu!R24="",0,1/(Matrix_Waktu!R24^Matrix_Bobot!$B$1*(1+Matrix_Transit!R24)^Matrix_Bobot!$B$2))</f>
        <v>0.1714677641</v>
      </c>
      <c r="S24" s="30">
        <f>IF(Matrix_Waktu!S24="",0,1/(Matrix_Waktu!S24^Matrix_Bobot!$B$1*(1+Matrix_Transit!S24)^Matrix_Bobot!$B$2))</f>
        <v>0.09523809524</v>
      </c>
      <c r="T24" s="30">
        <f>IF(Matrix_Waktu!T24="",0,1/(Matrix_Waktu!T24^Matrix_Bobot!$B$1*(1+Matrix_Transit!T24)^Matrix_Bobot!$B$2))</f>
        <v>0.03960427409</v>
      </c>
      <c r="U24" s="30">
        <f>IF(Matrix_Waktu!U24="",0,1/(Matrix_Waktu!U24^Matrix_Bobot!$B$1*(1+Matrix_Transit!U24)^Matrix_Bobot!$B$2))</f>
        <v>0.1224499792</v>
      </c>
      <c r="V24" s="28">
        <v>0.0</v>
      </c>
      <c r="W24" s="30">
        <f>IF(Matrix_Waktu!W24="",0,1/(Matrix_Waktu!W24^Matrix_Bobot!$B$1*(1+Matrix_Transit!W24)^Matrix_Bobot!$B$2))</f>
        <v>0.1</v>
      </c>
      <c r="X24" s="30">
        <f>IF(Matrix_Waktu!X24="",0,1/(Matrix_Waktu!X24^Matrix_Bobot!$B$1*(1+Matrix_Transit!X24)^Matrix_Bobot!$B$2))</f>
        <v>0.8</v>
      </c>
      <c r="Y24" s="30">
        <f>IF(Matrix_Waktu!Y24="",0,1/(Matrix_Waktu!Y24^Matrix_Bobot!$B$1*(1+Matrix_Transit!Y24)^Matrix_Bobot!$B$2))</f>
        <v>0.157898061</v>
      </c>
      <c r="Z24" s="30">
        <f>IF(Matrix_Waktu!Z24="",0,1/(Matrix_Waktu!Z24^Matrix_Bobot!$B$1*(1+Matrix_Transit!Z24)^Matrix_Bobot!$B$2))</f>
        <v>0.06060606061</v>
      </c>
      <c r="AA24" s="30">
        <f>IF(Matrix_Waktu!AA24="",0,1/(Matrix_Waktu!AA24^Matrix_Bobot!$B$1*(1+Matrix_Transit!AA24)^Matrix_Bobot!$B$2))</f>
        <v>0.02209949635</v>
      </c>
      <c r="AB24" s="30">
        <f>IF(Matrix_Waktu!AB24="",0,1/(Matrix_Waktu!AB24^Matrix_Bobot!$B$1*(1+Matrix_Transit!AB24)^Matrix_Bobot!$B$2))</f>
        <v>0.09836710604</v>
      </c>
      <c r="AC24" s="30">
        <f>IF(Matrix_Waktu!AC24="",0,1/(Matrix_Waktu!AC24^Matrix_Bobot!$B$1*(1+Matrix_Transit!AC24)^Matrix_Bobot!$B$2))</f>
        <v>0.0576967459</v>
      </c>
      <c r="AD24" s="30">
        <f>IF(Matrix_Waktu!AD24="",0,1/(Matrix_Waktu!AD24^Matrix_Bobot!$B$1*(1+Matrix_Transit!AD24)^Matrix_Bobot!$B$2))</f>
        <v>0.02139083189</v>
      </c>
      <c r="AE24" s="30">
        <f>IF(Matrix_Waktu!AE24="",0,1/(Matrix_Waktu!AE24^Matrix_Bobot!$B$1*(1+Matrix_Transit!AE24)^Matrix_Bobot!$B$2))</f>
        <v>0.01970521006</v>
      </c>
      <c r="AF24" s="30">
        <f>IF(Matrix_Waktu!AF24="",0,1/(Matrix_Waktu!AF24^Matrix_Bobot!$B$1*(1+Matrix_Transit!AF24)^Matrix_Bobot!$B$2))</f>
        <v>0.07792288751</v>
      </c>
      <c r="AG24" s="30">
        <f>IF(Matrix_Waktu!AG24="",0,1/(Matrix_Waktu!AG24^Matrix_Bobot!$B$1*(1+Matrix_Transit!AG24)^Matrix_Bobot!$B$2))</f>
        <v>0.02259887006</v>
      </c>
      <c r="AH24" s="30">
        <f>IF(Matrix_Waktu!AH24="",0,1/(Matrix_Waktu!AH24^Matrix_Bobot!$B$1*(1+Matrix_Transit!AH24)^Matrix_Bobot!$B$2))</f>
        <v>0.02197898809</v>
      </c>
      <c r="AI24" s="30">
        <f>IF(Matrix_Waktu!AI24="",0,1/(Matrix_Waktu!AI24^Matrix_Bobot!$B$1*(1+Matrix_Transit!AI24)^Matrix_Bobot!$B$2))</f>
        <v>0.02631717459</v>
      </c>
      <c r="AJ24" s="33">
        <f t="shared" si="1"/>
        <v>5.708915607</v>
      </c>
    </row>
    <row r="25" ht="14.25" customHeight="1">
      <c r="A25" s="22" t="s">
        <v>64</v>
      </c>
      <c r="B25" s="30">
        <f>IF(Matrix_Waktu!B25="",0,1/(Matrix_Waktu!B25^Matrix_Bobot!$B$1*(1+Matrix_Transit!B25)^Matrix_Bobot!$B$2))</f>
        <v>0.06896551724</v>
      </c>
      <c r="C25" s="30">
        <f>IF(Matrix_Waktu!C25="",0,1/(Matrix_Waktu!C25^Matrix_Bobot!$B$1*(1+Matrix_Transit!C25)^Matrix_Bobot!$B$2))</f>
        <v>0.07898894155</v>
      </c>
      <c r="D25" s="30">
        <f>IF(Matrix_Waktu!D25="",0,1/(Matrix_Waktu!D25^Matrix_Bobot!$B$1*(1+Matrix_Transit!D25)^Matrix_Bobot!$B$2))</f>
        <v>0.1052631579</v>
      </c>
      <c r="E25" s="30">
        <f>IF(Matrix_Waktu!E25="",0,1/(Matrix_Waktu!E25^Matrix_Bobot!$B$1*(1+Matrix_Transit!E25)^Matrix_Bobot!$B$2))</f>
        <v>0.09380863039</v>
      </c>
      <c r="F25" s="30">
        <f>IF(Matrix_Waktu!F25="",0,1/(Matrix_Waktu!F25^Matrix_Bobot!$B$1*(1+Matrix_Transit!F25)^Matrix_Bobot!$B$2))</f>
        <v>0.1199040767</v>
      </c>
      <c r="G25" s="30">
        <f>IF(Matrix_Waktu!G25="",0,1/(Matrix_Waktu!G25^Matrix_Bobot!$B$1*(1+Matrix_Transit!G25)^Matrix_Bobot!$B$2))</f>
        <v>0.1111111111</v>
      </c>
      <c r="H25" s="30">
        <f>IF(Matrix_Waktu!H25="",0,1/(Matrix_Waktu!H25^Matrix_Bobot!$B$1*(1+Matrix_Transit!H25)^Matrix_Bobot!$B$2))</f>
        <v>0.1091703057</v>
      </c>
      <c r="I25" s="30">
        <f>IF(Matrix_Waktu!I25="",0,1/(Matrix_Waktu!I25^Matrix_Bobot!$B$1*(1+Matrix_Transit!I25)^Matrix_Bobot!$B$2))</f>
        <v>0.1070663812</v>
      </c>
      <c r="J25" s="30">
        <f>IF(Matrix_Waktu!J25="",0,1/(Matrix_Waktu!J25^Matrix_Bobot!$B$1*(1+Matrix_Transit!J25)^Matrix_Bobot!$B$2))</f>
        <v>0.1052631579</v>
      </c>
      <c r="K25" s="30">
        <f>IF(Matrix_Waktu!K25="",0,1/(Matrix_Waktu!K25^Matrix_Bobot!$B$1*(1+Matrix_Transit!K25)^Matrix_Bobot!$B$2))</f>
        <v>0.8</v>
      </c>
      <c r="L25" s="30">
        <f>IF(Matrix_Waktu!L25="",0,1/(Matrix_Waktu!L25^Matrix_Bobot!$B$1*(1+Matrix_Transit!L25)^Matrix_Bobot!$B$2))</f>
        <v>0.5464480874</v>
      </c>
      <c r="M25" s="30">
        <f>IF(Matrix_Waktu!M25="",0,1/(Matrix_Waktu!M25^Matrix_Bobot!$B$1*(1+Matrix_Transit!M25)^Matrix_Bobot!$B$2))</f>
        <v>0.09090909091</v>
      </c>
      <c r="N25" s="30">
        <f>IF(Matrix_Waktu!N25="",0,1/(Matrix_Waktu!N25^Matrix_Bobot!$B$1*(1+Matrix_Transit!N25)^Matrix_Bobot!$B$2))</f>
        <v>0.8</v>
      </c>
      <c r="O25" s="30">
        <f>IF(Matrix_Waktu!O25="",0,1/(Matrix_Waktu!O25^Matrix_Bobot!$B$1*(1+Matrix_Transit!O25)^Matrix_Bobot!$B$2))</f>
        <v>0.6666666667</v>
      </c>
      <c r="P25" s="30">
        <f>IF(Matrix_Waktu!P25="",0,1/(Matrix_Waktu!P25^Matrix_Bobot!$B$1*(1+Matrix_Transit!P25)^Matrix_Bobot!$B$2))</f>
        <v>0.8568980291</v>
      </c>
      <c r="Q25" s="30">
        <f>IF(Matrix_Waktu!Q25="",0,1/(Matrix_Waktu!Q25^Matrix_Bobot!$B$1*(1+Matrix_Transit!Q25)^Matrix_Bobot!$B$2))</f>
        <v>0</v>
      </c>
      <c r="R25" s="30">
        <f>IF(Matrix_Waktu!R25="",0,1/(Matrix_Waktu!R25^Matrix_Bobot!$B$1*(1+Matrix_Transit!R25)^Matrix_Bobot!$B$2))</f>
        <v>0.6666666667</v>
      </c>
      <c r="S25" s="30">
        <f>IF(Matrix_Waktu!S25="",0,1/(Matrix_Waktu!S25^Matrix_Bobot!$B$1*(1+Matrix_Transit!S25)^Matrix_Bobot!$B$2))</f>
        <v>0.1714677641</v>
      </c>
      <c r="T25" s="30">
        <f>IF(Matrix_Waktu!T25="",0,1/(Matrix_Waktu!T25^Matrix_Bobot!$B$1*(1+Matrix_Transit!T25)^Matrix_Bobot!$B$2))</f>
        <v>0.09523809524</v>
      </c>
      <c r="U25" s="30">
        <f>IF(Matrix_Waktu!U25="",0,1/(Matrix_Waktu!U25^Matrix_Bobot!$B$1*(1+Matrix_Transit!U25)^Matrix_Bobot!$B$2))</f>
        <v>0.1154734411</v>
      </c>
      <c r="V25" s="30">
        <f>IF(Matrix_Waktu!V25="",0,1/(Matrix_Waktu!V25^Matrix_Bobot!$B$1*(1+Matrix_Transit!V25)^Matrix_Bobot!$B$2))</f>
        <v>0.1</v>
      </c>
      <c r="W25" s="28">
        <v>0.0</v>
      </c>
      <c r="X25" s="30">
        <f>IF(Matrix_Waktu!X25="",0,1/(Matrix_Waktu!X25^Matrix_Bobot!$B$1*(1+Matrix_Transit!X25)^Matrix_Bobot!$B$2))</f>
        <v>0.8576329331</v>
      </c>
      <c r="Y25" s="30">
        <f>IF(Matrix_Waktu!Y25="",0,1/(Matrix_Waktu!Y25^Matrix_Bobot!$B$1*(1+Matrix_Transit!Y25)^Matrix_Bobot!$B$2))</f>
        <v>0.125</v>
      </c>
      <c r="Z25" s="30">
        <f>IF(Matrix_Waktu!Z25="",0,1/(Matrix_Waktu!Z25^Matrix_Bobot!$B$1*(1+Matrix_Transit!Z25)^Matrix_Bobot!$B$2))</f>
        <v>0.09230882842</v>
      </c>
      <c r="AA25" s="30">
        <f>IF(Matrix_Waktu!AA25="",0,1/(Matrix_Waktu!AA25^Matrix_Bobot!$B$1*(1+Matrix_Transit!AA25)^Matrix_Bobot!$B$2))</f>
        <v>0.04210561773</v>
      </c>
      <c r="AB25" s="30">
        <f>IF(Matrix_Waktu!AB25="",0,1/(Matrix_Waktu!AB25^Matrix_Bobot!$B$1*(1+Matrix_Transit!AB25)^Matrix_Bobot!$B$2))</f>
        <v>0.8</v>
      </c>
      <c r="AC25" s="30">
        <f>IF(Matrix_Waktu!AC25="",0,1/(Matrix_Waktu!AC25^Matrix_Bobot!$B$1*(1+Matrix_Transit!AC25)^Matrix_Bobot!$B$2))</f>
        <v>0.1176470588</v>
      </c>
      <c r="AD25" s="30">
        <f>IF(Matrix_Waktu!AD25="",0,1/(Matrix_Waktu!AD25^Matrix_Bobot!$B$1*(1+Matrix_Transit!AD25)^Matrix_Bobot!$B$2))</f>
        <v>0.04081965875</v>
      </c>
      <c r="AE25" s="30">
        <f>IF(Matrix_Waktu!AE25="",0,1/(Matrix_Waktu!AE25^Matrix_Bobot!$B$1*(1+Matrix_Transit!AE25)^Matrix_Bobot!$B$2))</f>
        <v>0.1111111111</v>
      </c>
      <c r="AF25" s="30">
        <f>IF(Matrix_Waktu!AF25="",0,1/(Matrix_Waktu!AF25^Matrix_Bobot!$B$1*(1+Matrix_Transit!AF25)^Matrix_Bobot!$B$2))</f>
        <v>0.06593696426</v>
      </c>
      <c r="AG25" s="30">
        <f>IF(Matrix_Waktu!AG25="",0,1/(Matrix_Waktu!AG25^Matrix_Bobot!$B$1*(1+Matrix_Transit!AG25)^Matrix_Bobot!$B$2))</f>
        <v>0.03540073634</v>
      </c>
      <c r="AH25" s="30">
        <f>IF(Matrix_Waktu!AH25="",0,1/(Matrix_Waktu!AH25^Matrix_Bobot!$B$1*(1+Matrix_Transit!AH25)^Matrix_Bobot!$B$2))</f>
        <v>0.06977393246</v>
      </c>
      <c r="AI25" s="30">
        <f>IF(Matrix_Waktu!AI25="",0,1/(Matrix_Waktu!AI25^Matrix_Bobot!$B$1*(1+Matrix_Transit!AI25)^Matrix_Bobot!$B$2))</f>
        <v>0.0397352046</v>
      </c>
      <c r="AJ25" s="33">
        <f t="shared" si="1"/>
        <v>8.206781166</v>
      </c>
    </row>
    <row r="26" ht="14.25" customHeight="1">
      <c r="A26" s="22" t="s">
        <v>68</v>
      </c>
      <c r="B26" s="30">
        <f>IF(Matrix_Waktu!B26="",0,1/(Matrix_Waktu!B26^Matrix_Bobot!$B$1*(1+Matrix_Transit!B26)^Matrix_Bobot!$B$2))</f>
        <v>0.05607470137</v>
      </c>
      <c r="C26" s="30">
        <f>IF(Matrix_Waktu!C26="",0,1/(Matrix_Waktu!C26^Matrix_Bobot!$B$1*(1+Matrix_Transit!C26)^Matrix_Bobot!$B$2))</f>
        <v>0.07496251874</v>
      </c>
      <c r="D26" s="30">
        <f>IF(Matrix_Waktu!D26="",0,1/(Matrix_Waktu!D26^Matrix_Bobot!$B$1*(1+Matrix_Transit!D26)^Matrix_Bobot!$B$2))</f>
        <v>0.09293680297</v>
      </c>
      <c r="E26" s="30">
        <f>IF(Matrix_Waktu!E26="",0,1/(Matrix_Waktu!E26^Matrix_Bobot!$B$1*(1+Matrix_Transit!E26)^Matrix_Bobot!$B$2))</f>
        <v>0.09380863039</v>
      </c>
      <c r="F26" s="30">
        <f>IF(Matrix_Waktu!F26="",0,1/(Matrix_Waktu!F26^Matrix_Bobot!$B$1*(1+Matrix_Transit!F26)^Matrix_Bobot!$B$2))</f>
        <v>0.1091703057</v>
      </c>
      <c r="G26" s="30">
        <f>IF(Matrix_Waktu!G26="",0,1/(Matrix_Waktu!G26^Matrix_Bobot!$B$1*(1+Matrix_Transit!G26)^Matrix_Bobot!$B$2))</f>
        <v>0.09380863039</v>
      </c>
      <c r="H26" s="30">
        <f>IF(Matrix_Waktu!H26="",0,1/(Matrix_Waktu!H26^Matrix_Bobot!$B$1*(1+Matrix_Transit!H26)^Matrix_Bobot!$B$2))</f>
        <v>0.09380863039</v>
      </c>
      <c r="I26" s="30">
        <f>IF(Matrix_Waktu!I26="",0,1/(Matrix_Waktu!I26^Matrix_Bobot!$B$1*(1+Matrix_Transit!I26)^Matrix_Bobot!$B$2))</f>
        <v>0.09523809524</v>
      </c>
      <c r="J26" s="30">
        <f>IF(Matrix_Waktu!J26="",0,1/(Matrix_Waktu!J26^Matrix_Bobot!$B$1*(1+Matrix_Transit!J26)^Matrix_Bobot!$B$2))</f>
        <v>0.07692307692</v>
      </c>
      <c r="K26" s="30">
        <f>IF(Matrix_Waktu!K26="",0,1/(Matrix_Waktu!K26^Matrix_Bobot!$B$1*(1+Matrix_Transit!K26)^Matrix_Bobot!$B$2))</f>
        <v>0.08571428576</v>
      </c>
      <c r="L26" s="30">
        <f>IF(Matrix_Waktu!L26="",0,1/(Matrix_Waktu!L26^Matrix_Bobot!$B$1*(1+Matrix_Transit!L26)^Matrix_Bobot!$B$2))</f>
        <v>0.4608294931</v>
      </c>
      <c r="M26" s="30">
        <f>IF(Matrix_Waktu!M26="",0,1/(Matrix_Waktu!M26^Matrix_Bobot!$B$1*(1+Matrix_Transit!M26)^Matrix_Bobot!$B$2))</f>
        <v>0.4608294931</v>
      </c>
      <c r="N26" s="30">
        <f>IF(Matrix_Waktu!N26="",0,1/(Matrix_Waktu!N26^Matrix_Bobot!$B$1*(1+Matrix_Transit!N26)^Matrix_Bobot!$B$2))</f>
        <v>0.5714285714</v>
      </c>
      <c r="O26" s="30">
        <f>IF(Matrix_Waktu!O26="",0,1/(Matrix_Waktu!O26^Matrix_Bobot!$B$1*(1+Matrix_Transit!O26)^Matrix_Bobot!$B$2))</f>
        <v>0.5208333333</v>
      </c>
      <c r="P26" s="30">
        <f>IF(Matrix_Waktu!P26="",0,1/(Matrix_Waktu!P26^Matrix_Bobot!$B$1*(1+Matrix_Transit!P26)^Matrix_Bobot!$B$2))</f>
        <v>0.6317119394</v>
      </c>
      <c r="Q26" s="30">
        <f>IF(Matrix_Waktu!Q26="",0,1/(Matrix_Waktu!Q26^Matrix_Bobot!$B$1*(1+Matrix_Transit!Q26)^Matrix_Bobot!$B$2))</f>
        <v>0</v>
      </c>
      <c r="R26" s="30">
        <f>IF(Matrix_Waktu!R26="",0,1/(Matrix_Waktu!R26^Matrix_Bobot!$B$1*(1+Matrix_Transit!R26)^Matrix_Bobot!$B$2))</f>
        <v>0.5714285714</v>
      </c>
      <c r="S26" s="30">
        <f>IF(Matrix_Waktu!S26="",0,1/(Matrix_Waktu!S26^Matrix_Bobot!$B$1*(1+Matrix_Transit!S26)^Matrix_Bobot!$B$2))</f>
        <v>0.631592244</v>
      </c>
      <c r="T26" s="30">
        <f>IF(Matrix_Waktu!T26="",0,1/(Matrix_Waktu!T26^Matrix_Bobot!$B$1*(1+Matrix_Transit!T26)^Matrix_Bobot!$B$2))</f>
        <v>0.1333333333</v>
      </c>
      <c r="U26" s="30">
        <f>IF(Matrix_Waktu!U26="",0,1/(Matrix_Waktu!U26^Matrix_Bobot!$B$1*(1+Matrix_Transit!U26)^Matrix_Bobot!$B$2))</f>
        <v>0.631592244</v>
      </c>
      <c r="V26" s="30">
        <f>IF(Matrix_Waktu!V26="",0,1/(Matrix_Waktu!V26^Matrix_Bobot!$B$1*(1+Matrix_Transit!V26)^Matrix_Bobot!$B$2))</f>
        <v>0.8</v>
      </c>
      <c r="W26" s="30">
        <f>IF(Matrix_Waktu!W26="",0,1/(Matrix_Waktu!W26^Matrix_Bobot!$B$1*(1+Matrix_Transit!W26)^Matrix_Bobot!$B$2))</f>
        <v>0.8576329331</v>
      </c>
      <c r="X26" s="28">
        <v>0.0</v>
      </c>
      <c r="Y26" s="30">
        <f>IF(Matrix_Waktu!Y26="",0,1/(Matrix_Waktu!Y26^Matrix_Bobot!$B$1*(1+Matrix_Transit!Y26)^Matrix_Bobot!$B$2))</f>
        <v>0.8576329331</v>
      </c>
      <c r="Z26" s="30">
        <f>IF(Matrix_Waktu!Z26="",0,1/(Matrix_Waktu!Z26^Matrix_Bobot!$B$1*(1+Matrix_Transit!Z26)^Matrix_Bobot!$B$2))</f>
        <v>0.5714285714</v>
      </c>
      <c r="AA26" s="30">
        <f>IF(Matrix_Waktu!AA26="",0,1/(Matrix_Waktu!AA26^Matrix_Bobot!$B$1*(1+Matrix_Transit!AA26)^Matrix_Bobot!$B$2))</f>
        <v>0.1579279848</v>
      </c>
      <c r="AB26" s="30">
        <f>IF(Matrix_Waktu!AB26="",0,1/(Matrix_Waktu!AB26^Matrix_Bobot!$B$1*(1+Matrix_Transit!AB26)^Matrix_Bobot!$B$2))</f>
        <v>0.8576329331</v>
      </c>
      <c r="AC26" s="30">
        <f>IF(Matrix_Waktu!AC26="",0,1/(Matrix_Waktu!AC26^Matrix_Bobot!$B$1*(1+Matrix_Transit!AC26)^Matrix_Bobot!$B$2))</f>
        <v>0.1153934918</v>
      </c>
      <c r="AD26" s="30">
        <f>IF(Matrix_Waktu!AD26="",0,1/(Matrix_Waktu!AD26^Matrix_Bobot!$B$1*(1+Matrix_Transit!AD26)^Matrix_Bobot!$B$2))</f>
        <v>0.06527415144</v>
      </c>
      <c r="AE26" s="30">
        <f>IF(Matrix_Waktu!AE26="",0,1/(Matrix_Waktu!AE26^Matrix_Bobot!$B$1*(1+Matrix_Transit!AE26)^Matrix_Bobot!$B$2))</f>
        <v>1</v>
      </c>
      <c r="AF26" s="30">
        <f>IF(Matrix_Waktu!AF26="",0,1/(Matrix_Waktu!AF26^Matrix_Bobot!$B$1*(1+Matrix_Transit!AF26)^Matrix_Bobot!$B$2))</f>
        <v>0.06060606061</v>
      </c>
      <c r="AG26" s="30">
        <f>IF(Matrix_Waktu!AG26="",0,1/(Matrix_Waktu!AG26^Matrix_Bobot!$B$1*(1+Matrix_Transit!AG26)^Matrix_Bobot!$B$2))</f>
        <v>0.04444444444</v>
      </c>
      <c r="AH26" s="30">
        <f>IF(Matrix_Waktu!AH26="",0,1/(Matrix_Waktu!AH26^Matrix_Bobot!$B$1*(1+Matrix_Transit!AH26)^Matrix_Bobot!$B$2))</f>
        <v>0.06896551724</v>
      </c>
      <c r="AI26" s="30">
        <f>IF(Matrix_Waktu!AI26="",0,1/(Matrix_Waktu!AI26^Matrix_Bobot!$B$1*(1+Matrix_Transit!AI26)^Matrix_Bobot!$B$2))</f>
        <v>0.05405405405</v>
      </c>
      <c r="AJ26" s="33">
        <f t="shared" si="1"/>
        <v>10.99701798</v>
      </c>
    </row>
    <row r="27" ht="14.25" customHeight="1">
      <c r="A27" s="22" t="s">
        <v>71</v>
      </c>
      <c r="B27" s="30">
        <f>IF(Matrix_Waktu!B27="",0,1/(Matrix_Waktu!B27^Matrix_Bobot!$B$1*(1+Matrix_Transit!B27)^Matrix_Bobot!$B$2))</f>
        <v>0.01149425287</v>
      </c>
      <c r="C27" s="30">
        <f>IF(Matrix_Waktu!C27="",0,1/(Matrix_Waktu!C27^Matrix_Bobot!$B$1*(1+Matrix_Transit!C27)^Matrix_Bobot!$B$2))</f>
        <v>0.06738544474</v>
      </c>
      <c r="D27" s="30">
        <f>IF(Matrix_Waktu!D27="",0,1/(Matrix_Waktu!D27^Matrix_Bobot!$B$1*(1+Matrix_Transit!D27)^Matrix_Bobot!$B$2))</f>
        <v>0.09523809524</v>
      </c>
      <c r="E27" s="30">
        <f>IF(Matrix_Waktu!E27="",0,1/(Matrix_Waktu!E27^Matrix_Bobot!$B$1*(1+Matrix_Transit!E27)^Matrix_Bobot!$B$2))</f>
        <v>0.07407407407</v>
      </c>
      <c r="F27" s="30">
        <f>IF(Matrix_Waktu!F27="",0,1/(Matrix_Waktu!F27^Matrix_Bobot!$B$1*(1+Matrix_Transit!F27)^Matrix_Bobot!$B$2))</f>
        <v>0.09225092251</v>
      </c>
      <c r="G27" s="30">
        <f>IF(Matrix_Waktu!G27="",0,1/(Matrix_Waktu!G27^Matrix_Bobot!$B$1*(1+Matrix_Transit!G27)^Matrix_Bobot!$B$2))</f>
        <v>0.09225092251</v>
      </c>
      <c r="H27" s="30">
        <f>IF(Matrix_Waktu!H27="",0,1/(Matrix_Waktu!H27^Matrix_Bobot!$B$1*(1+Matrix_Transit!H27)^Matrix_Bobot!$B$2))</f>
        <v>0.07225433526</v>
      </c>
      <c r="I27" s="30">
        <f>IF(Matrix_Waktu!I27="",0,1/(Matrix_Waktu!I27^Matrix_Bobot!$B$1*(1+Matrix_Transit!I27)^Matrix_Bobot!$B$2))</f>
        <v>0.1035196687</v>
      </c>
      <c r="J27" s="30">
        <f>IF(Matrix_Waktu!J27="",0,1/(Matrix_Waktu!J27^Matrix_Bobot!$B$1*(1+Matrix_Transit!J27)^Matrix_Bobot!$B$2))</f>
        <v>0.01339046599</v>
      </c>
      <c r="K27" s="30">
        <f>IF(Matrix_Waktu!K27="",0,1/(Matrix_Waktu!K27^Matrix_Bobot!$B$1*(1+Matrix_Transit!K27)^Matrix_Bobot!$B$2))</f>
        <v>0.04918065036</v>
      </c>
      <c r="L27" s="30">
        <f>IF(Matrix_Waktu!L27="",0,1/(Matrix_Waktu!L27^Matrix_Bobot!$B$1*(1+Matrix_Transit!L27)^Matrix_Bobot!$B$2))</f>
        <v>0.3533568905</v>
      </c>
      <c r="M27" s="30">
        <f>IF(Matrix_Waktu!M27="",0,1/(Matrix_Waktu!M27^Matrix_Bobot!$B$1*(1+Matrix_Transit!M27)^Matrix_Bobot!$B$2))</f>
        <v>0</v>
      </c>
      <c r="N27" s="30">
        <f>IF(Matrix_Waktu!N27="",0,1/(Matrix_Waktu!N27^Matrix_Bobot!$B$1*(1+Matrix_Transit!N27)^Matrix_Bobot!$B$2))</f>
        <v>0.1224589762</v>
      </c>
      <c r="O27" s="30">
        <f>IF(Matrix_Waktu!O27="",0,1/(Matrix_Waktu!O27^Matrix_Bobot!$B$1*(1+Matrix_Transit!O27)^Matrix_Bobot!$B$2))</f>
        <v>0.1052631579</v>
      </c>
      <c r="P27" s="30">
        <f>IF(Matrix_Waktu!P27="",0,1/(Matrix_Waktu!P27^Matrix_Bobot!$B$1*(1+Matrix_Transit!P27)^Matrix_Bobot!$B$2))</f>
        <v>0.4800768123</v>
      </c>
      <c r="Q27" s="30">
        <f>IF(Matrix_Waktu!Q27="",0,1/(Matrix_Waktu!Q27^Matrix_Bobot!$B$1*(1+Matrix_Transit!Q27)^Matrix_Bobot!$B$2))</f>
        <v>0</v>
      </c>
      <c r="R27" s="30">
        <f>IF(Matrix_Waktu!R27="",0,1/(Matrix_Waktu!R27^Matrix_Bobot!$B$1*(1+Matrix_Transit!R27)^Matrix_Bobot!$B$2))</f>
        <v>0.08451656525</v>
      </c>
      <c r="S27" s="30">
        <f>IF(Matrix_Waktu!S27="",0,1/(Matrix_Waktu!S27^Matrix_Bobot!$B$1*(1+Matrix_Transit!S27)^Matrix_Bobot!$B$2))</f>
        <v>0.0631584266</v>
      </c>
      <c r="T27" s="30">
        <f>IF(Matrix_Waktu!T27="",0,1/(Matrix_Waktu!T27^Matrix_Bobot!$B$1*(1+Matrix_Transit!T27)^Matrix_Bobot!$B$2))</f>
        <v>0.03333333333</v>
      </c>
      <c r="U27" s="30">
        <f>IF(Matrix_Waktu!U27="",0,1/(Matrix_Waktu!U27^Matrix_Bobot!$B$1*(1+Matrix_Transit!U27)^Matrix_Bobot!$B$2))</f>
        <v>0.09380863039</v>
      </c>
      <c r="V27" s="30">
        <f>IF(Matrix_Waktu!V27="",0,1/(Matrix_Waktu!V27^Matrix_Bobot!$B$1*(1+Matrix_Transit!V27)^Matrix_Bobot!$B$2))</f>
        <v>0.157898061</v>
      </c>
      <c r="W27" s="30">
        <f>IF(Matrix_Waktu!W27="",0,1/(Matrix_Waktu!W27^Matrix_Bobot!$B$1*(1+Matrix_Transit!W27)^Matrix_Bobot!$B$2))</f>
        <v>0.125</v>
      </c>
      <c r="X27" s="30">
        <f>IF(Matrix_Waktu!X27="",0,1/(Matrix_Waktu!X27^Matrix_Bobot!$B$1*(1+Matrix_Transit!X27)^Matrix_Bobot!$B$2))</f>
        <v>0.8576329331</v>
      </c>
      <c r="Y27" s="28">
        <v>0.0</v>
      </c>
      <c r="Z27" s="30">
        <f>IF(Matrix_Waktu!Z27="",0,1/(Matrix_Waktu!Z27^Matrix_Bobot!$B$1*(1+Matrix_Transit!Z27)^Matrix_Bobot!$B$2))</f>
        <v>0.07407407407</v>
      </c>
      <c r="AA27" s="30">
        <f>IF(Matrix_Waktu!AA27="",0,1/(Matrix_Waktu!AA27^Matrix_Bobot!$B$1*(1+Matrix_Transit!AA27)^Matrix_Bobot!$B$2))</f>
        <v>0.01970521006</v>
      </c>
      <c r="AB27" s="30">
        <f>IF(Matrix_Waktu!AB27="",0,1/(Matrix_Waktu!AB27^Matrix_Bobot!$B$1*(1+Matrix_Transit!AB27)^Matrix_Bobot!$B$2))</f>
        <v>0.1500150015</v>
      </c>
      <c r="AC27" s="30">
        <f>IF(Matrix_Waktu!AC27="",0,1/(Matrix_Waktu!AC27^Matrix_Bobot!$B$1*(1+Matrix_Transit!AC27)^Matrix_Bobot!$B$2))</f>
        <v>0.03361570526</v>
      </c>
      <c r="AD27" s="30">
        <f>IF(Matrix_Waktu!AD27="",0,1/(Matrix_Waktu!AD27^Matrix_Bobot!$B$1*(1+Matrix_Transit!AD27)^Matrix_Bobot!$B$2))</f>
        <v>0</v>
      </c>
      <c r="AE27" s="30">
        <f>IF(Matrix_Waktu!AE27="",0,1/(Matrix_Waktu!AE27^Matrix_Bobot!$B$1*(1+Matrix_Transit!AE27)^Matrix_Bobot!$B$2))</f>
        <v>0.03389945422</v>
      </c>
      <c r="AF27" s="30">
        <f>IF(Matrix_Waktu!AF27="",0,1/(Matrix_Waktu!AF27^Matrix_Bobot!$B$1*(1+Matrix_Transit!AF27)^Matrix_Bobot!$B$2))</f>
        <v>0.01604281506</v>
      </c>
      <c r="AG27" s="30">
        <f>IF(Matrix_Waktu!AG27="",0,1/(Matrix_Waktu!AG27^Matrix_Bobot!$B$1*(1+Matrix_Transit!AG27)^Matrix_Bobot!$B$2))</f>
        <v>0.0281698076</v>
      </c>
      <c r="AH27" s="30">
        <f>IF(Matrix_Waktu!AH27="",0,1/(Matrix_Waktu!AH27^Matrix_Bobot!$B$1*(1+Matrix_Transit!AH27)^Matrix_Bobot!$B$2))</f>
        <v>0.02469135802</v>
      </c>
      <c r="AI27" s="30">
        <f>IF(Matrix_Waktu!AI27="",0,1/(Matrix_Waktu!AI27^Matrix_Bobot!$B$1*(1+Matrix_Transit!AI27)^Matrix_Bobot!$B$2))</f>
        <v>0.01428571429</v>
      </c>
      <c r="AJ27" s="33">
        <f t="shared" si="1"/>
        <v>3.542041759</v>
      </c>
    </row>
    <row r="28" ht="14.25" customHeight="1">
      <c r="A28" s="22" t="s">
        <v>75</v>
      </c>
      <c r="B28" s="30">
        <f>IF(Matrix_Waktu!B28="",0,1/(Matrix_Waktu!B28^Matrix_Bobot!$B$1*(1+Matrix_Transit!B28)^Matrix_Bobot!$B$2))</f>
        <v>0.01680675094</v>
      </c>
      <c r="C28" s="30">
        <f>IF(Matrix_Waktu!C28="",0,1/(Matrix_Waktu!C28^Matrix_Bobot!$B$1*(1+Matrix_Transit!C28)^Matrix_Bobot!$B$2))</f>
        <v>0.0600240096</v>
      </c>
      <c r="D28" s="30">
        <f>IF(Matrix_Waktu!D28="",0,1/(Matrix_Waktu!D28^Matrix_Bobot!$B$1*(1+Matrix_Transit!D28)^Matrix_Bobot!$B$2))</f>
        <v>0.06666666667</v>
      </c>
      <c r="E28" s="30">
        <f>IF(Matrix_Waktu!E28="",0,1/(Matrix_Waktu!E28^Matrix_Bobot!$B$1*(1+Matrix_Transit!E28)^Matrix_Bobot!$B$2))</f>
        <v>0.06896551724</v>
      </c>
      <c r="F28" s="30">
        <f>IF(Matrix_Waktu!F28="",0,1/(Matrix_Waktu!F28^Matrix_Bobot!$B$1*(1+Matrix_Transit!F28)^Matrix_Bobot!$B$2))</f>
        <v>0.07407407407</v>
      </c>
      <c r="G28" s="30">
        <f>IF(Matrix_Waktu!G28="",0,1/(Matrix_Waktu!G28^Matrix_Bobot!$B$1*(1+Matrix_Transit!G28)^Matrix_Bobot!$B$2))</f>
        <v>0.08223684211</v>
      </c>
      <c r="H28" s="30">
        <f>IF(Matrix_Waktu!H28="",0,1/(Matrix_Waktu!H28^Matrix_Bobot!$B$1*(1+Matrix_Transit!H28)^Matrix_Bobot!$B$2))</f>
        <v>0.07692307692</v>
      </c>
      <c r="I28" s="30">
        <f>IF(Matrix_Waktu!I28="",0,1/(Matrix_Waktu!I28^Matrix_Bobot!$B$1*(1+Matrix_Transit!I28)^Matrix_Bobot!$B$2))</f>
        <v>0.08960573477</v>
      </c>
      <c r="J28" s="30">
        <f>IF(Matrix_Waktu!J28="",0,1/(Matrix_Waktu!J28^Matrix_Bobot!$B$1*(1+Matrix_Transit!J28)^Matrix_Bobot!$B$2))</f>
        <v>0.04616805171</v>
      </c>
      <c r="K28" s="30">
        <f>IF(Matrix_Waktu!K28="",0,1/(Matrix_Waktu!K28^Matrix_Bobot!$B$1*(1+Matrix_Transit!K28)^Matrix_Bobot!$B$2))</f>
        <v>0.07788161994</v>
      </c>
      <c r="L28" s="30">
        <f>IF(Matrix_Waktu!L28="",0,1/(Matrix_Waktu!L28^Matrix_Bobot!$B$1*(1+Matrix_Transit!L28)^Matrix_Bobot!$B$2))</f>
        <v>0.2923976608</v>
      </c>
      <c r="M28" s="30">
        <f>IF(Matrix_Waktu!M28="",0,1/(Matrix_Waktu!M28^Matrix_Bobot!$B$1*(1+Matrix_Transit!M28)^Matrix_Bobot!$B$2))</f>
        <v>0.03958828187</v>
      </c>
      <c r="N28" s="30">
        <f>IF(Matrix_Waktu!N28="",0,1/(Matrix_Waktu!N28^Matrix_Bobot!$B$1*(1+Matrix_Transit!N28)^Matrix_Bobot!$B$2))</f>
        <v>0.08818342152</v>
      </c>
      <c r="O28" s="30">
        <f>IF(Matrix_Waktu!O28="",0,1/(Matrix_Waktu!O28^Matrix_Bobot!$B$1*(1+Matrix_Transit!O28)^Matrix_Bobot!$B$2))</f>
        <v>0.1070663812</v>
      </c>
      <c r="P28" s="30">
        <f>IF(Matrix_Waktu!P28="",0,1/(Matrix_Waktu!P28^Matrix_Bobot!$B$1*(1+Matrix_Transit!P28)^Matrix_Bobot!$B$2))</f>
        <v>0.3745318352</v>
      </c>
      <c r="Q28" s="30">
        <f>IF(Matrix_Waktu!Q28="",0,1/(Matrix_Waktu!Q28^Matrix_Bobot!$B$1*(1+Matrix_Transit!Q28)^Matrix_Bobot!$B$2))</f>
        <v>0</v>
      </c>
      <c r="R28" s="30">
        <f>IF(Matrix_Waktu!R28="",0,1/(Matrix_Waktu!R28^Matrix_Bobot!$B$1*(1+Matrix_Transit!R28)^Matrix_Bobot!$B$2))</f>
        <v>0.4</v>
      </c>
      <c r="S28" s="30">
        <f>IF(Matrix_Waktu!S28="",0,1/(Matrix_Waktu!S28^Matrix_Bobot!$B$1*(1+Matrix_Transit!S28)^Matrix_Bobot!$B$2))</f>
        <v>0.125</v>
      </c>
      <c r="T28" s="30">
        <f>IF(Matrix_Waktu!T28="",0,1/(Matrix_Waktu!T28^Matrix_Bobot!$B$1*(1+Matrix_Transit!T28)^Matrix_Bobot!$B$2))</f>
        <v>0.07692307692</v>
      </c>
      <c r="U28" s="30">
        <f>IF(Matrix_Waktu!U28="",0,1/(Matrix_Waktu!U28^Matrix_Bobot!$B$1*(1+Matrix_Transit!U28)^Matrix_Bobot!$B$2))</f>
        <v>0.06451612903</v>
      </c>
      <c r="V28" s="30">
        <f>IF(Matrix_Waktu!V28="",0,1/(Matrix_Waktu!V28^Matrix_Bobot!$B$1*(1+Matrix_Transit!V28)^Matrix_Bobot!$B$2))</f>
        <v>0.06060606061</v>
      </c>
      <c r="W28" s="30">
        <f>IF(Matrix_Waktu!W28="",0,1/(Matrix_Waktu!W28^Matrix_Bobot!$B$1*(1+Matrix_Transit!W28)^Matrix_Bobot!$B$2))</f>
        <v>0.09230882842</v>
      </c>
      <c r="X28" s="30">
        <f>IF(Matrix_Waktu!X28="",0,1/(Matrix_Waktu!X28^Matrix_Bobot!$B$1*(1+Matrix_Transit!X28)^Matrix_Bobot!$B$2))</f>
        <v>0.5714285714</v>
      </c>
      <c r="Y28" s="30">
        <f>IF(Matrix_Waktu!Y28="",0,1/(Matrix_Waktu!Y28^Matrix_Bobot!$B$1*(1+Matrix_Transit!Y28)^Matrix_Bobot!$B$2))</f>
        <v>0.07407407407</v>
      </c>
      <c r="Z28" s="28">
        <v>0.0</v>
      </c>
      <c r="AA28" s="30">
        <f>IF(Matrix_Waktu!AA28="",0,1/(Matrix_Waktu!AA28^Matrix_Bobot!$B$1*(1+Matrix_Transit!AA28)^Matrix_Bobot!$B$2))</f>
        <v>0.1363884343</v>
      </c>
      <c r="AB28" s="30">
        <f>IF(Matrix_Waktu!AB28="",0,1/(Matrix_Waktu!AB28^Matrix_Bobot!$B$1*(1+Matrix_Transit!AB28)^Matrix_Bobot!$B$2))</f>
        <v>0.5714285714</v>
      </c>
      <c r="AC28" s="30">
        <f>IF(Matrix_Waktu!AC28="",0,1/(Matrix_Waktu!AC28^Matrix_Bobot!$B$1*(1+Matrix_Transit!AC28)^Matrix_Bobot!$B$2))</f>
        <v>0.1538461538</v>
      </c>
      <c r="AD28" s="30">
        <f>IF(Matrix_Waktu!AD28="",0,1/(Matrix_Waktu!AD28^Matrix_Bobot!$B$1*(1+Matrix_Transit!AD28)^Matrix_Bobot!$B$2))</f>
        <v>0.9233610342</v>
      </c>
      <c r="AE28" s="30">
        <f>IF(Matrix_Waktu!AE28="",0,1/(Matrix_Waktu!AE28^Matrix_Bobot!$B$1*(1+Matrix_Transit!AE28)^Matrix_Bobot!$B$2))</f>
        <v>0.113209256</v>
      </c>
      <c r="AF28" s="30">
        <f>IF(Matrix_Waktu!AF28="",0,1/(Matrix_Waktu!AF28^Matrix_Bobot!$B$1*(1+Matrix_Transit!AF28)^Matrix_Bobot!$B$2))</f>
        <v>0.1621796951</v>
      </c>
      <c r="AG28" s="30">
        <f>IF(Matrix_Waktu!AG28="",0,1/(Matrix_Waktu!AG28^Matrix_Bobot!$B$1*(1+Matrix_Transit!AG28)^Matrix_Bobot!$B$2))</f>
        <v>1.200480192</v>
      </c>
      <c r="AH28" s="30">
        <f>IF(Matrix_Waktu!AH28="",0,1/(Matrix_Waktu!AH28^Matrix_Bobot!$B$1*(1+Matrix_Transit!AH28)^Matrix_Bobot!$B$2))</f>
        <v>0.7501875469</v>
      </c>
      <c r="AI28" s="30">
        <f>IF(Matrix_Waktu!AI28="",0,1/(Matrix_Waktu!AI28^Matrix_Bobot!$B$1*(1+Matrix_Transit!AI28)^Matrix_Bobot!$B$2))</f>
        <v>0.1276617474</v>
      </c>
      <c r="AJ28" s="33">
        <f t="shared" si="1"/>
        <v>7.164719296</v>
      </c>
    </row>
    <row r="29" ht="14.25" customHeight="1">
      <c r="A29" s="22" t="s">
        <v>78</v>
      </c>
      <c r="B29" s="30">
        <f>IF(Matrix_Waktu!B29="",0,1/(Matrix_Waktu!B29^Matrix_Bobot!$B$1*(1+Matrix_Transit!B29)^Matrix_Bobot!$B$2))</f>
        <v>0.03703703704</v>
      </c>
      <c r="C29" s="30">
        <f>IF(Matrix_Waktu!C29="",0,1/(Matrix_Waktu!C29^Matrix_Bobot!$B$1*(1+Matrix_Transit!C29)^Matrix_Bobot!$B$2))</f>
        <v>0.05359056806</v>
      </c>
      <c r="D29" s="30">
        <f>IF(Matrix_Waktu!D29="",0,1/(Matrix_Waktu!D29^Matrix_Bobot!$B$1*(1+Matrix_Transit!D29)^Matrix_Bobot!$B$2))</f>
        <v>0.05170630817</v>
      </c>
      <c r="E29" s="30">
        <f>IF(Matrix_Waktu!E29="",0,1/(Matrix_Waktu!E29^Matrix_Bobot!$B$1*(1+Matrix_Transit!E29)^Matrix_Bobot!$B$2))</f>
        <v>0.04257130694</v>
      </c>
      <c r="F29" s="30">
        <f>IF(Matrix_Waktu!F29="",0,1/(Matrix_Waktu!F29^Matrix_Bobot!$B$1*(1+Matrix_Transit!F29)^Matrix_Bobot!$B$2))</f>
        <v>0.04444444444</v>
      </c>
      <c r="G29" s="30">
        <f>IF(Matrix_Waktu!G29="",0,1/(Matrix_Waktu!G29^Matrix_Bobot!$B$1*(1+Matrix_Transit!G29)^Matrix_Bobot!$B$2))</f>
        <v>0.03450655625</v>
      </c>
      <c r="H29" s="30">
        <f>IF(Matrix_Waktu!H29="",0,1/(Matrix_Waktu!H29^Matrix_Bobot!$B$1*(1+Matrix_Transit!H29)^Matrix_Bobot!$B$2))</f>
        <v>0.04444444444</v>
      </c>
      <c r="I29" s="30">
        <f>IF(Matrix_Waktu!I29="",0,1/(Matrix_Waktu!I29^Matrix_Bobot!$B$1*(1+Matrix_Transit!I29)^Matrix_Bobot!$B$2))</f>
        <v>0.0352858151</v>
      </c>
      <c r="J29" s="30">
        <f>IF(Matrix_Waktu!J29="",0,1/(Matrix_Waktu!J29^Matrix_Bobot!$B$1*(1+Matrix_Transit!J29)^Matrix_Bobot!$B$2))</f>
        <v>0.04108463435</v>
      </c>
      <c r="K29" s="30">
        <f>IF(Matrix_Waktu!K29="",0,1/(Matrix_Waktu!K29^Matrix_Bobot!$B$1*(1+Matrix_Transit!K29)^Matrix_Bobot!$B$2))</f>
        <v>0.06976750676</v>
      </c>
      <c r="L29" s="30">
        <f>IF(Matrix_Waktu!L29="",0,1/(Matrix_Waktu!L29^Matrix_Bobot!$B$1*(1+Matrix_Transit!L29)^Matrix_Bobot!$B$2))</f>
        <v>0.1199040767</v>
      </c>
      <c r="M29" s="30">
        <f>IF(Matrix_Waktu!M29="",0,1/(Matrix_Waktu!M29^Matrix_Bobot!$B$1*(1+Matrix_Transit!M29)^Matrix_Bobot!$B$2))</f>
        <v>0</v>
      </c>
      <c r="N29" s="30">
        <f>IF(Matrix_Waktu!N29="",0,1/(Matrix_Waktu!N29^Matrix_Bobot!$B$1*(1+Matrix_Transit!N29)^Matrix_Bobot!$B$2))</f>
        <v>0.04816955684</v>
      </c>
      <c r="O29" s="30">
        <f>IF(Matrix_Waktu!O29="",0,1/(Matrix_Waktu!O29^Matrix_Bobot!$B$1*(1+Matrix_Transit!O29)^Matrix_Bobot!$B$2))</f>
        <v>0.1305483029</v>
      </c>
      <c r="P29" s="30">
        <f>IF(Matrix_Waktu!P29="",0,1/(Matrix_Waktu!P29^Matrix_Bobot!$B$1*(1+Matrix_Transit!P29)^Matrix_Bobot!$B$2))</f>
        <v>0.1395478649</v>
      </c>
      <c r="Q29" s="30">
        <f>IF(Matrix_Waktu!Q29="",0,1/(Matrix_Waktu!Q29^Matrix_Bobot!$B$1*(1+Matrix_Transit!Q29)^Matrix_Bobot!$B$2))</f>
        <v>0</v>
      </c>
      <c r="R29" s="30">
        <f>IF(Matrix_Waktu!R29="",0,1/(Matrix_Waktu!R29^Matrix_Bobot!$B$1*(1+Matrix_Transit!R29)^Matrix_Bobot!$B$2))</f>
        <v>0.1200192031</v>
      </c>
      <c r="S29" s="30">
        <f>IF(Matrix_Waktu!S29="",0,1/(Matrix_Waktu!S29^Matrix_Bobot!$B$1*(1+Matrix_Transit!S29)^Matrix_Bobot!$B$2))</f>
        <v>0.04938271605</v>
      </c>
      <c r="T29" s="30">
        <f>IF(Matrix_Waktu!T29="",0,1/(Matrix_Waktu!T29^Matrix_Bobot!$B$1*(1+Matrix_Transit!T29)^Matrix_Bobot!$B$2))</f>
        <v>0.02666666667</v>
      </c>
      <c r="U29" s="30">
        <f>IF(Matrix_Waktu!U29="",0,1/(Matrix_Waktu!U29^Matrix_Bobot!$B$1*(1+Matrix_Transit!U29)^Matrix_Bobot!$B$2))</f>
        <v>0.04301075269</v>
      </c>
      <c r="V29" s="30">
        <f>IF(Matrix_Waktu!V29="",0,1/(Matrix_Waktu!V29^Matrix_Bobot!$B$1*(1+Matrix_Transit!V29)^Matrix_Bobot!$B$2))</f>
        <v>0.02209949635</v>
      </c>
      <c r="W29" s="30">
        <f>IF(Matrix_Waktu!W29="",0,1/(Matrix_Waktu!W29^Matrix_Bobot!$B$1*(1+Matrix_Transit!W29)^Matrix_Bobot!$B$2))</f>
        <v>0.04210561773</v>
      </c>
      <c r="X29" s="30">
        <f>IF(Matrix_Waktu!X29="",0,1/(Matrix_Waktu!X29^Matrix_Bobot!$B$1*(1+Matrix_Transit!X29)^Matrix_Bobot!$B$2))</f>
        <v>0.1579279848</v>
      </c>
      <c r="Y29" s="30">
        <f>IF(Matrix_Waktu!Y29="",0,1/(Matrix_Waktu!Y29^Matrix_Bobot!$B$1*(1+Matrix_Transit!Y29)^Matrix_Bobot!$B$2))</f>
        <v>0.01970521006</v>
      </c>
      <c r="Z29" s="30">
        <f>IF(Matrix_Waktu!Z29="",0,1/(Matrix_Waktu!Z29^Matrix_Bobot!$B$1*(1+Matrix_Transit!Z29)^Matrix_Bobot!$B$2))</f>
        <v>0.1363884343</v>
      </c>
      <c r="AA29" s="28">
        <v>0.0</v>
      </c>
      <c r="AB29" s="30">
        <f>IF(Matrix_Waktu!AB29="",0,1/(Matrix_Waktu!AB29^Matrix_Bobot!$B$1*(1+Matrix_Transit!AB29)^Matrix_Bobot!$B$2))</f>
        <v>0.9233610342</v>
      </c>
      <c r="AC29" s="30">
        <f>IF(Matrix_Waktu!AC29="",0,1/(Matrix_Waktu!AC29^Matrix_Bobot!$B$1*(1+Matrix_Transit!AC29)^Matrix_Bobot!$B$2))</f>
        <v>0.1764913519</v>
      </c>
      <c r="AD29" s="30">
        <f>IF(Matrix_Waktu!AD29="",0,1/(Matrix_Waktu!AD29^Matrix_Bobot!$B$1*(1+Matrix_Transit!AD29)^Matrix_Bobot!$B$2))</f>
        <v>0.1224589762</v>
      </c>
      <c r="AE29" s="30">
        <f>IF(Matrix_Waktu!AE29="",0,1/(Matrix_Waktu!AE29^Matrix_Bobot!$B$1*(1+Matrix_Transit!AE29)^Matrix_Bobot!$B$2))</f>
        <v>0.1176470588</v>
      </c>
      <c r="AF29" s="30">
        <f>IF(Matrix_Waktu!AF29="",0,1/(Matrix_Waktu!AF29^Matrix_Bobot!$B$1*(1+Matrix_Transit!AF29)^Matrix_Bobot!$B$2))</f>
        <v>0.008824567596</v>
      </c>
      <c r="AG29" s="30">
        <f>IF(Matrix_Waktu!AG29="",0,1/(Matrix_Waktu!AG29^Matrix_Bobot!$B$1*(1+Matrix_Transit!AG29)^Matrix_Bobot!$B$2))</f>
        <v>0.1154734411</v>
      </c>
      <c r="AH29" s="30">
        <f>IF(Matrix_Waktu!AH29="",0,1/(Matrix_Waktu!AH29^Matrix_Bobot!$B$1*(1+Matrix_Transit!AH29)^Matrix_Bobot!$B$2))</f>
        <v>0.08576329331</v>
      </c>
      <c r="AI29" s="30">
        <f>IF(Matrix_Waktu!AI29="",0,1/(Matrix_Waktu!AI29^Matrix_Bobot!$B$1*(1+Matrix_Transit!AI29)^Matrix_Bobot!$B$2))</f>
        <v>0.03681071928</v>
      </c>
      <c r="AJ29" s="33">
        <f t="shared" si="1"/>
        <v>3.096744947</v>
      </c>
    </row>
    <row r="30" ht="14.25" customHeight="1">
      <c r="A30" s="22" t="s">
        <v>81</v>
      </c>
      <c r="B30" s="30">
        <f>IF(Matrix_Waktu!B30="",0,1/(Matrix_Waktu!B30^Matrix_Bobot!$B$1*(1+Matrix_Transit!B30)^Matrix_Bobot!$B$2))</f>
        <v>0.07225433526</v>
      </c>
      <c r="C30" s="30">
        <f>IF(Matrix_Waktu!C30="",0,1/(Matrix_Waktu!C30^Matrix_Bobot!$B$1*(1+Matrix_Transit!C30)^Matrix_Bobot!$B$2))</f>
        <v>0.08445945946</v>
      </c>
      <c r="D30" s="30">
        <f>IF(Matrix_Waktu!D30="",0,1/(Matrix_Waktu!D30^Matrix_Bobot!$B$1*(1+Matrix_Transit!D30)^Matrix_Bobot!$B$2))</f>
        <v>0.09225092251</v>
      </c>
      <c r="E30" s="30">
        <f>IF(Matrix_Waktu!E30="",0,1/(Matrix_Waktu!E30^Matrix_Bobot!$B$1*(1+Matrix_Transit!E30)^Matrix_Bobot!$B$2))</f>
        <v>0.09676795045</v>
      </c>
      <c r="F30" s="30">
        <f>IF(Matrix_Waktu!F30="",0,1/(Matrix_Waktu!F30^Matrix_Bobot!$B$1*(1+Matrix_Transit!F30)^Matrix_Bobot!$B$2))</f>
        <v>0.1091703057</v>
      </c>
      <c r="G30" s="30">
        <f>IF(Matrix_Waktu!G30="",0,1/(Matrix_Waktu!G30^Matrix_Bobot!$B$1*(1+Matrix_Transit!G30)^Matrix_Bobot!$B$2))</f>
        <v>0.09842519685</v>
      </c>
      <c r="H30" s="30">
        <f>IF(Matrix_Waktu!H30="",0,1/(Matrix_Waktu!H30^Matrix_Bobot!$B$1*(1+Matrix_Transit!H30)^Matrix_Bobot!$B$2))</f>
        <v>0.09090909091</v>
      </c>
      <c r="I30" s="30">
        <f>IF(Matrix_Waktu!I30="",0,1/(Matrix_Waktu!I30^Matrix_Bobot!$B$1*(1+Matrix_Transit!I30)^Matrix_Bobot!$B$2))</f>
        <v>0.1154734411</v>
      </c>
      <c r="J30" s="30">
        <f>IF(Matrix_Waktu!J30="",0,1/(Matrix_Waktu!J30^Matrix_Bobot!$B$1*(1+Matrix_Transit!J30)^Matrix_Bobot!$B$2))</f>
        <v>0.1091703057</v>
      </c>
      <c r="K30" s="30">
        <f>IF(Matrix_Waktu!K30="",0,1/(Matrix_Waktu!K30^Matrix_Bobot!$B$1*(1+Matrix_Transit!K30)^Matrix_Bobot!$B$2))</f>
        <v>0.09523809524</v>
      </c>
      <c r="L30" s="30">
        <f>IF(Matrix_Waktu!L30="",0,1/(Matrix_Waktu!L30^Matrix_Bobot!$B$1*(1+Matrix_Transit!L30)^Matrix_Bobot!$B$2))</f>
        <v>0.4291845494</v>
      </c>
      <c r="M30" s="30">
        <f>IF(Matrix_Waktu!M30="",0,1/(Matrix_Waktu!M30^Matrix_Bobot!$B$1*(1+Matrix_Transit!M30)^Matrix_Bobot!$B$2))</f>
        <v>0.07225433526</v>
      </c>
      <c r="N30" s="30">
        <f>IF(Matrix_Waktu!N30="",0,1/(Matrix_Waktu!N30^Matrix_Bobot!$B$1*(1+Matrix_Transit!N30)^Matrix_Bobot!$B$2))</f>
        <v>0.5714285714</v>
      </c>
      <c r="O30" s="30">
        <f>IF(Matrix_Waktu!O30="",0,1/(Matrix_Waktu!O30^Matrix_Bobot!$B$1*(1+Matrix_Transit!O30)^Matrix_Bobot!$B$2))</f>
        <v>0.5464480874</v>
      </c>
      <c r="P30" s="30">
        <f>IF(Matrix_Waktu!P30="",0,1/(Matrix_Waktu!P30^Matrix_Bobot!$B$1*(1+Matrix_Transit!P30)^Matrix_Bobot!$B$2))</f>
        <v>0.7062146893</v>
      </c>
      <c r="Q30" s="30">
        <f>IF(Matrix_Waktu!Q30="",0,1/(Matrix_Waktu!Q30^Matrix_Bobot!$B$1*(1+Matrix_Transit!Q30)^Matrix_Bobot!$B$2))</f>
        <v>0</v>
      </c>
      <c r="R30" s="30">
        <f>IF(Matrix_Waktu!R30="",0,1/(Matrix_Waktu!R30^Matrix_Bobot!$B$1*(1+Matrix_Transit!R30)^Matrix_Bobot!$B$2))</f>
        <v>0.7518796992</v>
      </c>
      <c r="S30" s="30">
        <f>IF(Matrix_Waktu!S30="",0,1/(Matrix_Waktu!S30^Matrix_Bobot!$B$1*(1+Matrix_Transit!S30)^Matrix_Bobot!$B$2))</f>
        <v>0.8576329331</v>
      </c>
      <c r="T30" s="30">
        <f>IF(Matrix_Waktu!T30="",0,1/(Matrix_Waktu!T30^Matrix_Bobot!$B$1*(1+Matrix_Transit!T30)^Matrix_Bobot!$B$2))</f>
        <v>0.600240096</v>
      </c>
      <c r="U30" s="30">
        <f>IF(Matrix_Waktu!U30="",0,1/(Matrix_Waktu!U30^Matrix_Bobot!$B$1*(1+Matrix_Transit!U30)^Matrix_Bobot!$B$2))</f>
        <v>0.1463443189</v>
      </c>
      <c r="V30" s="30">
        <f>IF(Matrix_Waktu!V30="",0,1/(Matrix_Waktu!V30^Matrix_Bobot!$B$1*(1+Matrix_Transit!V30)^Matrix_Bobot!$B$2))</f>
        <v>0.09836710604</v>
      </c>
      <c r="W30" s="30">
        <f>IF(Matrix_Waktu!W30="",0,1/(Matrix_Waktu!W30^Matrix_Bobot!$B$1*(1+Matrix_Transit!W30)^Matrix_Bobot!$B$2))</f>
        <v>0.8</v>
      </c>
      <c r="X30" s="30">
        <f>IF(Matrix_Waktu!X30="",0,1/(Matrix_Waktu!X30^Matrix_Bobot!$B$1*(1+Matrix_Transit!X30)^Matrix_Bobot!$B$2))</f>
        <v>0.8576329331</v>
      </c>
      <c r="Y30" s="30">
        <f>IF(Matrix_Waktu!Y30="",0,1/(Matrix_Waktu!Y30^Matrix_Bobot!$B$1*(1+Matrix_Transit!Y30)^Matrix_Bobot!$B$2))</f>
        <v>0.1500150015</v>
      </c>
      <c r="Z30" s="30">
        <f>IF(Matrix_Waktu!Z30="",0,1/(Matrix_Waktu!Z30^Matrix_Bobot!$B$1*(1+Matrix_Transit!Z30)^Matrix_Bobot!$B$2))</f>
        <v>0.5714285714</v>
      </c>
      <c r="AA30" s="30">
        <f>IF(Matrix_Waktu!AA30="",0,1/(Matrix_Waktu!AA30^Matrix_Bobot!$B$1*(1+Matrix_Transit!AA30)^Matrix_Bobot!$B$2))</f>
        <v>0.9233610342</v>
      </c>
      <c r="AB30" s="28">
        <v>0.0</v>
      </c>
      <c r="AC30" s="30">
        <f>IF(Matrix_Waktu!AC30="",0,1/(Matrix_Waktu!AC30^Matrix_Bobot!$B$1*(1+Matrix_Transit!AC30)^Matrix_Bobot!$B$2))</f>
        <v>1</v>
      </c>
      <c r="AD30" s="30">
        <f>IF(Matrix_Waktu!AD30="",0,1/(Matrix_Waktu!AD30^Matrix_Bobot!$B$1*(1+Matrix_Transit!AD30)^Matrix_Bobot!$B$2))</f>
        <v>0.6666666667</v>
      </c>
      <c r="AE30" s="30">
        <f>IF(Matrix_Waktu!AE30="",0,1/(Matrix_Waktu!AE30^Matrix_Bobot!$B$1*(1+Matrix_Transit!AE30)^Matrix_Bobot!$B$2))</f>
        <v>0.8576329331</v>
      </c>
      <c r="AF30" s="30">
        <f>IF(Matrix_Waktu!AF30="",0,1/(Matrix_Waktu!AF30^Matrix_Bobot!$B$1*(1+Matrix_Transit!AF30)^Matrix_Bobot!$B$2))</f>
        <v>0.5714285714</v>
      </c>
      <c r="AG30" s="30">
        <f>IF(Matrix_Waktu!AG30="",0,1/(Matrix_Waktu!AG30^Matrix_Bobot!$B$1*(1+Matrix_Transit!AG30)^Matrix_Bobot!$B$2))</f>
        <v>0.5217572785</v>
      </c>
      <c r="AH30" s="30">
        <f>IF(Matrix_Waktu!AH30="",0,1/(Matrix_Waktu!AH30^Matrix_Bobot!$B$1*(1+Matrix_Transit!AH30)^Matrix_Bobot!$B$2))</f>
        <v>0.4444444444</v>
      </c>
      <c r="AI30" s="30">
        <f>IF(Matrix_Waktu!AI30="",0,1/(Matrix_Waktu!AI30^Matrix_Bobot!$B$1*(1+Matrix_Transit!AI30)^Matrix_Bobot!$B$2))</f>
        <v>0.2857142857</v>
      </c>
      <c r="AJ30" s="33">
        <f t="shared" si="1"/>
        <v>13.39419521</v>
      </c>
    </row>
    <row r="31" ht="14.25" customHeight="1">
      <c r="A31" s="22" t="s">
        <v>84</v>
      </c>
      <c r="B31" s="30">
        <f>IF(Matrix_Waktu!B31="",0,1/(Matrix_Waktu!B31^Matrix_Bobot!$B$1*(1+Matrix_Transit!B31)^Matrix_Bobot!$B$2))</f>
        <v>0.05767012687</v>
      </c>
      <c r="C31" s="30">
        <f>IF(Matrix_Waktu!C31="",0,1/(Matrix_Waktu!C31^Matrix_Bobot!$B$1*(1+Matrix_Transit!C31)^Matrix_Bobot!$B$2))</f>
        <v>0.06821282401</v>
      </c>
      <c r="D31" s="30">
        <f>IF(Matrix_Waktu!D31="",0,1/(Matrix_Waktu!D31^Matrix_Bobot!$B$1*(1+Matrix_Transit!D31)^Matrix_Bobot!$B$2))</f>
        <v>0.07407407407</v>
      </c>
      <c r="E31" s="30">
        <f>IF(Matrix_Waktu!E31="",0,1/(Matrix_Waktu!E31^Matrix_Bobot!$B$1*(1+Matrix_Transit!E31)^Matrix_Bobot!$B$2))</f>
        <v>0.06518904824</v>
      </c>
      <c r="F31" s="30">
        <f>IF(Matrix_Waktu!F31="",0,1/(Matrix_Waktu!F31^Matrix_Bobot!$B$1*(1+Matrix_Transit!F31)^Matrix_Bobot!$B$2))</f>
        <v>0.07407407407</v>
      </c>
      <c r="G31" s="30">
        <f>IF(Matrix_Waktu!G31="",0,1/(Matrix_Waktu!G31^Matrix_Bobot!$B$1*(1+Matrix_Transit!G31)^Matrix_Bobot!$B$2))</f>
        <v>0.08103727715</v>
      </c>
      <c r="H31" s="30">
        <f>IF(Matrix_Waktu!H31="",0,1/(Matrix_Waktu!H31^Matrix_Bobot!$B$1*(1+Matrix_Transit!H31)^Matrix_Bobot!$B$2))</f>
        <v>0.08695652174</v>
      </c>
      <c r="I31" s="30">
        <f>IF(Matrix_Waktu!I31="",0,1/(Matrix_Waktu!I31^Matrix_Bobot!$B$1*(1+Matrix_Transit!I31)^Matrix_Bobot!$B$2))</f>
        <v>0.07407407407</v>
      </c>
      <c r="J31" s="30">
        <f>IF(Matrix_Waktu!J31="",0,1/(Matrix_Waktu!J31^Matrix_Bobot!$B$1*(1+Matrix_Transit!J31)^Matrix_Bobot!$B$2))</f>
        <v>0.08</v>
      </c>
      <c r="K31" s="30">
        <f>IF(Matrix_Waktu!K31="",0,1/(Matrix_Waktu!K31^Matrix_Bobot!$B$1*(1+Matrix_Transit!K31)^Matrix_Bobot!$B$2))</f>
        <v>0.08695652174</v>
      </c>
      <c r="L31" s="30">
        <f>IF(Matrix_Waktu!L31="",0,1/(Matrix_Waktu!L31^Matrix_Bobot!$B$1*(1+Matrix_Transit!L31)^Matrix_Bobot!$B$2))</f>
        <v>0.3533568905</v>
      </c>
      <c r="M31" s="30">
        <f>IF(Matrix_Waktu!M31="",0,1/(Matrix_Waktu!M31^Matrix_Bobot!$B$1*(1+Matrix_Transit!M31)^Matrix_Bobot!$B$2))</f>
        <v>0.01209482342</v>
      </c>
      <c r="N31" s="30">
        <f>IF(Matrix_Waktu!N31="",0,1/(Matrix_Waktu!N31^Matrix_Bobot!$B$1*(1+Matrix_Transit!N31)^Matrix_Bobot!$B$2))</f>
        <v>0.07898894155</v>
      </c>
      <c r="O31" s="30">
        <f>IF(Matrix_Waktu!O31="",0,1/(Matrix_Waktu!O31^Matrix_Bobot!$B$1*(1+Matrix_Transit!O31)^Matrix_Bobot!$B$2))</f>
        <v>0.1395478649</v>
      </c>
      <c r="P31" s="30">
        <f>IF(Matrix_Waktu!P31="",0,1/(Matrix_Waktu!P31^Matrix_Bobot!$B$1*(1+Matrix_Transit!P31)^Matrix_Bobot!$B$2))</f>
        <v>0.5</v>
      </c>
      <c r="Q31" s="30">
        <f>IF(Matrix_Waktu!Q31="",0,1/(Matrix_Waktu!Q31^Matrix_Bobot!$B$1*(1+Matrix_Transit!Q31)^Matrix_Bobot!$B$2))</f>
        <v>0</v>
      </c>
      <c r="R31" s="30">
        <f>IF(Matrix_Waktu!R31="",0,1/(Matrix_Waktu!R31^Matrix_Bobot!$B$1*(1+Matrix_Transit!R31)^Matrix_Bobot!$B$2))</f>
        <v>0.1034554107</v>
      </c>
      <c r="S31" s="30">
        <f>IF(Matrix_Waktu!S31="",0,1/(Matrix_Waktu!S31^Matrix_Bobot!$B$1*(1+Matrix_Transit!S31)^Matrix_Bobot!$B$2))</f>
        <v>0.07407407407</v>
      </c>
      <c r="T31" s="30">
        <f>IF(Matrix_Waktu!T31="",0,1/(Matrix_Waktu!T31^Matrix_Bobot!$B$1*(1+Matrix_Transit!T31)^Matrix_Bobot!$B$2))</f>
        <v>0.1501501502</v>
      </c>
      <c r="U31" s="30">
        <f>IF(Matrix_Waktu!U31="",0,1/(Matrix_Waktu!U31^Matrix_Bobot!$B$1*(1+Matrix_Transit!U31)^Matrix_Bobot!$B$2))</f>
        <v>0.04413062665</v>
      </c>
      <c r="V31" s="30">
        <f>IF(Matrix_Waktu!V31="",0,1/(Matrix_Waktu!V31^Matrix_Bobot!$B$1*(1+Matrix_Transit!V31)^Matrix_Bobot!$B$2))</f>
        <v>0.0576967459</v>
      </c>
      <c r="W31" s="30">
        <f>IF(Matrix_Waktu!W31="",0,1/(Matrix_Waktu!W31^Matrix_Bobot!$B$1*(1+Matrix_Transit!W31)^Matrix_Bobot!$B$2))</f>
        <v>0.1176470588</v>
      </c>
      <c r="X31" s="30">
        <f>IF(Matrix_Waktu!X31="",0,1/(Matrix_Waktu!X31^Matrix_Bobot!$B$1*(1+Matrix_Transit!X31)^Matrix_Bobot!$B$2))</f>
        <v>0.1153934918</v>
      </c>
      <c r="Y31" s="30">
        <f>IF(Matrix_Waktu!Y31="",0,1/(Matrix_Waktu!Y31^Matrix_Bobot!$B$1*(1+Matrix_Transit!Y31)^Matrix_Bobot!$B$2))</f>
        <v>0.03361570526</v>
      </c>
      <c r="Z31" s="30">
        <f>IF(Matrix_Waktu!Z31="",0,1/(Matrix_Waktu!Z31^Matrix_Bobot!$B$1*(1+Matrix_Transit!Z31)^Matrix_Bobot!$B$2))</f>
        <v>0.1538461538</v>
      </c>
      <c r="AA31" s="30">
        <f>IF(Matrix_Waktu!AA31="",0,1/(Matrix_Waktu!AA31^Matrix_Bobot!$B$1*(1+Matrix_Transit!AA31)^Matrix_Bobot!$B$2))</f>
        <v>0.1764913519</v>
      </c>
      <c r="AB31" s="30">
        <f>IF(Matrix_Waktu!AB31="",0,1/(Matrix_Waktu!AB31^Matrix_Bobot!$B$1*(1+Matrix_Transit!AB31)^Matrix_Bobot!$B$2))</f>
        <v>1</v>
      </c>
      <c r="AC31" s="28">
        <v>0.0</v>
      </c>
      <c r="AD31" s="30">
        <f>IF(Matrix_Waktu!AD31="",0,1/(Matrix_Waktu!AD31^Matrix_Bobot!$B$1*(1+Matrix_Transit!AD31)^Matrix_Bobot!$B$2))</f>
        <v>0.1276617474</v>
      </c>
      <c r="AE31" s="30">
        <f>IF(Matrix_Waktu!AE31="",0,1/(Matrix_Waktu!AE31^Matrix_Bobot!$B$1*(1+Matrix_Transit!AE31)^Matrix_Bobot!$B$2))</f>
        <v>0.1224589762</v>
      </c>
      <c r="AF31" s="30">
        <f>IF(Matrix_Waktu!AF31="",0,1/(Matrix_Waktu!AF31^Matrix_Bobot!$B$1*(1+Matrix_Transit!AF31)^Matrix_Bobot!$B$2))</f>
        <v>0.02564102564</v>
      </c>
      <c r="AG31" s="30">
        <f>IF(Matrix_Waktu!AG31="",0,1/(Matrix_Waktu!AG31^Matrix_Bobot!$B$1*(1+Matrix_Transit!AG31)^Matrix_Bobot!$B$2))</f>
        <v>0.1395478649</v>
      </c>
      <c r="AH31" s="30">
        <f>IF(Matrix_Waktu!AH31="",0,1/(Matrix_Waktu!AH31^Matrix_Bobot!$B$1*(1+Matrix_Transit!AH31)^Matrix_Bobot!$B$2))</f>
        <v>0.1305483029</v>
      </c>
      <c r="AI31" s="30">
        <f>IF(Matrix_Waktu!AI31="",0,1/(Matrix_Waktu!AI31^Matrix_Bobot!$B$1*(1+Matrix_Transit!AI31)^Matrix_Bobot!$B$2))</f>
        <v>0.02836879433</v>
      </c>
      <c r="AJ31" s="33">
        <f t="shared" si="1"/>
        <v>4.432960543</v>
      </c>
    </row>
    <row r="32" ht="14.25" customHeight="1">
      <c r="A32" s="22" t="s">
        <v>89</v>
      </c>
      <c r="B32" s="30">
        <f>IF(Matrix_Waktu!B32="",0,1/(Matrix_Waktu!B32^Matrix_Bobot!$B$1*(1+Matrix_Transit!B32)^Matrix_Bobot!$B$2))</f>
        <v>0.03061849357</v>
      </c>
      <c r="C32" s="30">
        <f>IF(Matrix_Waktu!C32="",0,1/(Matrix_Waktu!C32^Matrix_Bobot!$B$1*(1+Matrix_Transit!C32)^Matrix_Bobot!$B$2))</f>
        <v>0.04840271055</v>
      </c>
      <c r="D32" s="30">
        <f>IF(Matrix_Waktu!D32="",0,1/(Matrix_Waktu!D32^Matrix_Bobot!$B$1*(1+Matrix_Transit!D32)^Matrix_Bobot!$B$2))</f>
        <v>0.04413062665</v>
      </c>
      <c r="E32" s="30">
        <f>IF(Matrix_Waktu!E32="",0,1/(Matrix_Waktu!E32^Matrix_Bobot!$B$1*(1+Matrix_Transit!E32)^Matrix_Bobot!$B$2))</f>
        <v>0.04226542688</v>
      </c>
      <c r="F32" s="30">
        <f>IF(Matrix_Waktu!F32="",0,1/(Matrix_Waktu!F32^Matrix_Bobot!$B$1*(1+Matrix_Transit!F32)^Matrix_Bobot!$B$2))</f>
        <v>0.06973500697</v>
      </c>
      <c r="G32" s="30">
        <f>IF(Matrix_Waktu!G32="",0,1/(Matrix_Waktu!G32^Matrix_Bobot!$B$1*(1+Matrix_Transit!G32)^Matrix_Bobot!$B$2))</f>
        <v>0.03681885125</v>
      </c>
      <c r="H32" s="30">
        <f>IF(Matrix_Waktu!H32="",0,1/(Matrix_Waktu!H32^Matrix_Bobot!$B$1*(1+Matrix_Transit!H32)^Matrix_Bobot!$B$2))</f>
        <v>0.04649000465</v>
      </c>
      <c r="I32" s="30">
        <f>IF(Matrix_Waktu!I32="",0,1/(Matrix_Waktu!I32^Matrix_Bobot!$B$1*(1+Matrix_Transit!I32)^Matrix_Bobot!$B$2))</f>
        <v>0.02804262479</v>
      </c>
      <c r="J32" s="30">
        <f>IF(Matrix_Waktu!J32="",0,1/(Matrix_Waktu!J32^Matrix_Bobot!$B$1*(1+Matrix_Transit!J32)^Matrix_Bobot!$B$2))</f>
        <v>0.03351206434</v>
      </c>
      <c r="K32" s="30">
        <f>IF(Matrix_Waktu!K32="",0,1/(Matrix_Waktu!K32^Matrix_Bobot!$B$1*(1+Matrix_Transit!K32)^Matrix_Bobot!$B$2))</f>
        <v>0.04285738776</v>
      </c>
      <c r="L32" s="30">
        <f>IF(Matrix_Waktu!L32="",0,1/(Matrix_Waktu!L32^Matrix_Bobot!$B$1*(1+Matrix_Transit!L32)^Matrix_Bobot!$B$2))</f>
        <v>0.3243593902</v>
      </c>
      <c r="M32" s="30">
        <f>IF(Matrix_Waktu!M32="",0,1/(Matrix_Waktu!M32^Matrix_Bobot!$B$1*(1+Matrix_Transit!M32)^Matrix_Bobot!$B$2))</f>
        <v>0.01770224819</v>
      </c>
      <c r="N32" s="30">
        <f>IF(Matrix_Waktu!N32="",0,1/(Matrix_Waktu!N32^Matrix_Bobot!$B$1*(1+Matrix_Transit!N32)^Matrix_Bobot!$B$2))</f>
        <v>0.04476275739</v>
      </c>
      <c r="O32" s="30">
        <f>IF(Matrix_Waktu!O32="",0,1/(Matrix_Waktu!O32^Matrix_Bobot!$B$1*(1+Matrix_Transit!O32)^Matrix_Bobot!$B$2))</f>
        <v>0.04545454545</v>
      </c>
      <c r="P32" s="30">
        <f>IF(Matrix_Waktu!P32="",0,1/(Matrix_Waktu!P32^Matrix_Bobot!$B$1*(1+Matrix_Transit!P32)^Matrix_Bobot!$B$2))</f>
        <v>0.07793017456</v>
      </c>
      <c r="Q32" s="30">
        <f>IF(Matrix_Waktu!Q32="",0,1/(Matrix_Waktu!Q32^Matrix_Bobot!$B$1*(1+Matrix_Transit!Q32)^Matrix_Bobot!$B$2))</f>
        <v>0</v>
      </c>
      <c r="R32" s="30">
        <f>IF(Matrix_Waktu!R32="",0,1/(Matrix_Waktu!R32^Matrix_Bobot!$B$1*(1+Matrix_Transit!R32)^Matrix_Bobot!$B$2))</f>
        <v>0.06977393246</v>
      </c>
      <c r="S32" s="30">
        <f>IF(Matrix_Waktu!S32="",0,1/(Matrix_Waktu!S32^Matrix_Bobot!$B$1*(1+Matrix_Transit!S32)^Matrix_Bobot!$B$2))</f>
        <v>0.04081965875</v>
      </c>
      <c r="T32" s="30">
        <f>IF(Matrix_Waktu!T32="",0,1/(Matrix_Waktu!T32^Matrix_Bobot!$B$1*(1+Matrix_Transit!T32)^Matrix_Bobot!$B$2))</f>
        <v>0.01724435247</v>
      </c>
      <c r="U32" s="30">
        <f>IF(Matrix_Waktu!U32="",0,1/(Matrix_Waktu!U32^Matrix_Bobot!$B$1*(1+Matrix_Transit!U32)^Matrix_Bobot!$B$2))</f>
        <v>0.04195827669</v>
      </c>
      <c r="V32" s="30">
        <f>IF(Matrix_Waktu!V32="",0,1/(Matrix_Waktu!V32^Matrix_Bobot!$B$1*(1+Matrix_Transit!V32)^Matrix_Bobot!$B$2))</f>
        <v>0.02139083189</v>
      </c>
      <c r="W32" s="30">
        <f>IF(Matrix_Waktu!W32="",0,1/(Matrix_Waktu!W32^Matrix_Bobot!$B$1*(1+Matrix_Transit!W32)^Matrix_Bobot!$B$2))</f>
        <v>0.04081965875</v>
      </c>
      <c r="X32" s="30">
        <f>IF(Matrix_Waktu!X32="",0,1/(Matrix_Waktu!X32^Matrix_Bobot!$B$1*(1+Matrix_Transit!X32)^Matrix_Bobot!$B$2))</f>
        <v>0.06527415144</v>
      </c>
      <c r="Y32" s="30">
        <f>IF(Matrix_Waktu!Y32="",0,1/(Matrix_Waktu!Y32^Matrix_Bobot!$B$1*(1+Matrix_Transit!Y32)^Matrix_Bobot!$B$2))</f>
        <v>0</v>
      </c>
      <c r="Z32" s="30">
        <f>IF(Matrix_Waktu!Z32="",0,1/(Matrix_Waktu!Z32^Matrix_Bobot!$B$1*(1+Matrix_Transit!Z32)^Matrix_Bobot!$B$2))</f>
        <v>0.9233610342</v>
      </c>
      <c r="AA32" s="30">
        <f>IF(Matrix_Waktu!AA32="",0,1/(Matrix_Waktu!AA32^Matrix_Bobot!$B$1*(1+Matrix_Transit!AA32)^Matrix_Bobot!$B$2))</f>
        <v>0.1224589762</v>
      </c>
      <c r="AB32" s="30">
        <f>IF(Matrix_Waktu!AB32="",0,1/(Matrix_Waktu!AB32^Matrix_Bobot!$B$1*(1+Matrix_Transit!AB32)^Matrix_Bobot!$B$2))</f>
        <v>0.6666666667</v>
      </c>
      <c r="AC32" s="30">
        <f>IF(Matrix_Waktu!AC32="",0,1/(Matrix_Waktu!AC32^Matrix_Bobot!$B$1*(1+Matrix_Transit!AC32)^Matrix_Bobot!$B$2))</f>
        <v>0.1276617474</v>
      </c>
      <c r="AD32" s="28">
        <v>0.0</v>
      </c>
      <c r="AE32" s="30">
        <f>IF(Matrix_Waktu!AE32="",0,1/(Matrix_Waktu!AE32^Matrix_Bobot!$B$1*(1+Matrix_Transit!AE32)^Matrix_Bobot!$B$2))</f>
        <v>0</v>
      </c>
      <c r="AF32" s="30">
        <f>IF(Matrix_Waktu!AF32="",0,1/(Matrix_Waktu!AF32^Matrix_Bobot!$B$1*(1+Matrix_Transit!AF32)^Matrix_Bobot!$B$2))</f>
        <v>0.01904761905</v>
      </c>
      <c r="AG32" s="30">
        <f>IF(Matrix_Waktu!AG32="",0,1/(Matrix_Waktu!AG32^Matrix_Bobot!$B$1*(1+Matrix_Transit!AG32)^Matrix_Bobot!$B$2))</f>
        <v>0.02459419577</v>
      </c>
      <c r="AH32" s="30">
        <f>IF(Matrix_Waktu!AH32="",0,1/(Matrix_Waktu!AH32^Matrix_Bobot!$B$1*(1+Matrix_Transit!AH32)^Matrix_Bobot!$B$2))</f>
        <v>0.02326122354</v>
      </c>
      <c r="AI32" s="30">
        <f>IF(Matrix_Waktu!AI32="",0,1/(Matrix_Waktu!AI32^Matrix_Bobot!$B$1*(1+Matrix_Transit!AI32)^Matrix_Bobot!$B$2))</f>
        <v>0.03076923077</v>
      </c>
      <c r="AJ32" s="33">
        <f t="shared" si="1"/>
        <v>3.168183869</v>
      </c>
    </row>
    <row r="33" ht="14.25" customHeight="1">
      <c r="A33" s="22" t="s">
        <v>92</v>
      </c>
      <c r="B33" s="30">
        <f>IF(Matrix_Waktu!B33="",0,1/(Matrix_Waktu!B33^Matrix_Bobot!$B$1*(1+Matrix_Transit!B33)^Matrix_Bobot!$B$2))</f>
        <v>0.01834859019</v>
      </c>
      <c r="C33" s="30">
        <f>IF(Matrix_Waktu!C33="",0,1/(Matrix_Waktu!C33^Matrix_Bobot!$B$1*(1+Matrix_Transit!C33)^Matrix_Bobot!$B$2))</f>
        <v>0.0347947112</v>
      </c>
      <c r="D33" s="30">
        <f>IF(Matrix_Waktu!D33="",0,1/(Matrix_Waktu!D33^Matrix_Bobot!$B$1*(1+Matrix_Transit!D33)^Matrix_Bobot!$B$2))</f>
        <v>0.02496878901</v>
      </c>
      <c r="E33" s="30">
        <f>IF(Matrix_Waktu!E33="",0,1/(Matrix_Waktu!E33^Matrix_Bobot!$B$1*(1+Matrix_Transit!E33)^Matrix_Bobot!$B$2))</f>
        <v>0.05769008884</v>
      </c>
      <c r="F33" s="30">
        <f>IF(Matrix_Waktu!F33="",0,1/(Matrix_Waktu!F33^Matrix_Bobot!$B$1*(1+Matrix_Transit!F33)^Matrix_Bobot!$B$2))</f>
        <v>0.03671071953</v>
      </c>
      <c r="G33" s="30">
        <f>IF(Matrix_Waktu!G33="",0,1/(Matrix_Waktu!G33^Matrix_Bobot!$B$1*(1+Matrix_Transit!G33)^Matrix_Bobot!$B$2))</f>
        <v>0.0550660793</v>
      </c>
      <c r="H33" s="30">
        <f>IF(Matrix_Waktu!H33="",0,1/(Matrix_Waktu!H33^Matrix_Bobot!$B$1*(1+Matrix_Transit!H33)^Matrix_Bobot!$B$2))</f>
        <v>0.03671071953</v>
      </c>
      <c r="I33" s="30">
        <f>IF(Matrix_Waktu!I33="",0,1/(Matrix_Waktu!I33^Matrix_Bobot!$B$1*(1+Matrix_Transit!I33)^Matrix_Bobot!$B$2))</f>
        <v>0.02970885324</v>
      </c>
      <c r="J33" s="30">
        <f>IF(Matrix_Waktu!J33="",0,1/(Matrix_Waktu!J33^Matrix_Bobot!$B$1*(1+Matrix_Transit!J33)^Matrix_Bobot!$B$2))</f>
        <v>0.0331491786</v>
      </c>
      <c r="K33" s="30">
        <f>IF(Matrix_Waktu!K33="",0,1/(Matrix_Waktu!K33^Matrix_Bobot!$B$1*(1+Matrix_Transit!K33)^Matrix_Bobot!$B$2))</f>
        <v>0.02580645294</v>
      </c>
      <c r="L33" s="30">
        <f>IF(Matrix_Waktu!L33="",0,1/(Matrix_Waktu!L33^Matrix_Bobot!$B$1*(1+Matrix_Transit!L33)^Matrix_Bobot!$B$2))</f>
        <v>0.1070663812</v>
      </c>
      <c r="M33" s="30">
        <f>IF(Matrix_Waktu!M33="",0,1/(Matrix_Waktu!M33^Matrix_Bobot!$B$1*(1+Matrix_Transit!M33)^Matrix_Bobot!$B$2))</f>
        <v>0.01083048131</v>
      </c>
      <c r="N33" s="30">
        <f>IF(Matrix_Waktu!N33="",0,1/(Matrix_Waktu!N33^Matrix_Bobot!$B$1*(1+Matrix_Transit!N33)^Matrix_Bobot!$B$2))</f>
        <v>0.04208754209</v>
      </c>
      <c r="O33" s="30">
        <f>IF(Matrix_Waktu!O33="",0,1/(Matrix_Waktu!O33^Matrix_Bobot!$B$1*(1+Matrix_Transit!O33)^Matrix_Bobot!$B$2))</f>
        <v>0.1035196687</v>
      </c>
      <c r="P33" s="30">
        <f>IF(Matrix_Waktu!P33="",0,1/(Matrix_Waktu!P33^Matrix_Bobot!$B$1*(1+Matrix_Transit!P33)^Matrix_Bobot!$B$2))</f>
        <v>0.1578781181</v>
      </c>
      <c r="Q33" s="30">
        <f>IF(Matrix_Waktu!Q33="",0,1/(Matrix_Waktu!Q33^Matrix_Bobot!$B$1*(1+Matrix_Transit!Q33)^Matrix_Bobot!$B$2))</f>
        <v>0</v>
      </c>
      <c r="R33" s="30">
        <f>IF(Matrix_Waktu!R33="",0,1/(Matrix_Waktu!R33^Matrix_Bobot!$B$1*(1+Matrix_Transit!R33)^Matrix_Bobot!$B$2))</f>
        <v>0.09678668215</v>
      </c>
      <c r="S33" s="30">
        <f>IF(Matrix_Waktu!S33="",0,1/(Matrix_Waktu!S33^Matrix_Bobot!$B$1*(1+Matrix_Transit!S33)^Matrix_Bobot!$B$2))</f>
        <v>0.03883510227</v>
      </c>
      <c r="T33" s="30">
        <f>IF(Matrix_Waktu!T33="",0,1/(Matrix_Waktu!T33^Matrix_Bobot!$B$1*(1+Matrix_Transit!T33)^Matrix_Bobot!$B$2))</f>
        <v>0.01724435247</v>
      </c>
      <c r="U33" s="30">
        <f>IF(Matrix_Waktu!U33="",0,1/(Matrix_Waktu!U33^Matrix_Bobot!$B$1*(1+Matrix_Transit!U33)^Matrix_Bobot!$B$2))</f>
        <v>0.0380952381</v>
      </c>
      <c r="V33" s="30">
        <f>IF(Matrix_Waktu!V33="",0,1/(Matrix_Waktu!V33^Matrix_Bobot!$B$1*(1+Matrix_Transit!V33)^Matrix_Bobot!$B$2))</f>
        <v>0.01970521006</v>
      </c>
      <c r="W33" s="30">
        <f>IF(Matrix_Waktu!W33="",0,1/(Matrix_Waktu!W33^Matrix_Bobot!$B$1*(1+Matrix_Transit!W33)^Matrix_Bobot!$B$2))</f>
        <v>0.1111111111</v>
      </c>
      <c r="X33" s="30">
        <f>IF(Matrix_Waktu!X33="",0,1/(Matrix_Waktu!X33^Matrix_Bobot!$B$1*(1+Matrix_Transit!X33)^Matrix_Bobot!$B$2))</f>
        <v>1</v>
      </c>
      <c r="Y33" s="30">
        <f>IF(Matrix_Waktu!Y33="",0,1/(Matrix_Waktu!Y33^Matrix_Bobot!$B$1*(1+Matrix_Transit!Y33)^Matrix_Bobot!$B$2))</f>
        <v>0.03389945422</v>
      </c>
      <c r="Z33" s="30">
        <f>IF(Matrix_Waktu!Z33="",0,1/(Matrix_Waktu!Z33^Matrix_Bobot!$B$1*(1+Matrix_Transit!Z33)^Matrix_Bobot!$B$2))</f>
        <v>0.113209256</v>
      </c>
      <c r="AA33" s="30">
        <f>IF(Matrix_Waktu!AA33="",0,1/(Matrix_Waktu!AA33^Matrix_Bobot!$B$1*(1+Matrix_Transit!AA33)^Matrix_Bobot!$B$2))</f>
        <v>0.1176470588</v>
      </c>
      <c r="AB33" s="30">
        <f>IF(Matrix_Waktu!AB33="",0,1/(Matrix_Waktu!AB33^Matrix_Bobot!$B$1*(1+Matrix_Transit!AB33)^Matrix_Bobot!$B$2))</f>
        <v>0.8576329331</v>
      </c>
      <c r="AC33" s="30">
        <f>IF(Matrix_Waktu!AC33="",0,1/(Matrix_Waktu!AC33^Matrix_Bobot!$B$1*(1+Matrix_Transit!AC33)^Matrix_Bobot!$B$2))</f>
        <v>0.1224589762</v>
      </c>
      <c r="AD33" s="30">
        <f>IF(Matrix_Waktu!AD33="",0,1/(Matrix_Waktu!AD33^Matrix_Bobot!$B$1*(1+Matrix_Transit!AD33)^Matrix_Bobot!$B$2))</f>
        <v>0</v>
      </c>
      <c r="AE33" s="28">
        <v>0.0</v>
      </c>
      <c r="AF33" s="30">
        <f>IF(Matrix_Waktu!AF33="",0,1/(Matrix_Waktu!AF33^Matrix_Bobot!$B$1*(1+Matrix_Transit!AF33)^Matrix_Bobot!$B$2))</f>
        <v>0.02666666667</v>
      </c>
      <c r="AG33" s="30">
        <f>IF(Matrix_Waktu!AG33="",0,1/(Matrix_Waktu!AG33^Matrix_Bobot!$B$1*(1+Matrix_Transit!AG33)^Matrix_Bobot!$B$2))</f>
        <v>0.05940641114</v>
      </c>
      <c r="AH33" s="30">
        <f>IF(Matrix_Waktu!AH33="",0,1/(Matrix_Waktu!AH33^Matrix_Bobot!$B$1*(1+Matrix_Transit!AH33)^Matrix_Bobot!$B$2))</f>
        <v>0.1224589762</v>
      </c>
      <c r="AI33" s="30">
        <f>IF(Matrix_Waktu!AI33="",0,1/(Matrix_Waktu!AI33^Matrix_Bobot!$B$1*(1+Matrix_Transit!AI33)^Matrix_Bobot!$B$2))</f>
        <v>0.03973615195</v>
      </c>
      <c r="AJ33" s="33">
        <f t="shared" si="1"/>
        <v>3.589229954</v>
      </c>
    </row>
    <row r="34" ht="14.25" customHeight="1">
      <c r="A34" s="22" t="s">
        <v>94</v>
      </c>
      <c r="B34" s="30">
        <f>IF(Matrix_Waktu!B34="",0,1/(Matrix_Waktu!B34^Matrix_Bobot!$B$1*(1+Matrix_Transit!B34)^Matrix_Bobot!$B$2))</f>
        <v>0.03591954023</v>
      </c>
      <c r="C34" s="30">
        <f>IF(Matrix_Waktu!C34="",0,1/(Matrix_Waktu!C34^Matrix_Bobot!$B$1*(1+Matrix_Transit!C34)^Matrix_Bobot!$B$2))</f>
        <v>0.06821282401</v>
      </c>
      <c r="D34" s="30">
        <f>IF(Matrix_Waktu!D34="",0,1/(Matrix_Waktu!D34^Matrix_Bobot!$B$1*(1+Matrix_Transit!D34)^Matrix_Bobot!$B$2))</f>
        <v>0.05263157895</v>
      </c>
      <c r="E34" s="30">
        <f>IF(Matrix_Waktu!E34="",0,1/(Matrix_Waktu!E34^Matrix_Bobot!$B$1*(1+Matrix_Transit!E34)^Matrix_Bobot!$B$2))</f>
        <v>0.02614379085</v>
      </c>
      <c r="F34" s="30">
        <f>IF(Matrix_Waktu!F34="",0,1/(Matrix_Waktu!F34^Matrix_Bobot!$B$1*(1+Matrix_Transit!F34)^Matrix_Bobot!$B$2))</f>
        <v>0.05128205128</v>
      </c>
      <c r="G34" s="30">
        <f>IF(Matrix_Waktu!G34="",0,1/(Matrix_Waktu!G34^Matrix_Bobot!$B$1*(1+Matrix_Transit!G34)^Matrix_Bobot!$B$2))</f>
        <v>0.06821282401</v>
      </c>
      <c r="H34" s="30">
        <f>IF(Matrix_Waktu!H34="",0,1/(Matrix_Waktu!H34^Matrix_Bobot!$B$1*(1+Matrix_Transit!H34)^Matrix_Bobot!$B$2))</f>
        <v>0.04108463435</v>
      </c>
      <c r="I34" s="30">
        <f>IF(Matrix_Waktu!I34="",0,1/(Matrix_Waktu!I34^Matrix_Bobot!$B$1*(1+Matrix_Transit!I34)^Matrix_Bobot!$B$2))</f>
        <v>0.08103727715</v>
      </c>
      <c r="J34" s="30">
        <f>IF(Matrix_Waktu!J34="",0,1/(Matrix_Waktu!J34^Matrix_Bobot!$B$1*(1+Matrix_Transit!J34)^Matrix_Bobot!$B$2))</f>
        <v>0.04615526632</v>
      </c>
      <c r="K34" s="30">
        <f>IF(Matrix_Waktu!K34="",0,1/(Matrix_Waktu!K34^Matrix_Bobot!$B$1*(1+Matrix_Transit!K34)^Matrix_Bobot!$B$2))</f>
        <v>0.0625</v>
      </c>
      <c r="L34" s="30">
        <f>IF(Matrix_Waktu!L34="",0,1/(Matrix_Waktu!L34^Matrix_Bobot!$B$1*(1+Matrix_Transit!L34)^Matrix_Bobot!$B$2))</f>
        <v>0.2790957298</v>
      </c>
      <c r="M34" s="30">
        <f>IF(Matrix_Waktu!M34="",0,1/(Matrix_Waktu!M34^Matrix_Bobot!$B$1*(1+Matrix_Transit!M34)^Matrix_Bobot!$B$2))</f>
        <v>0.02531004809</v>
      </c>
      <c r="N34" s="30">
        <f>IF(Matrix_Waktu!N34="",0,1/(Matrix_Waktu!N34^Matrix_Bobot!$B$1*(1+Matrix_Transit!N34)^Matrix_Bobot!$B$2))</f>
        <v>0.08</v>
      </c>
      <c r="O34" s="30">
        <f>IF(Matrix_Waktu!O34="",0,1/(Matrix_Waktu!O34^Matrix_Bobot!$B$1*(1+Matrix_Transit!O34)^Matrix_Bobot!$B$2))</f>
        <v>0.07692307692</v>
      </c>
      <c r="P34" s="30">
        <f>IF(Matrix_Waktu!P34="",0,1/(Matrix_Waktu!P34^Matrix_Bobot!$B$1*(1+Matrix_Transit!P34)^Matrix_Bobot!$B$2))</f>
        <v>0.3750937734</v>
      </c>
      <c r="Q34" s="30">
        <f>IF(Matrix_Waktu!Q34="",0,1/(Matrix_Waktu!Q34^Matrix_Bobot!$B$1*(1+Matrix_Transit!Q34)^Matrix_Bobot!$B$2))</f>
        <v>0</v>
      </c>
      <c r="R34" s="30">
        <f>IF(Matrix_Waktu!R34="",0,1/(Matrix_Waktu!R34^Matrix_Bobot!$B$1*(1+Matrix_Transit!R34)^Matrix_Bobot!$B$2))</f>
        <v>0.07317430119</v>
      </c>
      <c r="S34" s="30">
        <f>IF(Matrix_Waktu!S34="",0,1/(Matrix_Waktu!S34^Matrix_Bobot!$B$1*(1+Matrix_Transit!S34)^Matrix_Bobot!$B$2))</f>
        <v>0.03603603604</v>
      </c>
      <c r="T34" s="30">
        <f>IF(Matrix_Waktu!T34="",0,1/(Matrix_Waktu!T34^Matrix_Bobot!$B$1*(1+Matrix_Transit!T34)^Matrix_Bobot!$B$2))</f>
        <v>0.03200204813</v>
      </c>
      <c r="U34" s="30">
        <f>IF(Matrix_Waktu!U34="",0,1/(Matrix_Waktu!U34^Matrix_Bobot!$B$1*(1+Matrix_Transit!U34)^Matrix_Bobot!$B$2))</f>
        <v>0.06896551724</v>
      </c>
      <c r="V34" s="30">
        <f>IF(Matrix_Waktu!V34="",0,1/(Matrix_Waktu!V34^Matrix_Bobot!$B$1*(1+Matrix_Transit!V34)^Matrix_Bobot!$B$2))</f>
        <v>0.07792288751</v>
      </c>
      <c r="W34" s="30">
        <f>IF(Matrix_Waktu!W34="",0,1/(Matrix_Waktu!W34^Matrix_Bobot!$B$1*(1+Matrix_Transit!W34)^Matrix_Bobot!$B$2))</f>
        <v>0.06593696426</v>
      </c>
      <c r="X34" s="30">
        <f>IF(Matrix_Waktu!X34="",0,1/(Matrix_Waktu!X34^Matrix_Bobot!$B$1*(1+Matrix_Transit!X34)^Matrix_Bobot!$B$2))</f>
        <v>0.06060606061</v>
      </c>
      <c r="Y34" s="30">
        <f>IF(Matrix_Waktu!Y34="",0,1/(Matrix_Waktu!Y34^Matrix_Bobot!$B$1*(1+Matrix_Transit!Y34)^Matrix_Bobot!$B$2))</f>
        <v>0.01604281506</v>
      </c>
      <c r="Z34" s="30">
        <f>IF(Matrix_Waktu!Z34="",0,1/(Matrix_Waktu!Z34^Matrix_Bobot!$B$1*(1+Matrix_Transit!Z34)^Matrix_Bobot!$B$2))</f>
        <v>0.1621796951</v>
      </c>
      <c r="AA34" s="30">
        <f>IF(Matrix_Waktu!AA34="",0,1/(Matrix_Waktu!AA34^Matrix_Bobot!$B$1*(1+Matrix_Transit!AA34)^Matrix_Bobot!$B$2))</f>
        <v>0.008824567596</v>
      </c>
      <c r="AB34" s="30">
        <f>IF(Matrix_Waktu!AB34="",0,1/(Matrix_Waktu!AB34^Matrix_Bobot!$B$1*(1+Matrix_Transit!AB34)^Matrix_Bobot!$B$2))</f>
        <v>0.5714285714</v>
      </c>
      <c r="AC34" s="30">
        <f>IF(Matrix_Waktu!AC34="",0,1/(Matrix_Waktu!AC34^Matrix_Bobot!$B$1*(1+Matrix_Transit!AC34)^Matrix_Bobot!$B$2))</f>
        <v>0.02564102564</v>
      </c>
      <c r="AD34" s="30">
        <f>IF(Matrix_Waktu!AD34="",0,1/(Matrix_Waktu!AD34^Matrix_Bobot!$B$1*(1+Matrix_Transit!AD34)^Matrix_Bobot!$B$2))</f>
        <v>0.01904761905</v>
      </c>
      <c r="AE34" s="30">
        <f>IF(Matrix_Waktu!AE34="",0,1/(Matrix_Waktu!AE34^Matrix_Bobot!$B$1*(1+Matrix_Transit!AE34)^Matrix_Bobot!$B$2))</f>
        <v>0.02666666667</v>
      </c>
      <c r="AF34" s="28">
        <v>0.0</v>
      </c>
      <c r="AG34" s="30">
        <f>IF(Matrix_Waktu!AG34="",0,1/(Matrix_Waktu!AG34^Matrix_Bobot!$B$1*(1+Matrix_Transit!AG34)^Matrix_Bobot!$B$2))</f>
        <v>0.6666666667</v>
      </c>
      <c r="AH34" s="30">
        <f>IF(Matrix_Waktu!AH34="",0,1/(Matrix_Waktu!AH34^Matrix_Bobot!$B$1*(1+Matrix_Transit!AH34)^Matrix_Bobot!$B$2))</f>
        <v>0.9233610342</v>
      </c>
      <c r="AI34" s="30">
        <f>IF(Matrix_Waktu!AI34="",0,1/(Matrix_Waktu!AI34^Matrix_Bobot!$B$1*(1+Matrix_Transit!AI34)^Matrix_Bobot!$B$2))</f>
        <v>0.02072581815</v>
      </c>
      <c r="AJ34" s="33">
        <f t="shared" si="1"/>
        <v>4.22483071</v>
      </c>
    </row>
    <row r="35" ht="14.25" customHeight="1">
      <c r="A35" s="22" t="s">
        <v>96</v>
      </c>
      <c r="B35" s="30">
        <f>IF(Matrix_Waktu!B35="",0,1/(Matrix_Waktu!B35^Matrix_Bobot!$B$1*(1+Matrix_Transit!B35)^Matrix_Bobot!$B$2))</f>
        <v>0.03726707149</v>
      </c>
      <c r="C35" s="30">
        <f>IF(Matrix_Waktu!C35="",0,1/(Matrix_Waktu!C35^Matrix_Bobot!$B$1*(1+Matrix_Transit!C35)^Matrix_Bobot!$B$2))</f>
        <v>0.05405405405</v>
      </c>
      <c r="D35" s="30">
        <f>IF(Matrix_Waktu!D35="",0,1/(Matrix_Waktu!D35^Matrix_Bobot!$B$1*(1+Matrix_Transit!D35)^Matrix_Bobot!$B$2))</f>
        <v>0.04761904762</v>
      </c>
      <c r="E35" s="30">
        <f>IF(Matrix_Waktu!E35="",0,1/(Matrix_Waktu!E35^Matrix_Bobot!$B$1*(1+Matrix_Transit!E35)^Matrix_Bobot!$B$2))</f>
        <v>0.0303030303</v>
      </c>
      <c r="F35" s="30">
        <f>IF(Matrix_Waktu!F35="",0,1/(Matrix_Waktu!F35^Matrix_Bobot!$B$1*(1+Matrix_Transit!F35)^Matrix_Bobot!$B$2))</f>
        <v>0.04616805171</v>
      </c>
      <c r="G35" s="30">
        <f>IF(Matrix_Waktu!G35="",0,1/(Matrix_Waktu!G35^Matrix_Bobot!$B$1*(1+Matrix_Transit!G35)^Matrix_Bobot!$B$2))</f>
        <v>0.04686035614</v>
      </c>
      <c r="H35" s="30">
        <f>IF(Matrix_Waktu!H35="",0,1/(Matrix_Waktu!H35^Matrix_Bobot!$B$1*(1+Matrix_Transit!H35)^Matrix_Bobot!$B$2))</f>
        <v>0.03008423586</v>
      </c>
      <c r="I35" s="30">
        <f>IF(Matrix_Waktu!I35="",0,1/(Matrix_Waktu!I35^Matrix_Bobot!$B$1*(1+Matrix_Transit!I35)^Matrix_Bobot!$B$2))</f>
        <v>0.03351206434</v>
      </c>
      <c r="J35" s="30">
        <f>IF(Matrix_Waktu!J35="",0,1/(Matrix_Waktu!J35^Matrix_Bobot!$B$1*(1+Matrix_Transit!J35)^Matrix_Bobot!$B$2))</f>
        <v>0.03846153846</v>
      </c>
      <c r="K35" s="30">
        <f>IF(Matrix_Waktu!K35="",0,1/(Matrix_Waktu!K35^Matrix_Bobot!$B$1*(1+Matrix_Transit!K35)^Matrix_Bobot!$B$2))</f>
        <v>0.04615398817</v>
      </c>
      <c r="L35" s="30">
        <f>IF(Matrix_Waktu!L35="",0,1/(Matrix_Waktu!L35^Matrix_Bobot!$B$1*(1+Matrix_Transit!L35)^Matrix_Bobot!$B$2))</f>
        <v>0.272479564</v>
      </c>
      <c r="M35" s="30">
        <f>IF(Matrix_Waktu!M35="",0,1/(Matrix_Waktu!M35^Matrix_Bobot!$B$1*(1+Matrix_Transit!M35)^Matrix_Bobot!$B$2))</f>
        <v>0.02093802345</v>
      </c>
      <c r="N35" s="30">
        <f>IF(Matrix_Waktu!N35="",0,1/(Matrix_Waktu!N35^Matrix_Bobot!$B$1*(1+Matrix_Transit!N35)^Matrix_Bobot!$B$2))</f>
        <v>0.03360215054</v>
      </c>
      <c r="O35" s="30">
        <f>IF(Matrix_Waktu!O35="",0,1/(Matrix_Waktu!O35^Matrix_Bobot!$B$1*(1+Matrix_Transit!O35)^Matrix_Bobot!$B$2))</f>
        <v>0.07320644217</v>
      </c>
      <c r="P35" s="30">
        <f>IF(Matrix_Waktu!P35="",0,1/(Matrix_Waktu!P35^Matrix_Bobot!$B$1*(1+Matrix_Transit!P35)^Matrix_Bobot!$B$2))</f>
        <v>0.3428649798</v>
      </c>
      <c r="Q35" s="30">
        <f>IF(Matrix_Waktu!Q35="",0,1/(Matrix_Waktu!Q35^Matrix_Bobot!$B$1*(1+Matrix_Transit!Q35)^Matrix_Bobot!$B$2))</f>
        <v>0</v>
      </c>
      <c r="R35" s="30">
        <f>IF(Matrix_Waktu!R35="",0,1/(Matrix_Waktu!R35^Matrix_Bobot!$B$1*(1+Matrix_Transit!R35)^Matrix_Bobot!$B$2))</f>
        <v>0.08571918395</v>
      </c>
      <c r="S35" s="30">
        <f>IF(Matrix_Waktu!S35="",0,1/(Matrix_Waktu!S35^Matrix_Bobot!$B$1*(1+Matrix_Transit!S35)^Matrix_Bobot!$B$2))</f>
        <v>0.03572704537</v>
      </c>
      <c r="T35" s="30">
        <f>IF(Matrix_Waktu!T35="",0,1/(Matrix_Waktu!T35^Matrix_Bobot!$B$1*(1+Matrix_Transit!T35)^Matrix_Bobot!$B$2))</f>
        <v>0.09523809524</v>
      </c>
      <c r="U35" s="30">
        <f>IF(Matrix_Waktu!U35="",0,1/(Matrix_Waktu!U35^Matrix_Bobot!$B$1*(1+Matrix_Transit!U35)^Matrix_Bobot!$B$2))</f>
        <v>0.03100775194</v>
      </c>
      <c r="V35" s="30">
        <f>IF(Matrix_Waktu!V35="",0,1/(Matrix_Waktu!V35^Matrix_Bobot!$B$1*(1+Matrix_Transit!V35)^Matrix_Bobot!$B$2))</f>
        <v>0.02259887006</v>
      </c>
      <c r="W35" s="30">
        <f>IF(Matrix_Waktu!W35="",0,1/(Matrix_Waktu!W35^Matrix_Bobot!$B$1*(1+Matrix_Transit!W35)^Matrix_Bobot!$B$2))</f>
        <v>0.03540073634</v>
      </c>
      <c r="X35" s="30">
        <f>IF(Matrix_Waktu!X35="",0,1/(Matrix_Waktu!X35^Matrix_Bobot!$B$1*(1+Matrix_Transit!X35)^Matrix_Bobot!$B$2))</f>
        <v>0.04444444444</v>
      </c>
      <c r="Y35" s="30">
        <f>IF(Matrix_Waktu!Y35="",0,1/(Matrix_Waktu!Y35^Matrix_Bobot!$B$1*(1+Matrix_Transit!Y35)^Matrix_Bobot!$B$2))</f>
        <v>0.0281698076</v>
      </c>
      <c r="Z35" s="30">
        <f>IF(Matrix_Waktu!Z35="",0,1/(Matrix_Waktu!Z35^Matrix_Bobot!$B$1*(1+Matrix_Transit!Z35)^Matrix_Bobot!$B$2))</f>
        <v>1.200480192</v>
      </c>
      <c r="AA35" s="30">
        <f>IF(Matrix_Waktu!AA35="",0,1/(Matrix_Waktu!AA35^Matrix_Bobot!$B$1*(1+Matrix_Transit!AA35)^Matrix_Bobot!$B$2))</f>
        <v>0.1154734411</v>
      </c>
      <c r="AB35" s="30">
        <f>IF(Matrix_Waktu!AB35="",0,1/(Matrix_Waktu!AB35^Matrix_Bobot!$B$1*(1+Matrix_Transit!AB35)^Matrix_Bobot!$B$2))</f>
        <v>0.5217572785</v>
      </c>
      <c r="AC35" s="30">
        <f>IF(Matrix_Waktu!AC35="",0,1/(Matrix_Waktu!AC35^Matrix_Bobot!$B$1*(1+Matrix_Transit!AC35)^Matrix_Bobot!$B$2))</f>
        <v>0.1395478649</v>
      </c>
      <c r="AD35" s="30">
        <f>IF(Matrix_Waktu!AD35="",0,1/(Matrix_Waktu!AD35^Matrix_Bobot!$B$1*(1+Matrix_Transit!AD35)^Matrix_Bobot!$B$2))</f>
        <v>0.02459419577</v>
      </c>
      <c r="AE35" s="30">
        <f>IF(Matrix_Waktu!AE35="",0,1/(Matrix_Waktu!AE35^Matrix_Bobot!$B$1*(1+Matrix_Transit!AE35)^Matrix_Bobot!$B$2))</f>
        <v>0.05940641114</v>
      </c>
      <c r="AF35" s="30">
        <f>IF(Matrix_Waktu!AF35="",0,1/(Matrix_Waktu!AF35^Matrix_Bobot!$B$1*(1+Matrix_Transit!AF35)^Matrix_Bobot!$B$2))</f>
        <v>0.6666666667</v>
      </c>
      <c r="AG35" s="28">
        <v>0.0</v>
      </c>
      <c r="AH35" s="30">
        <f>IF(Matrix_Waktu!AH35="",0,1/(Matrix_Waktu!AH35^Matrix_Bobot!$B$1*(1+Matrix_Transit!AH35)^Matrix_Bobot!$B$2))</f>
        <v>0.02448987589</v>
      </c>
      <c r="AI35" s="30">
        <f>IF(Matrix_Waktu!AI35="",0,1/(Matrix_Waktu!AI35^Matrix_Bobot!$B$1*(1+Matrix_Transit!AI35)^Matrix_Bobot!$B$2))</f>
        <v>0.01895738191</v>
      </c>
      <c r="AJ35" s="33">
        <f t="shared" si="1"/>
        <v>4.303253841</v>
      </c>
    </row>
    <row r="36" ht="14.25" customHeight="1">
      <c r="A36" s="22" t="s">
        <v>98</v>
      </c>
      <c r="B36" s="30">
        <f>IF(Matrix_Waktu!B36="",0,1/(Matrix_Waktu!B36^Matrix_Bobot!$B$1*(1+Matrix_Transit!B36)^Matrix_Bobot!$B$2))</f>
        <v>0.04025764895</v>
      </c>
      <c r="C36" s="30">
        <f>IF(Matrix_Waktu!C36="",0,1/(Matrix_Waktu!C36^Matrix_Bobot!$B$1*(1+Matrix_Transit!C36)^Matrix_Bobot!$B$2))</f>
        <v>0.05882352941</v>
      </c>
      <c r="D36" s="30">
        <f>IF(Matrix_Waktu!D36="",0,1/(Matrix_Waktu!D36^Matrix_Bobot!$B$1*(1+Matrix_Transit!D36)^Matrix_Bobot!$B$2))</f>
        <v>0.05605381166</v>
      </c>
      <c r="E36" s="30">
        <f>IF(Matrix_Waktu!E36="",0,1/(Matrix_Waktu!E36^Matrix_Bobot!$B$1*(1+Matrix_Transit!E36)^Matrix_Bobot!$B$2))</f>
        <v>0.04725897921</v>
      </c>
      <c r="F36" s="30">
        <f>IF(Matrix_Waktu!F36="",0,1/(Matrix_Waktu!F36^Matrix_Bobot!$B$1*(1+Matrix_Transit!F36)^Matrix_Bobot!$B$2))</f>
        <v>0.03418803419</v>
      </c>
      <c r="G36" s="30">
        <f>IF(Matrix_Waktu!G36="",0,1/(Matrix_Waktu!G36^Matrix_Bobot!$B$1*(1+Matrix_Transit!G36)^Matrix_Bobot!$B$2))</f>
        <v>0.05040322581</v>
      </c>
      <c r="H36" s="30">
        <f>IF(Matrix_Waktu!H36="",0,1/(Matrix_Waktu!H36^Matrix_Bobot!$B$1*(1+Matrix_Transit!H36)^Matrix_Bobot!$B$2))</f>
        <v>0.03921568627</v>
      </c>
      <c r="I36" s="30">
        <f>IF(Matrix_Waktu!I36="",0,1/(Matrix_Waktu!I36^Matrix_Bobot!$B$1*(1+Matrix_Transit!I36)^Matrix_Bobot!$B$2))</f>
        <v>0.08333333333</v>
      </c>
      <c r="J36" s="30">
        <f>IF(Matrix_Waktu!J36="",0,1/(Matrix_Waktu!J36^Matrix_Bobot!$B$1*(1+Matrix_Transit!J36)^Matrix_Bobot!$B$2))</f>
        <v>0.04378283713</v>
      </c>
      <c r="K36" s="30">
        <f>IF(Matrix_Waktu!K36="",0,1/(Matrix_Waktu!K36^Matrix_Bobot!$B$1*(1+Matrix_Transit!K36)^Matrix_Bobot!$B$2))</f>
        <v>0.04687045942</v>
      </c>
      <c r="L36" s="30">
        <f>IF(Matrix_Waktu!L36="",0,1/(Matrix_Waktu!L36^Matrix_Bobot!$B$1*(1+Matrix_Transit!L36)^Matrix_Bobot!$B$2))</f>
        <v>0.2449179525</v>
      </c>
      <c r="M36" s="30">
        <f>IF(Matrix_Waktu!M36="",0,1/(Matrix_Waktu!M36^Matrix_Bobot!$B$1*(1+Matrix_Transit!M36)^Matrix_Bobot!$B$2))</f>
        <v>0.02531004809</v>
      </c>
      <c r="N36" s="30">
        <f>IF(Matrix_Waktu!N36="",0,1/(Matrix_Waktu!N36^Matrix_Bobot!$B$1*(1+Matrix_Transit!N36)^Matrix_Bobot!$B$2))</f>
        <v>0.05714285714</v>
      </c>
      <c r="O36" s="30">
        <f>IF(Matrix_Waktu!O36="",0,1/(Matrix_Waktu!O36^Matrix_Bobot!$B$1*(1+Matrix_Transit!O36)^Matrix_Bobot!$B$2))</f>
        <v>0.0625</v>
      </c>
      <c r="P36" s="30">
        <f>IF(Matrix_Waktu!P36="",0,1/(Matrix_Waktu!P36^Matrix_Bobot!$B$1*(1+Matrix_Transit!P36)^Matrix_Bobot!$B$2))</f>
        <v>0.1132246377</v>
      </c>
      <c r="Q36" s="30">
        <f>IF(Matrix_Waktu!Q36="",0,1/(Matrix_Waktu!Q36^Matrix_Bobot!$B$1*(1+Matrix_Transit!Q36)^Matrix_Bobot!$B$2))</f>
        <v>0</v>
      </c>
      <c r="R36" s="30">
        <f>IF(Matrix_Waktu!R36="",0,1/(Matrix_Waktu!R36^Matrix_Bobot!$B$1*(1+Matrix_Transit!R36)^Matrix_Bobot!$B$2))</f>
        <v>0.07407407407</v>
      </c>
      <c r="S36" s="30">
        <f>IF(Matrix_Waktu!S36="",0,1/(Matrix_Waktu!S36^Matrix_Bobot!$B$1*(1+Matrix_Transit!S36)^Matrix_Bobot!$B$2))</f>
        <v>0.02777777778</v>
      </c>
      <c r="T36" s="30">
        <f>IF(Matrix_Waktu!T36="",0,1/(Matrix_Waktu!T36^Matrix_Bobot!$B$1*(1+Matrix_Transit!T36)^Matrix_Bobot!$B$2))</f>
        <v>0.04413062665</v>
      </c>
      <c r="U36" s="30">
        <f>IF(Matrix_Waktu!U36="",0,1/(Matrix_Waktu!U36^Matrix_Bobot!$B$1*(1+Matrix_Transit!U36)^Matrix_Bobot!$B$2))</f>
        <v>0.03448513691</v>
      </c>
      <c r="V36" s="30">
        <f>IF(Matrix_Waktu!V36="",0,1/(Matrix_Waktu!V36^Matrix_Bobot!$B$1*(1+Matrix_Transit!V36)^Matrix_Bobot!$B$2))</f>
        <v>0.02197898809</v>
      </c>
      <c r="W36" s="30">
        <f>IF(Matrix_Waktu!W36="",0,1/(Matrix_Waktu!W36^Matrix_Bobot!$B$1*(1+Matrix_Transit!W36)^Matrix_Bobot!$B$2))</f>
        <v>0.06977393246</v>
      </c>
      <c r="X36" s="30">
        <f>IF(Matrix_Waktu!X36="",0,1/(Matrix_Waktu!X36^Matrix_Bobot!$B$1*(1+Matrix_Transit!X36)^Matrix_Bobot!$B$2))</f>
        <v>0.06896551724</v>
      </c>
      <c r="Y36" s="30">
        <f>IF(Matrix_Waktu!Y36="",0,1/(Matrix_Waktu!Y36^Matrix_Bobot!$B$1*(1+Matrix_Transit!Y36)^Matrix_Bobot!$B$2))</f>
        <v>0.02469135802</v>
      </c>
      <c r="Z36" s="30">
        <f>IF(Matrix_Waktu!Z36="",0,1/(Matrix_Waktu!Z36^Matrix_Bobot!$B$1*(1+Matrix_Transit!Z36)^Matrix_Bobot!$B$2))</f>
        <v>0.7501875469</v>
      </c>
      <c r="AA36" s="30">
        <f>IF(Matrix_Waktu!AA36="",0,1/(Matrix_Waktu!AA36^Matrix_Bobot!$B$1*(1+Matrix_Transit!AA36)^Matrix_Bobot!$B$2))</f>
        <v>0.08576329331</v>
      </c>
      <c r="AB36" s="30">
        <f>IF(Matrix_Waktu!AB36="",0,1/(Matrix_Waktu!AB36^Matrix_Bobot!$B$1*(1+Matrix_Transit!AB36)^Matrix_Bobot!$B$2))</f>
        <v>0.4444444444</v>
      </c>
      <c r="AC36" s="30">
        <f>IF(Matrix_Waktu!AC36="",0,1/(Matrix_Waktu!AC36^Matrix_Bobot!$B$1*(1+Matrix_Transit!AC36)^Matrix_Bobot!$B$2))</f>
        <v>0.1305483029</v>
      </c>
      <c r="AD36" s="30">
        <f>IF(Matrix_Waktu!AD36="",0,1/(Matrix_Waktu!AD36^Matrix_Bobot!$B$1*(1+Matrix_Transit!AD36)^Matrix_Bobot!$B$2))</f>
        <v>0.02326122354</v>
      </c>
      <c r="AE36" s="30">
        <f>IF(Matrix_Waktu!AE36="",0,1/(Matrix_Waktu!AE36^Matrix_Bobot!$B$1*(1+Matrix_Transit!AE36)^Matrix_Bobot!$B$2))</f>
        <v>0.1224589762</v>
      </c>
      <c r="AF36" s="30">
        <f>IF(Matrix_Waktu!AF36="",0,1/(Matrix_Waktu!AF36^Matrix_Bobot!$B$1*(1+Matrix_Transit!AF36)^Matrix_Bobot!$B$2))</f>
        <v>0.9233610342</v>
      </c>
      <c r="AG36" s="30">
        <f>IF(Matrix_Waktu!AG36="",0,1/(Matrix_Waktu!AG36^Matrix_Bobot!$B$1*(1+Matrix_Transit!AG36)^Matrix_Bobot!$B$2))</f>
        <v>0.02448987589</v>
      </c>
      <c r="AH36" s="28">
        <v>0.0</v>
      </c>
      <c r="AI36" s="30">
        <f>IF(Matrix_Waktu!AI36="",0,1/(Matrix_Waktu!AI36^Matrix_Bobot!$B$1*(1+Matrix_Transit!AI36)^Matrix_Bobot!$B$2))</f>
        <v>0.5464480874</v>
      </c>
      <c r="AJ36" s="33">
        <f t="shared" si="1"/>
        <v>4.420123237</v>
      </c>
    </row>
    <row r="37" ht="14.25" customHeight="1">
      <c r="A37" s="22" t="s">
        <v>101</v>
      </c>
      <c r="B37" s="30">
        <f>IF(Matrix_Waktu!B37="",0,1/(Matrix_Waktu!B37^Matrix_Bobot!$B$1*(1+Matrix_Transit!B37)^Matrix_Bobot!$B$2))</f>
        <v>0.0386996904</v>
      </c>
      <c r="C37" s="30">
        <f>IF(Matrix_Waktu!C37="",0,1/(Matrix_Waktu!C37^Matrix_Bobot!$B$1*(1+Matrix_Transit!C37)^Matrix_Bobot!$B$2))</f>
        <v>0.05714285714</v>
      </c>
      <c r="D37" s="30">
        <f>IF(Matrix_Waktu!D37="",0,1/(Matrix_Waktu!D37^Matrix_Bobot!$B$1*(1+Matrix_Transit!D37)^Matrix_Bobot!$B$2))</f>
        <v>0.04798464491</v>
      </c>
      <c r="E37" s="30">
        <f>IF(Matrix_Waktu!E37="",0,1/(Matrix_Waktu!E37^Matrix_Bobot!$B$1*(1+Matrix_Transit!E37)^Matrix_Bobot!$B$2))</f>
        <v>0.04616805171</v>
      </c>
      <c r="F37" s="30">
        <f>IF(Matrix_Waktu!F37="",0,1/(Matrix_Waktu!F37^Matrix_Bobot!$B$1*(1+Matrix_Transit!F37)^Matrix_Bobot!$B$2))</f>
        <v>0.03390979993</v>
      </c>
      <c r="G37" s="30">
        <f>IF(Matrix_Waktu!G37="",0,1/(Matrix_Waktu!G37^Matrix_Bobot!$B$1*(1+Matrix_Transit!G37)^Matrix_Bobot!$B$2))</f>
        <v>0.04916420846</v>
      </c>
      <c r="H37" s="30">
        <f>IF(Matrix_Waktu!H37="",0,1/(Matrix_Waktu!H37^Matrix_Bobot!$B$1*(1+Matrix_Transit!H37)^Matrix_Bobot!$B$2))</f>
        <v>0.02721088435</v>
      </c>
      <c r="I37" s="30">
        <f>IF(Matrix_Waktu!I37="",0,1/(Matrix_Waktu!I37^Matrix_Bobot!$B$1*(1+Matrix_Transit!I37)^Matrix_Bobot!$B$2))</f>
        <v>0.04444444444</v>
      </c>
      <c r="J37" s="30">
        <f>IF(Matrix_Waktu!J37="",0,1/(Matrix_Waktu!J37^Matrix_Bobot!$B$1*(1+Matrix_Transit!J37)^Matrix_Bobot!$B$2))</f>
        <v>0.03052503053</v>
      </c>
      <c r="K37" s="30">
        <f>IF(Matrix_Waktu!K37="",0,1/(Matrix_Waktu!K37^Matrix_Bobot!$B$1*(1+Matrix_Transit!K37)^Matrix_Bobot!$B$2))</f>
        <v>0.04616805171</v>
      </c>
      <c r="L37" s="30">
        <f>IF(Matrix_Waktu!L37="",0,1/(Matrix_Waktu!L37^Matrix_Bobot!$B$1*(1+Matrix_Transit!L37)^Matrix_Bobot!$B$2))</f>
        <v>0.1876172608</v>
      </c>
      <c r="M37" s="30">
        <f>IF(Matrix_Waktu!M37="",0,1/(Matrix_Waktu!M37^Matrix_Bobot!$B$1*(1+Matrix_Transit!M37)^Matrix_Bobot!$B$2))</f>
        <v>0.0251572327</v>
      </c>
      <c r="N37" s="30">
        <f>IF(Matrix_Waktu!N37="",0,1/(Matrix_Waktu!N37^Matrix_Bobot!$B$1*(1+Matrix_Transit!N37)^Matrix_Bobot!$B$2))</f>
        <v>0.03390979993</v>
      </c>
      <c r="O37" s="30">
        <f>IF(Matrix_Waktu!O37="",0,1/(Matrix_Waktu!O37^Matrix_Bobot!$B$1*(1+Matrix_Transit!O37)^Matrix_Bobot!$B$2))</f>
        <v>0.06185822096</v>
      </c>
      <c r="P37" s="30">
        <f>IF(Matrix_Waktu!P37="",0,1/(Matrix_Waktu!P37^Matrix_Bobot!$B$1*(1+Matrix_Transit!P37)^Matrix_Bobot!$B$2))</f>
        <v>0.06316321374</v>
      </c>
      <c r="Q37" s="30">
        <f>IF(Matrix_Waktu!Q37="",0,1/(Matrix_Waktu!Q37^Matrix_Bobot!$B$1*(1+Matrix_Transit!Q37)^Matrix_Bobot!$B$2))</f>
        <v>0</v>
      </c>
      <c r="R37" s="30">
        <f>IF(Matrix_Waktu!R37="",0,1/(Matrix_Waktu!R37^Matrix_Bobot!$B$1*(1+Matrix_Transit!R37)^Matrix_Bobot!$B$2))</f>
        <v>0.08576329331</v>
      </c>
      <c r="S37" s="30">
        <f>IF(Matrix_Waktu!S37="",0,1/(Matrix_Waktu!S37^Matrix_Bobot!$B$1*(1+Matrix_Transit!S37)^Matrix_Bobot!$B$2))</f>
        <v>0.03053621595</v>
      </c>
      <c r="T37" s="30">
        <f>IF(Matrix_Waktu!T37="",0,1/(Matrix_Waktu!T37^Matrix_Bobot!$B$1*(1+Matrix_Transit!T37)^Matrix_Bobot!$B$2))</f>
        <v>0.04316559184</v>
      </c>
      <c r="U37" s="30">
        <f>IF(Matrix_Waktu!U37="",0,1/(Matrix_Waktu!U37^Matrix_Bobot!$B$1*(1+Matrix_Transit!U37)^Matrix_Bobot!$B$2))</f>
        <v>0.03007609251</v>
      </c>
      <c r="V37" s="30">
        <f>IF(Matrix_Waktu!V37="",0,1/(Matrix_Waktu!V37^Matrix_Bobot!$B$1*(1+Matrix_Transit!V37)^Matrix_Bobot!$B$2))</f>
        <v>0.02631717459</v>
      </c>
      <c r="W37" s="30">
        <f>IF(Matrix_Waktu!W37="",0,1/(Matrix_Waktu!W37^Matrix_Bobot!$B$1*(1+Matrix_Transit!W37)^Matrix_Bobot!$B$2))</f>
        <v>0.0397352046</v>
      </c>
      <c r="X37" s="30">
        <f>IF(Matrix_Waktu!X37="",0,1/(Matrix_Waktu!X37^Matrix_Bobot!$B$1*(1+Matrix_Transit!X37)^Matrix_Bobot!$B$2))</f>
        <v>0.05405405405</v>
      </c>
      <c r="Y37" s="30">
        <f>IF(Matrix_Waktu!Y37="",0,1/(Matrix_Waktu!Y37^Matrix_Bobot!$B$1*(1+Matrix_Transit!Y37)^Matrix_Bobot!$B$2))</f>
        <v>0.01428571429</v>
      </c>
      <c r="Z37" s="30">
        <f>IF(Matrix_Waktu!Z37="",0,1/(Matrix_Waktu!Z37^Matrix_Bobot!$B$1*(1+Matrix_Transit!Z37)^Matrix_Bobot!$B$2))</f>
        <v>0.1276617474</v>
      </c>
      <c r="AA37" s="30">
        <f>IF(Matrix_Waktu!AA37="",0,1/(Matrix_Waktu!AA37^Matrix_Bobot!$B$1*(1+Matrix_Transit!AA37)^Matrix_Bobot!$B$2))</f>
        <v>0.03681071928</v>
      </c>
      <c r="AB37" s="30">
        <f>IF(Matrix_Waktu!AB37="",0,1/(Matrix_Waktu!AB37^Matrix_Bobot!$B$1*(1+Matrix_Transit!AB37)^Matrix_Bobot!$B$2))</f>
        <v>0.2857142857</v>
      </c>
      <c r="AC37" s="30">
        <f>IF(Matrix_Waktu!AC37="",0,1/(Matrix_Waktu!AC37^Matrix_Bobot!$B$1*(1+Matrix_Transit!AC37)^Matrix_Bobot!$B$2))</f>
        <v>0.02836879433</v>
      </c>
      <c r="AD37" s="30">
        <f>IF(Matrix_Waktu!AD37="",0,1/(Matrix_Waktu!AD37^Matrix_Bobot!$B$1*(1+Matrix_Transit!AD37)^Matrix_Bobot!$B$2))</f>
        <v>0.03076923077</v>
      </c>
      <c r="AE37" s="30">
        <f>IF(Matrix_Waktu!AE37="",0,1/(Matrix_Waktu!AE37^Matrix_Bobot!$B$1*(1+Matrix_Transit!AE37)^Matrix_Bobot!$B$2))</f>
        <v>0.03973615195</v>
      </c>
      <c r="AF37" s="30">
        <f>IF(Matrix_Waktu!AF37="",0,1/(Matrix_Waktu!AF37^Matrix_Bobot!$B$1*(1+Matrix_Transit!AF37)^Matrix_Bobot!$B$2))</f>
        <v>0.02072581815</v>
      </c>
      <c r="AG37" s="30">
        <f>IF(Matrix_Waktu!AG37="",0,1/(Matrix_Waktu!AG37^Matrix_Bobot!$B$1*(1+Matrix_Transit!AG37)^Matrix_Bobot!$B$2))</f>
        <v>0.01895738191</v>
      </c>
      <c r="AH37" s="30">
        <f>IF(Matrix_Waktu!AH37="",0,1/(Matrix_Waktu!AH37^Matrix_Bobot!$B$1*(1+Matrix_Transit!AH37)^Matrix_Bobot!$B$2))</f>
        <v>0.5464480874</v>
      </c>
      <c r="AI37" s="28">
        <v>0.0</v>
      </c>
      <c r="AJ37" s="33">
        <f t="shared" si="1"/>
        <v>2.25224895</v>
      </c>
    </row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1.0" footer="0.0" header="0.0" left="0.75" right="0.75" top="1.0"/>
  <pageSetup paperSize="9" orientation="portrait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1.0" ySplit="3.0" topLeftCell="B4" activePane="bottomRight" state="frozen"/>
      <selection activeCell="B1" sqref="B1" pane="topRight"/>
      <selection activeCell="A4" sqref="A4" pane="bottomLeft"/>
      <selection activeCell="B4" sqref="B4" pane="bottomRight"/>
    </sheetView>
  </sheetViews>
  <sheetFormatPr customHeight="1" defaultColWidth="14.43" defaultRowHeight="15.0"/>
  <cols>
    <col customWidth="1" min="1" max="1" width="22.0"/>
    <col customWidth="1" min="2" max="11" width="5.57"/>
    <col customWidth="1" min="12" max="12" width="7.71"/>
    <col customWidth="1" min="13" max="36" width="5.57"/>
  </cols>
  <sheetData>
    <row r="1" ht="14.25" customHeight="1">
      <c r="A1" s="16" t="s">
        <v>126</v>
      </c>
    </row>
    <row r="2" ht="14.25" customHeight="1">
      <c r="A2" s="19" t="s">
        <v>127</v>
      </c>
    </row>
    <row r="3" ht="94.5" customHeight="1">
      <c r="A3" s="20" t="s">
        <v>100</v>
      </c>
      <c r="B3" s="21" t="s">
        <v>5</v>
      </c>
      <c r="C3" s="21" t="s">
        <v>8</v>
      </c>
      <c r="D3" s="21" t="s">
        <v>10</v>
      </c>
      <c r="E3" s="21" t="s">
        <v>12</v>
      </c>
      <c r="F3" s="21" t="s">
        <v>15</v>
      </c>
      <c r="G3" s="21" t="s">
        <v>17</v>
      </c>
      <c r="H3" s="21" t="s">
        <v>20</v>
      </c>
      <c r="I3" s="21" t="s">
        <v>22</v>
      </c>
      <c r="J3" s="21" t="s">
        <v>25</v>
      </c>
      <c r="K3" s="21" t="s">
        <v>28</v>
      </c>
      <c r="L3" s="21" t="s">
        <v>31</v>
      </c>
      <c r="M3" s="21" t="s">
        <v>33</v>
      </c>
      <c r="N3" s="21" t="s">
        <v>37</v>
      </c>
      <c r="O3" s="21" t="s">
        <v>40</v>
      </c>
      <c r="P3" s="21" t="s">
        <v>43</v>
      </c>
      <c r="Q3" s="21" t="s">
        <v>46</v>
      </c>
      <c r="R3" s="21" t="s">
        <v>49</v>
      </c>
      <c r="S3" s="21" t="s">
        <v>52</v>
      </c>
      <c r="T3" s="21" t="s">
        <v>55</v>
      </c>
      <c r="U3" s="21" t="s">
        <v>58</v>
      </c>
      <c r="V3" s="21" t="s">
        <v>61</v>
      </c>
      <c r="W3" s="21" t="s">
        <v>64</v>
      </c>
      <c r="X3" s="21" t="s">
        <v>68</v>
      </c>
      <c r="Y3" s="21" t="s">
        <v>71</v>
      </c>
      <c r="Z3" s="21" t="s">
        <v>75</v>
      </c>
      <c r="AA3" s="21" t="s">
        <v>78</v>
      </c>
      <c r="AB3" s="21" t="s">
        <v>81</v>
      </c>
      <c r="AC3" s="21" t="s">
        <v>84</v>
      </c>
      <c r="AD3" s="21" t="s">
        <v>89</v>
      </c>
      <c r="AE3" s="21" t="s">
        <v>92</v>
      </c>
      <c r="AF3" s="21" t="s">
        <v>94</v>
      </c>
      <c r="AG3" s="21" t="s">
        <v>96</v>
      </c>
      <c r="AH3" s="21" t="s">
        <v>98</v>
      </c>
      <c r="AI3" s="21" t="s">
        <v>101</v>
      </c>
      <c r="AJ3" s="21" t="s">
        <v>128</v>
      </c>
    </row>
    <row r="4" ht="14.25" customHeight="1">
      <c r="A4" s="22" t="s">
        <v>5</v>
      </c>
      <c r="B4" s="28">
        <f>IF(SUM(Matrix_Bobot!$B4:$AI4)=0,0,Matrix_Bobot!B4/SUM(Matrix_Bobot!$B4:$AI4))</f>
        <v>0</v>
      </c>
      <c r="C4" s="30">
        <f>IF(SUM(Matrix_Bobot!$B4:$AI4)=0,0,Matrix_Bobot!C4/SUM(Matrix_Bobot!$B4:$AI4))</f>
        <v>0.2269281419</v>
      </c>
      <c r="D4" s="30">
        <f>IF(SUM(Matrix_Bobot!$B4:$AI4)=0,0,Matrix_Bobot!D4/SUM(Matrix_Bobot!$B4:$AI4))</f>
        <v>0.02763286528</v>
      </c>
      <c r="E4" s="30">
        <f>IF(SUM(Matrix_Bobot!$B4:$AI4)=0,0,Matrix_Bobot!E4/SUM(Matrix_Bobot!$B4:$AI4))</f>
        <v>0.05131817838</v>
      </c>
      <c r="F4" s="30">
        <f>IF(SUM(Matrix_Bobot!$B4:$AI4)=0,0,Matrix_Bobot!F4/SUM(Matrix_Bobot!$B4:$AI4))</f>
        <v>0.02763286528</v>
      </c>
      <c r="G4" s="30">
        <f>IF(SUM(Matrix_Bobot!$B4:$AI4)=0,0,Matrix_Bobot!G4/SUM(Matrix_Bobot!$B4:$AI4))</f>
        <v>0.03716169581</v>
      </c>
      <c r="H4" s="30">
        <f>IF(SUM(Matrix_Bobot!$B4:$AI4)=0,0,Matrix_Bobot!H4/SUM(Matrix_Bobot!$B4:$AI4))</f>
        <v>0.02595572606</v>
      </c>
      <c r="I4" s="30">
        <f>IF(SUM(Matrix_Bobot!$B4:$AI4)=0,0,Matrix_Bobot!I4/SUM(Matrix_Bobot!$B4:$AI4))</f>
        <v>0.03218882157</v>
      </c>
      <c r="J4" s="30">
        <f>IF(SUM(Matrix_Bobot!$B4:$AI4)=0,0,Matrix_Bobot!J4/SUM(Matrix_Bobot!$B4:$AI4))</f>
        <v>0.01907394569</v>
      </c>
      <c r="K4" s="30">
        <f>IF(SUM(Matrix_Bobot!$B4:$AI4)=0,0,Matrix_Bobot!K4/SUM(Matrix_Bobot!$B4:$AI4))</f>
        <v>0.003741950507</v>
      </c>
      <c r="L4" s="30">
        <f>IF(SUM(Matrix_Bobot!$B4:$AI4)=0,0,Matrix_Bobot!L4/SUM(Matrix_Bobot!$B4:$AI4))</f>
        <v>0.1231170547</v>
      </c>
      <c r="M4" s="30">
        <f>IF(SUM(Matrix_Bobot!$B4:$AI4)=0,0,Matrix_Bobot!M4/SUM(Matrix_Bobot!$B4:$AI4))</f>
        <v>0.005770718854</v>
      </c>
      <c r="N4" s="30">
        <f>IF(SUM(Matrix_Bobot!$B4:$AI4)=0,0,Matrix_Bobot!N4/SUM(Matrix_Bobot!$B4:$AI4))</f>
        <v>0.03533385091</v>
      </c>
      <c r="O4" s="30">
        <f>IF(SUM(Matrix_Bobot!$B4:$AI4)=0,0,Matrix_Bobot!O4/SUM(Matrix_Bobot!$B4:$AI4))</f>
        <v>0.03476390486</v>
      </c>
      <c r="P4" s="30">
        <f>IF(SUM(Matrix_Bobot!$B4:$AI4)=0,0,Matrix_Bobot!P4/SUM(Matrix_Bobot!$B4:$AI4))</f>
        <v>0.03035706126</v>
      </c>
      <c r="Q4" s="30">
        <f>IF(SUM(Matrix_Bobot!$B4:$AI4)=0,0,Matrix_Bobot!Q4/SUM(Matrix_Bobot!$B4:$AI4))</f>
        <v>0</v>
      </c>
      <c r="R4" s="30">
        <f>IF(SUM(Matrix_Bobot!$B4:$AI4)=0,0,Matrix_Bobot!R4/SUM(Matrix_Bobot!$B4:$AI4))</f>
        <v>0.02952554347</v>
      </c>
      <c r="S4" s="30">
        <f>IF(SUM(Matrix_Bobot!$B4:$AI4)=0,0,Matrix_Bobot!S4/SUM(Matrix_Bobot!$B4:$AI4))</f>
        <v>0.02317595153</v>
      </c>
      <c r="T4" s="30">
        <f>IF(SUM(Matrix_Bobot!$B4:$AI4)=0,0,Matrix_Bobot!T4/SUM(Matrix_Bobot!$B4:$AI4))</f>
        <v>0.01466233668</v>
      </c>
      <c r="U4" s="30">
        <f>IF(SUM(Matrix_Bobot!$B4:$AI4)=0,0,Matrix_Bobot!U4/SUM(Matrix_Bobot!$B4:$AI4))</f>
        <v>0.03265702261</v>
      </c>
      <c r="V4" s="30">
        <f>IF(SUM(Matrix_Bobot!$B4:$AI4)=0,0,Matrix_Bobot!V4/SUM(Matrix_Bobot!$B4:$AI4))</f>
        <v>0.03169633549</v>
      </c>
      <c r="W4" s="30">
        <f>IF(SUM(Matrix_Bobot!$B4:$AI4)=0,0,Matrix_Bobot!W4/SUM(Matrix_Bobot!$B4:$AI4))</f>
        <v>0.02477429301</v>
      </c>
      <c r="X4" s="30">
        <f>IF(SUM(Matrix_Bobot!$B4:$AI4)=0,0,Matrix_Bobot!X4/SUM(Matrix_Bobot!$B4:$AI4))</f>
        <v>0.02014356069</v>
      </c>
      <c r="Y4" s="30">
        <f>IF(SUM(Matrix_Bobot!$B4:$AI4)=0,0,Matrix_Bobot!Y4/SUM(Matrix_Bobot!$B4:$AI4))</f>
        <v>0.004129048835</v>
      </c>
      <c r="Z4" s="30">
        <f>IF(SUM(Matrix_Bobot!$B4:$AI4)=0,0,Matrix_Bobot!Z4/SUM(Matrix_Bobot!$B4:$AI4))</f>
        <v>0.006037442898</v>
      </c>
      <c r="AA4" s="30">
        <f>IF(SUM(Matrix_Bobot!$B4:$AI4)=0,0,Matrix_Bobot!AA4/SUM(Matrix_Bobot!$B4:$AI4))</f>
        <v>0.01330471291</v>
      </c>
      <c r="AB4" s="30">
        <f>IF(SUM(Matrix_Bobot!$B4:$AI4)=0,0,Matrix_Bobot!AB4/SUM(Matrix_Bobot!$B4:$AI4))</f>
        <v>0.02595572606</v>
      </c>
      <c r="AC4" s="30">
        <f>IF(SUM(Matrix_Bobot!$B4:$AI4)=0,0,Matrix_Bobot!AC4/SUM(Matrix_Bobot!$B4:$AI4))</f>
        <v>0.02071668101</v>
      </c>
      <c r="AD4" s="30">
        <f>IF(SUM(Matrix_Bobot!$B4:$AI4)=0,0,Matrix_Bobot!AD4/SUM(Matrix_Bobot!$B4:$AI4))</f>
        <v>0.0109989972</v>
      </c>
      <c r="AE4" s="30">
        <f>IF(SUM(Matrix_Bobot!$B4:$AI4)=0,0,Matrix_Bobot!AE4/SUM(Matrix_Bobot!$B4:$AI4))</f>
        <v>0.00659131357</v>
      </c>
      <c r="AF4" s="30">
        <f>IF(SUM(Matrix_Bobot!$B4:$AI4)=0,0,Matrix_Bobot!AF4/SUM(Matrix_Bobot!$B4:$AI4))</f>
        <v>0.01290327761</v>
      </c>
      <c r="AG4" s="30">
        <f>IF(SUM(Matrix_Bobot!$B4:$AI4)=0,0,Matrix_Bobot!AG4/SUM(Matrix_Bobot!$B4:$AI4))</f>
        <v>0.01338734756</v>
      </c>
      <c r="AH4" s="30">
        <f>IF(SUM(Matrix_Bobot!$B4:$AI4)=0,0,Matrix_Bobot!AH4/SUM(Matrix_Bobot!$B4:$AI4))</f>
        <v>0.01446164447</v>
      </c>
      <c r="AI4" s="30">
        <f>IF(SUM(Matrix_Bobot!$B4:$AI4)=0,0,Matrix_Bobot!AI4/SUM(Matrix_Bobot!$B4:$AI4))</f>
        <v>0.01390198331</v>
      </c>
      <c r="AJ4" s="33">
        <f t="shared" ref="AJ4:AJ37" si="1">SUM(B4:AI4)</f>
        <v>1</v>
      </c>
    </row>
    <row r="5" ht="14.25" customHeight="1">
      <c r="A5" s="22" t="s">
        <v>8</v>
      </c>
      <c r="B5" s="30">
        <f>IF(SUM(Matrix_Bobot!$B5:$AI5)=0,0,Matrix_Bobot!B5/SUM(Matrix_Bobot!$B5:$AI5))</f>
        <v>0.1070979829</v>
      </c>
      <c r="C5" s="28">
        <f>IF(SUM(Matrix_Bobot!$B5:$AI5)=0,0,Matrix_Bobot!C5/SUM(Matrix_Bobot!$B5:$AI5))</f>
        <v>0</v>
      </c>
      <c r="D5" s="30">
        <f>IF(SUM(Matrix_Bobot!$B5:$AI5)=0,0,Matrix_Bobot!D5/SUM(Matrix_Bobot!$B5:$AI5))</f>
        <v>0.127470757</v>
      </c>
      <c r="E5" s="30">
        <f>IF(SUM(Matrix_Bobot!$B5:$AI5)=0,0,Matrix_Bobot!E5/SUM(Matrix_Bobot!$B5:$AI5))</f>
        <v>0.1453125112</v>
      </c>
      <c r="F5" s="30">
        <f>IF(SUM(Matrix_Bobot!$B5:$AI5)=0,0,Matrix_Bobot!F5/SUM(Matrix_Bobot!$B5:$AI5))</f>
        <v>0.01917829263</v>
      </c>
      <c r="G5" s="30">
        <f>IF(SUM(Matrix_Bobot!$B5:$AI5)=0,0,Matrix_Bobot!G5/SUM(Matrix_Bobot!$B5:$AI5))</f>
        <v>0.09249105667</v>
      </c>
      <c r="H5" s="30">
        <f>IF(SUM(Matrix_Bobot!$B5:$AI5)=0,0,Matrix_Bobot!H5/SUM(Matrix_Bobot!$B5:$AI5))</f>
        <v>0.01640661417</v>
      </c>
      <c r="I5" s="30">
        <f>IF(SUM(Matrix_Bobot!$B5:$AI5)=0,0,Matrix_Bobot!I5/SUM(Matrix_Bobot!$B5:$AI5))</f>
        <v>0.02034270541</v>
      </c>
      <c r="J5" s="30">
        <f>IF(SUM(Matrix_Bobot!$B5:$AI5)=0,0,Matrix_Bobot!J5/SUM(Matrix_Bobot!$B5:$AI5))</f>
        <v>0.01541237335</v>
      </c>
      <c r="K5" s="30">
        <f>IF(SUM(Matrix_Bobot!$B5:$AI5)=0,0,Matrix_Bobot!K5/SUM(Matrix_Bobot!$B5:$AI5))</f>
        <v>0.01431892795</v>
      </c>
      <c r="L5" s="30">
        <f>IF(SUM(Matrix_Bobot!$B5:$AI5)=0,0,Matrix_Bobot!L5/SUM(Matrix_Bobot!$B5:$AI5))</f>
        <v>0.03502812125</v>
      </c>
      <c r="M5" s="30">
        <f>IF(SUM(Matrix_Bobot!$B5:$AI5)=0,0,Matrix_Bobot!M5/SUM(Matrix_Bobot!$B5:$AI5))</f>
        <v>0.06356809407</v>
      </c>
      <c r="N5" s="30">
        <f>IF(SUM(Matrix_Bobot!$B5:$AI5)=0,0,Matrix_Bobot!N5/SUM(Matrix_Bobot!$B5:$AI5))</f>
        <v>0.01695361069</v>
      </c>
      <c r="O5" s="30">
        <f>IF(SUM(Matrix_Bobot!$B5:$AI5)=0,0,Matrix_Bobot!O5/SUM(Matrix_Bobot!$B5:$AI5))</f>
        <v>0.05990675154</v>
      </c>
      <c r="P5" s="30">
        <f>IF(SUM(Matrix_Bobot!$B5:$AI5)=0,0,Matrix_Bobot!P5/SUM(Matrix_Bobot!$B5:$AI5))</f>
        <v>0.05348142173</v>
      </c>
      <c r="Q5" s="30">
        <f>IF(SUM(Matrix_Bobot!$B5:$AI5)=0,0,Matrix_Bobot!Q5/SUM(Matrix_Bobot!$B5:$AI5))</f>
        <v>0</v>
      </c>
      <c r="R5" s="30">
        <f>IF(SUM(Matrix_Bobot!$B5:$AI5)=0,0,Matrix_Bobot!R5/SUM(Matrix_Bobot!$B5:$AI5))</f>
        <v>0.01639614186</v>
      </c>
      <c r="S5" s="30">
        <f>IF(SUM(Matrix_Bobot!$B5:$AI5)=0,0,Matrix_Bobot!S5/SUM(Matrix_Bobot!$B5:$AI5))</f>
        <v>0.01541237335</v>
      </c>
      <c r="T5" s="30">
        <f>IF(SUM(Matrix_Bobot!$B5:$AI5)=0,0,Matrix_Bobot!T5/SUM(Matrix_Bobot!$B5:$AI5))</f>
        <v>0.008335108499</v>
      </c>
      <c r="U5" s="30">
        <f>IF(SUM(Matrix_Bobot!$B5:$AI5)=0,0,Matrix_Bobot!U5/SUM(Matrix_Bobot!$B5:$AI5))</f>
        <v>0.01957691765</v>
      </c>
      <c r="V5" s="30">
        <f>IF(SUM(Matrix_Bobot!$B5:$AI5)=0,0,Matrix_Bobot!V5/SUM(Matrix_Bobot!$B5:$AI5))</f>
        <v>0.01614629589</v>
      </c>
      <c r="W5" s="30">
        <f>IF(SUM(Matrix_Bobot!$B5:$AI5)=0,0,Matrix_Bobot!W5/SUM(Matrix_Bobot!$B5:$AI5))</f>
        <v>0.01339147764</v>
      </c>
      <c r="X5" s="30">
        <f>IF(SUM(Matrix_Bobot!$B5:$AI5)=0,0,Matrix_Bobot!X5/SUM(Matrix_Bobot!$B5:$AI5))</f>
        <v>0.01270885359</v>
      </c>
      <c r="Y5" s="30">
        <f>IF(SUM(Matrix_Bobot!$B5:$AI5)=0,0,Matrix_Bobot!Y5/SUM(Matrix_Bobot!$B5:$AI5))</f>
        <v>0.01142426596</v>
      </c>
      <c r="Z5" s="30">
        <f>IF(SUM(Matrix_Bobot!$B5:$AI5)=0,0,Matrix_Bobot!Z5/SUM(Matrix_Bobot!$B5:$AI5))</f>
        <v>0.01017623691</v>
      </c>
      <c r="AA5" s="30">
        <f>IF(SUM(Matrix_Bobot!$B5:$AI5)=0,0,Matrix_Bobot!AA5/SUM(Matrix_Bobot!$B5:$AI5))</f>
        <v>0.009085536274</v>
      </c>
      <c r="AB5" s="30">
        <f>IF(SUM(Matrix_Bobot!$B5:$AI5)=0,0,Matrix_Bobot!AB5/SUM(Matrix_Bobot!$B5:$AI5))</f>
        <v>0.01431892795</v>
      </c>
      <c r="AC5" s="30">
        <f>IF(SUM(Matrix_Bobot!$B5:$AI5)=0,0,Matrix_Bobot!AC5/SUM(Matrix_Bobot!$B5:$AI5))</f>
        <v>0.01156453662</v>
      </c>
      <c r="AD5" s="30">
        <f>IF(SUM(Matrix_Bobot!$B5:$AI5)=0,0,Matrix_Bobot!AD5/SUM(Matrix_Bobot!$B5:$AI5))</f>
        <v>0.008206007109</v>
      </c>
      <c r="AE5" s="30">
        <f>IF(SUM(Matrix_Bobot!$B5:$AI5)=0,0,Matrix_Bobot!AE5/SUM(Matrix_Bobot!$B5:$AI5))</f>
        <v>0.005898959877</v>
      </c>
      <c r="AF5" s="30">
        <f>IF(SUM(Matrix_Bobot!$B5:$AI5)=0,0,Matrix_Bobot!AF5/SUM(Matrix_Bobot!$B5:$AI5))</f>
        <v>0.01156453662</v>
      </c>
      <c r="AG5" s="30">
        <f>IF(SUM(Matrix_Bobot!$B5:$AI5)=0,0,Matrix_Bobot!AG5/SUM(Matrix_Bobot!$B5:$AI5))</f>
        <v>0.009164113885</v>
      </c>
      <c r="AH5" s="30">
        <f>IF(SUM(Matrix_Bobot!$B5:$AI5)=0,0,Matrix_Bobot!AH5/SUM(Matrix_Bobot!$B5:$AI5))</f>
        <v>0.009972712169</v>
      </c>
      <c r="AI5" s="30">
        <f>IF(SUM(Matrix_Bobot!$B5:$AI5)=0,0,Matrix_Bobot!AI5/SUM(Matrix_Bobot!$B5:$AI5))</f>
        <v>0.009687777536</v>
      </c>
      <c r="AJ5" s="33">
        <f t="shared" si="1"/>
        <v>1</v>
      </c>
    </row>
    <row r="6" ht="14.25" customHeight="1">
      <c r="A6" s="22" t="s">
        <v>10</v>
      </c>
      <c r="B6" s="30">
        <f>IF(SUM(Matrix_Bobot!$B6:$AI6)=0,0,Matrix_Bobot!B6/SUM(Matrix_Bobot!$B6:$AI6))</f>
        <v>0.01879895823</v>
      </c>
      <c r="C6" s="30">
        <f>IF(SUM(Matrix_Bobot!$B6:$AI6)=0,0,Matrix_Bobot!C6/SUM(Matrix_Bobot!$B6:$AI6))</f>
        <v>0.1837492158</v>
      </c>
      <c r="D6" s="28">
        <f>IF(SUM(Matrix_Bobot!$B6:$AI6)=0,0,Matrix_Bobot!D6/SUM(Matrix_Bobot!$B6:$AI6))</f>
        <v>0</v>
      </c>
      <c r="E6" s="30">
        <f>IF(SUM(Matrix_Bobot!$B6:$AI6)=0,0,Matrix_Bobot!E6/SUM(Matrix_Bobot!$B6:$AI6))</f>
        <v>0.0103994237</v>
      </c>
      <c r="F6" s="30">
        <f>IF(SUM(Matrix_Bobot!$B6:$AI6)=0,0,Matrix_Bobot!F6/SUM(Matrix_Bobot!$B6:$AI6))</f>
        <v>0.02764552681</v>
      </c>
      <c r="G6" s="30">
        <f>IF(SUM(Matrix_Bobot!$B6:$AI6)=0,0,Matrix_Bobot!G6/SUM(Matrix_Bobot!$B6:$AI6))</f>
        <v>0.03054830713</v>
      </c>
      <c r="H6" s="30">
        <f>IF(SUM(Matrix_Bobot!$B6:$AI6)=0,0,Matrix_Bobot!H6/SUM(Matrix_Bobot!$B6:$AI6))</f>
        <v>0.02292555882</v>
      </c>
      <c r="I6" s="30">
        <f>IF(SUM(Matrix_Bobot!$B6:$AI6)=0,0,Matrix_Bobot!I6/SUM(Matrix_Bobot!$B6:$AI6))</f>
        <v>0.02528310128</v>
      </c>
      <c r="J6" s="30">
        <f>IF(SUM(Matrix_Bobot!$B6:$AI6)=0,0,Matrix_Bobot!J6/SUM(Matrix_Bobot!$B6:$AI6))</f>
        <v>0.02528310128</v>
      </c>
      <c r="K6" s="30">
        <f>IF(SUM(Matrix_Bobot!$B6:$AI6)=0,0,Matrix_Bobot!K6/SUM(Matrix_Bobot!$B6:$AI6))</f>
        <v>0.0244386457</v>
      </c>
      <c r="L6" s="30">
        <f>IF(SUM(Matrix_Bobot!$B6:$AI6)=0,0,Matrix_Bobot!L6/SUM(Matrix_Bobot!$B6:$AI6))</f>
        <v>0.133544512</v>
      </c>
      <c r="M6" s="30">
        <f>IF(SUM(Matrix_Bobot!$B6:$AI6)=0,0,Matrix_Bobot!M6/SUM(Matrix_Bobot!$B6:$AI6))</f>
        <v>0.004250125337</v>
      </c>
      <c r="N6" s="30">
        <f>IF(SUM(Matrix_Bobot!$B6:$AI6)=0,0,Matrix_Bobot!N6/SUM(Matrix_Bobot!$B6:$AI6))</f>
        <v>0.0318792665</v>
      </c>
      <c r="O6" s="30">
        <f>IF(SUM(Matrix_Bobot!$B6:$AI6)=0,0,Matrix_Bobot!O6/SUM(Matrix_Bobot!$B6:$AI6))</f>
        <v>0.1086162031</v>
      </c>
      <c r="P6" s="30">
        <f>IF(SUM(Matrix_Bobot!$B6:$AI6)=0,0,Matrix_Bobot!P6/SUM(Matrix_Bobot!$B6:$AI6))</f>
        <v>0.02667974421</v>
      </c>
      <c r="Q6" s="30">
        <f>IF(SUM(Matrix_Bobot!$B6:$AI6)=0,0,Matrix_Bobot!Q6/SUM(Matrix_Bobot!$B6:$AI6))</f>
        <v>0</v>
      </c>
      <c r="R6" s="30">
        <f>IF(SUM(Matrix_Bobot!$B6:$AI6)=0,0,Matrix_Bobot!R6/SUM(Matrix_Bobot!$B6:$AI6))</f>
        <v>0.02483602205</v>
      </c>
      <c r="S6" s="30">
        <f>IF(SUM(Matrix_Bobot!$B6:$AI6)=0,0,Matrix_Bobot!S6/SUM(Matrix_Bobot!$B6:$AI6))</f>
        <v>0.02292555882</v>
      </c>
      <c r="T6" s="30">
        <f>IF(SUM(Matrix_Bobot!$B6:$AI6)=0,0,Matrix_Bobot!T6/SUM(Matrix_Bobot!$B6:$AI6))</f>
        <v>0.01369879243</v>
      </c>
      <c r="U6" s="30">
        <f>IF(SUM(Matrix_Bobot!$B6:$AI6)=0,0,Matrix_Bobot!U6/SUM(Matrix_Bobot!$B6:$AI6))</f>
        <v>0.02875134788</v>
      </c>
      <c r="V6" s="30">
        <f>IF(SUM(Matrix_Bobot!$B6:$AI6)=0,0,Matrix_Bobot!V6/SUM(Matrix_Bobot!$B6:$AI6))</f>
        <v>0.02764552681</v>
      </c>
      <c r="W6" s="30">
        <f>IF(SUM(Matrix_Bobot!$B6:$AI6)=0,0,Matrix_Bobot!W6/SUM(Matrix_Bobot!$B6:$AI6))</f>
        <v>0.02572489021</v>
      </c>
      <c r="X6" s="30">
        <f>IF(SUM(Matrix_Bobot!$B6:$AI6)=0,0,Matrix_Bobot!X6/SUM(Matrix_Bobot!$B6:$AI6))</f>
        <v>0.022712496</v>
      </c>
      <c r="Y6" s="30">
        <f>IF(SUM(Matrix_Bobot!$B6:$AI6)=0,0,Matrix_Bobot!Y6/SUM(Matrix_Bobot!$B6:$AI6))</f>
        <v>0.02327490067</v>
      </c>
      <c r="Z6" s="30">
        <f>IF(SUM(Matrix_Bobot!$B6:$AI6)=0,0,Matrix_Bobot!Z6/SUM(Matrix_Bobot!$B6:$AI6))</f>
        <v>0.01629243047</v>
      </c>
      <c r="AA6" s="30">
        <f>IF(SUM(Matrix_Bobot!$B6:$AI6)=0,0,Matrix_Bobot!AA6/SUM(Matrix_Bobot!$B6:$AI6))</f>
        <v>0.01263632146</v>
      </c>
      <c r="AB6" s="30">
        <f>IF(SUM(Matrix_Bobot!$B6:$AI6)=0,0,Matrix_Bobot!AB6/SUM(Matrix_Bobot!$B6:$AI6))</f>
        <v>0.02254487611</v>
      </c>
      <c r="AC6" s="30">
        <f>IF(SUM(Matrix_Bobot!$B6:$AI6)=0,0,Matrix_Bobot!AC6/SUM(Matrix_Bobot!$B6:$AI6))</f>
        <v>0.01810270052</v>
      </c>
      <c r="AD6" s="30">
        <f>IF(SUM(Matrix_Bobot!$B6:$AI6)=0,0,Matrix_Bobot!AD6/SUM(Matrix_Bobot!$B6:$AI6))</f>
        <v>0.01078492749</v>
      </c>
      <c r="AE6" s="30">
        <f>IF(SUM(Matrix_Bobot!$B6:$AI6)=0,0,Matrix_Bobot!AE6/SUM(Matrix_Bobot!$B6:$AI6))</f>
        <v>0.006102033883</v>
      </c>
      <c r="AF6" s="30">
        <f>IF(SUM(Matrix_Bobot!$B6:$AI6)=0,0,Matrix_Bobot!AF6/SUM(Matrix_Bobot!$B6:$AI6))</f>
        <v>0.01286244511</v>
      </c>
      <c r="AG6" s="30">
        <f>IF(SUM(Matrix_Bobot!$B6:$AI6)=0,0,Matrix_Bobot!AG6/SUM(Matrix_Bobot!$B6:$AI6))</f>
        <v>0.01163745033</v>
      </c>
      <c r="AH6" s="30">
        <f>IF(SUM(Matrix_Bobot!$B6:$AI6)=0,0,Matrix_Bobot!AH6/SUM(Matrix_Bobot!$B6:$AI6))</f>
        <v>0.01369879243</v>
      </c>
      <c r="AI6" s="30">
        <f>IF(SUM(Matrix_Bobot!$B6:$AI6)=0,0,Matrix_Bobot!AI6/SUM(Matrix_Bobot!$B6:$AI6))</f>
        <v>0.01172679736</v>
      </c>
      <c r="AJ6" s="33">
        <f t="shared" si="1"/>
        <v>1</v>
      </c>
    </row>
    <row r="7" ht="14.25" customHeight="1">
      <c r="A7" s="22" t="s">
        <v>12</v>
      </c>
      <c r="B7" s="30">
        <f>IF(SUM(Matrix_Bobot!$B7:$AI7)=0,0,Matrix_Bobot!B7/SUM(Matrix_Bobot!$B7:$AI7))</f>
        <v>0.03946240358</v>
      </c>
      <c r="C7" s="30">
        <f>IF(SUM(Matrix_Bobot!$B7:$AI7)=0,0,Matrix_Bobot!C7/SUM(Matrix_Bobot!$B7:$AI7))</f>
        <v>0.2367676567</v>
      </c>
      <c r="D7" s="30">
        <f>IF(SUM(Matrix_Bobot!$B7:$AI7)=0,0,Matrix_Bobot!D7/SUM(Matrix_Bobot!$B7:$AI7))</f>
        <v>0.01175475851</v>
      </c>
      <c r="E7" s="28">
        <f>IF(SUM(Matrix_Bobot!$B7:$AI7)=0,0,Matrix_Bobot!E7/SUM(Matrix_Bobot!$B7:$AI7))</f>
        <v>0</v>
      </c>
      <c r="F7" s="30">
        <f>IF(SUM(Matrix_Bobot!$B7:$AI7)=0,0,Matrix_Bobot!F7/SUM(Matrix_Bobot!$B7:$AI7))</f>
        <v>0.03314576735</v>
      </c>
      <c r="G7" s="30">
        <f>IF(SUM(Matrix_Bobot!$B7:$AI7)=0,0,Matrix_Bobot!G7/SUM(Matrix_Bobot!$B7:$AI7))</f>
        <v>0.03858056216</v>
      </c>
      <c r="H7" s="30">
        <f>IF(SUM(Matrix_Bobot!$B7:$AI7)=0,0,Matrix_Bobot!H7/SUM(Matrix_Bobot!$B7:$AI7))</f>
        <v>0.02859594462</v>
      </c>
      <c r="I7" s="30">
        <f>IF(SUM(Matrix_Bobot!$B7:$AI7)=0,0,Matrix_Bobot!I7/SUM(Matrix_Bobot!$B7:$AI7))</f>
        <v>0.03683157668</v>
      </c>
      <c r="J7" s="30">
        <f>IF(SUM(Matrix_Bobot!$B7:$AI7)=0,0,Matrix_Bobot!J7/SUM(Matrix_Bobot!$B7:$AI7))</f>
        <v>0.02511243864</v>
      </c>
      <c r="K7" s="30">
        <f>IF(SUM(Matrix_Bobot!$B7:$AI7)=0,0,Matrix_Bobot!K7/SUM(Matrix_Bobot!$B7:$AI7))</f>
        <v>0.02333081293</v>
      </c>
      <c r="L7" s="30">
        <f>IF(SUM(Matrix_Bobot!$B7:$AI7)=0,0,Matrix_Bobot!L7/SUM(Matrix_Bobot!$B7:$AI7))</f>
        <v>0.07892480716</v>
      </c>
      <c r="M7" s="30">
        <f>IF(SUM(Matrix_Bobot!$B7:$AI7)=0,0,Matrix_Bobot!M7/SUM(Matrix_Bobot!$B7:$AI7))</f>
        <v>0.02181965443</v>
      </c>
      <c r="N7" s="30">
        <f>IF(SUM(Matrix_Bobot!$B7:$AI7)=0,0,Matrix_Bobot!N7/SUM(Matrix_Bobot!$B7:$AI7))</f>
        <v>0.02807284808</v>
      </c>
      <c r="O7" s="30">
        <f>IF(SUM(Matrix_Bobot!$B7:$AI7)=0,0,Matrix_Bobot!O7/SUM(Matrix_Bobot!$B7:$AI7))</f>
        <v>0.02762368251</v>
      </c>
      <c r="P7" s="30">
        <f>IF(SUM(Matrix_Bobot!$B7:$AI7)=0,0,Matrix_Bobot!P7/SUM(Matrix_Bobot!$B7:$AI7))</f>
        <v>0.02209894601</v>
      </c>
      <c r="Q7" s="30">
        <f>IF(SUM(Matrix_Bobot!$B7:$AI7)=0,0,Matrix_Bobot!Q7/SUM(Matrix_Bobot!$B7:$AI7))</f>
        <v>0</v>
      </c>
      <c r="R7" s="30">
        <f>IF(SUM(Matrix_Bobot!$B7:$AI7)=0,0,Matrix_Bobot!R7/SUM(Matrix_Bobot!$B7:$AI7))</f>
        <v>0.0295756772</v>
      </c>
      <c r="S7" s="30">
        <f>IF(SUM(Matrix_Bobot!$B7:$AI7)=0,0,Matrix_Bobot!S7/SUM(Matrix_Bobot!$B7:$AI7))</f>
        <v>0.02859594462</v>
      </c>
      <c r="T7" s="30">
        <f>IF(SUM(Matrix_Bobot!$B7:$AI7)=0,0,Matrix_Bobot!T7/SUM(Matrix_Bobot!$B7:$AI7))</f>
        <v>0.01950825036</v>
      </c>
      <c r="U7" s="30">
        <f>IF(SUM(Matrix_Bobot!$B7:$AI7)=0,0,Matrix_Bobot!U7/SUM(Matrix_Bobot!$B7:$AI7))</f>
        <v>0.02859594462</v>
      </c>
      <c r="V7" s="30">
        <f>IF(SUM(Matrix_Bobot!$B7:$AI7)=0,0,Matrix_Bobot!V7/SUM(Matrix_Bobot!$B7:$AI7))</f>
        <v>0.02475240368</v>
      </c>
      <c r="W7" s="30">
        <f>IF(SUM(Matrix_Bobot!$B7:$AI7)=0,0,Matrix_Bobot!W7/SUM(Matrix_Bobot!$B7:$AI7))</f>
        <v>0.02591339822</v>
      </c>
      <c r="X7" s="30">
        <f>IF(SUM(Matrix_Bobot!$B7:$AI7)=0,0,Matrix_Bobot!X7/SUM(Matrix_Bobot!$B7:$AI7))</f>
        <v>0.02591339822</v>
      </c>
      <c r="Y7" s="30">
        <f>IF(SUM(Matrix_Bobot!$B7:$AI7)=0,0,Matrix_Bobot!Y7/SUM(Matrix_Bobot!$B7:$AI7))</f>
        <v>0.02046198704</v>
      </c>
      <c r="Z7" s="30">
        <f>IF(SUM(Matrix_Bobot!$B7:$AI7)=0,0,Matrix_Bobot!Z7/SUM(Matrix_Bobot!$B7:$AI7))</f>
        <v>0.01905081552</v>
      </c>
      <c r="AA7" s="30">
        <f>IF(SUM(Matrix_Bobot!$B7:$AI7)=0,0,Matrix_Bobot!AA7/SUM(Matrix_Bobot!$B7:$AI7))</f>
        <v>0.01175976267</v>
      </c>
      <c r="AB7" s="30">
        <f>IF(SUM(Matrix_Bobot!$B7:$AI7)=0,0,Matrix_Bobot!AB7/SUM(Matrix_Bobot!$B7:$AI7))</f>
        <v>0.0267308714</v>
      </c>
      <c r="AC7" s="30">
        <f>IF(SUM(Matrix_Bobot!$B7:$AI7)=0,0,Matrix_Bobot!AC7/SUM(Matrix_Bobot!$B7:$AI7))</f>
        <v>0.01800761571</v>
      </c>
      <c r="AD7" s="30">
        <f>IF(SUM(Matrix_Bobot!$B7:$AI7)=0,0,Matrix_Bobot!AD7/SUM(Matrix_Bobot!$B7:$AI7))</f>
        <v>0.01167526733</v>
      </c>
      <c r="AE7" s="30">
        <f>IF(SUM(Matrix_Bobot!$B7:$AI7)=0,0,Matrix_Bobot!AE7/SUM(Matrix_Bobot!$B7:$AI7))</f>
        <v>0.01593612698</v>
      </c>
      <c r="AF7" s="30">
        <f>IF(SUM(Matrix_Bobot!$B7:$AI7)=0,0,Matrix_Bobot!AF7/SUM(Matrix_Bobot!$B7:$AI7))</f>
        <v>0.00722187778</v>
      </c>
      <c r="AG7" s="30">
        <f>IF(SUM(Matrix_Bobot!$B7:$AI7)=0,0,Matrix_Bobot!AG7/SUM(Matrix_Bobot!$B7:$AI7))</f>
        <v>0.008370812881</v>
      </c>
      <c r="AH7" s="30">
        <f>IF(SUM(Matrix_Bobot!$B7:$AI7)=0,0,Matrix_Bobot!AH7/SUM(Matrix_Bobot!$B7:$AI7))</f>
        <v>0.01305467037</v>
      </c>
      <c r="AI7" s="30">
        <f>IF(SUM(Matrix_Bobot!$B7:$AI7)=0,0,Matrix_Bobot!AI7/SUM(Matrix_Bobot!$B7:$AI7))</f>
        <v>0.01275331602</v>
      </c>
      <c r="AJ7" s="33">
        <f t="shared" si="1"/>
        <v>1</v>
      </c>
    </row>
    <row r="8" ht="14.25" customHeight="1">
      <c r="A8" s="22" t="s">
        <v>15</v>
      </c>
      <c r="B8" s="30">
        <f>IF(SUM(Matrix_Bobot!$B8:$AI8)=0,0,Matrix_Bobot!B8/SUM(Matrix_Bobot!$B8:$AI8))</f>
        <v>0.02381857024</v>
      </c>
      <c r="C8" s="30">
        <f>IF(SUM(Matrix_Bobot!$B8:$AI8)=0,0,Matrix_Bobot!C8/SUM(Matrix_Bobot!$B8:$AI8))</f>
        <v>0.03502730918</v>
      </c>
      <c r="D8" s="30">
        <f>IF(SUM(Matrix_Bobot!$B8:$AI8)=0,0,Matrix_Bobot!D8/SUM(Matrix_Bobot!$B8:$AI8))</f>
        <v>0.03502730918</v>
      </c>
      <c r="E8" s="30">
        <f>IF(SUM(Matrix_Bobot!$B8:$AI8)=0,0,Matrix_Bobot!E8/SUM(Matrix_Bobot!$B8:$AI8))</f>
        <v>0.03715399725</v>
      </c>
      <c r="F8" s="28">
        <f>IF(SUM(Matrix_Bobot!$B8:$AI8)=0,0,Matrix_Bobot!F8/SUM(Matrix_Bobot!$B8:$AI8))</f>
        <v>0</v>
      </c>
      <c r="G8" s="30">
        <f>IF(SUM(Matrix_Bobot!$B8:$AI8)=0,0,Matrix_Bobot!G8/SUM(Matrix_Bobot!$B8:$AI8))</f>
        <v>0.04042316098</v>
      </c>
      <c r="H8" s="30">
        <f>IF(SUM(Matrix_Bobot!$B8:$AI8)=0,0,Matrix_Bobot!H8/SUM(Matrix_Bobot!$B8:$AI8))</f>
        <v>0.03096414131</v>
      </c>
      <c r="I8" s="30">
        <f>IF(SUM(Matrix_Bobot!$B8:$AI8)=0,0,Matrix_Bobot!I8/SUM(Matrix_Bobot!$B8:$AI8))</f>
        <v>0.04128552175</v>
      </c>
      <c r="J8" s="30">
        <f>IF(SUM(Matrix_Bobot!$B8:$AI8)=0,0,Matrix_Bobot!J8/SUM(Matrix_Bobot!$B8:$AI8))</f>
        <v>0.03870517664</v>
      </c>
      <c r="K8" s="30">
        <f>IF(SUM(Matrix_Bobot!$B8:$AI8)=0,0,Matrix_Bobot!K8/SUM(Matrix_Bobot!$B8:$AI8))</f>
        <v>0.03096414131</v>
      </c>
      <c r="L8" s="30">
        <f>IF(SUM(Matrix_Bobot!$B8:$AI8)=0,0,Matrix_Bobot!L8/SUM(Matrix_Bobot!$B8:$AI8))</f>
        <v>0.1164065463</v>
      </c>
      <c r="M8" s="30">
        <f>IF(SUM(Matrix_Bobot!$B8:$AI8)=0,0,Matrix_Bobot!M8/SUM(Matrix_Bobot!$B8:$AI8))</f>
        <v>0</v>
      </c>
      <c r="N8" s="30">
        <f>IF(SUM(Matrix_Bobot!$B8:$AI8)=0,0,Matrix_Bobot!N8/SUM(Matrix_Bobot!$B8:$AI8))</f>
        <v>0.04888560359</v>
      </c>
      <c r="O8" s="30">
        <f>IF(SUM(Matrix_Bobot!$B8:$AI8)=0,0,Matrix_Bobot!O8/SUM(Matrix_Bobot!$B8:$AI8))</f>
        <v>0.03205397651</v>
      </c>
      <c r="P8" s="30">
        <f>IF(SUM(Matrix_Bobot!$B8:$AI8)=0,0,Matrix_Bobot!P8/SUM(Matrix_Bobot!$B8:$AI8))</f>
        <v>0.04128552175</v>
      </c>
      <c r="Q8" s="30">
        <f>IF(SUM(Matrix_Bobot!$B8:$AI8)=0,0,Matrix_Bobot!Q8/SUM(Matrix_Bobot!$B8:$AI8))</f>
        <v>0</v>
      </c>
      <c r="R8" s="30">
        <f>IF(SUM(Matrix_Bobot!$B8:$AI8)=0,0,Matrix_Bobot!R8/SUM(Matrix_Bobot!$B8:$AI8))</f>
        <v>0.04487556712</v>
      </c>
      <c r="S8" s="30">
        <f>IF(SUM(Matrix_Bobot!$B8:$AI8)=0,0,Matrix_Bobot!S8/SUM(Matrix_Bobot!$B8:$AI8))</f>
        <v>0.03440460146</v>
      </c>
      <c r="T8" s="30">
        <f>IF(SUM(Matrix_Bobot!$B8:$AI8)=0,0,Matrix_Bobot!T8/SUM(Matrix_Bobot!$B8:$AI8))</f>
        <v>0.0215928461</v>
      </c>
      <c r="U8" s="30">
        <f>IF(SUM(Matrix_Bobot!$B8:$AI8)=0,0,Matrix_Bobot!U8/SUM(Matrix_Bobot!$B8:$AI8))</f>
        <v>0.0394950782</v>
      </c>
      <c r="V8" s="30">
        <f>IF(SUM(Matrix_Bobot!$B8:$AI8)=0,0,Matrix_Bobot!V8/SUM(Matrix_Bobot!$B8:$AI8))</f>
        <v>0.03047651704</v>
      </c>
      <c r="W8" s="30">
        <f>IF(SUM(Matrix_Bobot!$B8:$AI8)=0,0,Matrix_Bobot!W8/SUM(Matrix_Bobot!$B8:$AI8))</f>
        <v>0.03712726776</v>
      </c>
      <c r="X8" s="30">
        <f>IF(SUM(Matrix_Bobot!$B8:$AI8)=0,0,Matrix_Bobot!X8/SUM(Matrix_Bobot!$B8:$AI8))</f>
        <v>0.03380364772</v>
      </c>
      <c r="Y8" s="30">
        <f>IF(SUM(Matrix_Bobot!$B8:$AI8)=0,0,Matrix_Bobot!Y8/SUM(Matrix_Bobot!$B8:$AI8))</f>
        <v>0.02856470601</v>
      </c>
      <c r="Z8" s="30">
        <f>IF(SUM(Matrix_Bobot!$B8:$AI8)=0,0,Matrix_Bobot!Z8/SUM(Matrix_Bobot!$B8:$AI8))</f>
        <v>0.02293640097</v>
      </c>
      <c r="AA8" s="30">
        <f>IF(SUM(Matrix_Bobot!$B8:$AI8)=0,0,Matrix_Bobot!AA8/SUM(Matrix_Bobot!$B8:$AI8))</f>
        <v>0.01376184058</v>
      </c>
      <c r="AB8" s="30">
        <f>IF(SUM(Matrix_Bobot!$B8:$AI8)=0,0,Matrix_Bobot!AB8/SUM(Matrix_Bobot!$B8:$AI8))</f>
        <v>0.03380364772</v>
      </c>
      <c r="AC8" s="30">
        <f>IF(SUM(Matrix_Bobot!$B8:$AI8)=0,0,Matrix_Bobot!AC8/SUM(Matrix_Bobot!$B8:$AI8))</f>
        <v>0.02293640097</v>
      </c>
      <c r="AD8" s="30">
        <f>IF(SUM(Matrix_Bobot!$B8:$AI8)=0,0,Matrix_Bobot!AD8/SUM(Matrix_Bobot!$B8:$AI8))</f>
        <v>0.0215928461</v>
      </c>
      <c r="AE8" s="30">
        <f>IF(SUM(Matrix_Bobot!$B8:$AI8)=0,0,Matrix_Bobot!AE8/SUM(Matrix_Bobot!$B8:$AI8))</f>
        <v>0.01136715907</v>
      </c>
      <c r="AF8" s="30">
        <f>IF(SUM(Matrix_Bobot!$B8:$AI8)=0,0,Matrix_Bobot!AF8/SUM(Matrix_Bobot!$B8:$AI8))</f>
        <v>0.01587904683</v>
      </c>
      <c r="AG8" s="30">
        <f>IF(SUM(Matrix_Bobot!$B8:$AI8)=0,0,Matrix_Bobot!AG8/SUM(Matrix_Bobot!$B8:$AI8))</f>
        <v>0.01429554077</v>
      </c>
      <c r="AH8" s="30">
        <f>IF(SUM(Matrix_Bobot!$B8:$AI8)=0,0,Matrix_Bobot!AH8/SUM(Matrix_Bobot!$B8:$AI8))</f>
        <v>0.01058603122</v>
      </c>
      <c r="AI8" s="30">
        <f>IF(SUM(Matrix_Bobot!$B8:$AI8)=0,0,Matrix_Bobot!AI8/SUM(Matrix_Bobot!$B8:$AI8))</f>
        <v>0.01049987837</v>
      </c>
      <c r="AJ8" s="33">
        <f t="shared" si="1"/>
        <v>1</v>
      </c>
    </row>
    <row r="9" ht="14.25" customHeight="1">
      <c r="A9" s="22" t="s">
        <v>17</v>
      </c>
      <c r="B9" s="30">
        <f>IF(SUM(Matrix_Bobot!$B9:$AI9)=0,0,Matrix_Bobot!B9/SUM(Matrix_Bobot!$B9:$AI9))</f>
        <v>0.01697683882</v>
      </c>
      <c r="C9" s="30">
        <f>IF(SUM(Matrix_Bobot!$B9:$AI9)=0,0,Matrix_Bobot!C9/SUM(Matrix_Bobot!$B9:$AI9))</f>
        <v>0.08952990185</v>
      </c>
      <c r="D9" s="30">
        <f>IF(SUM(Matrix_Bobot!$B9:$AI9)=0,0,Matrix_Bobot!D9/SUM(Matrix_Bobot!$B9:$AI9))</f>
        <v>0.02051353876</v>
      </c>
      <c r="E9" s="30">
        <f>IF(SUM(Matrix_Bobot!$B9:$AI9)=0,0,Matrix_Bobot!E9/SUM(Matrix_Bobot!$B9:$AI9))</f>
        <v>0.02292015504</v>
      </c>
      <c r="F9" s="30">
        <f>IF(SUM(Matrix_Bobot!$B9:$AI9)=0,0,Matrix_Bobot!F9/SUM(Matrix_Bobot!$B9:$AI9))</f>
        <v>0.02142406137</v>
      </c>
      <c r="G9" s="28">
        <f>IF(SUM(Matrix_Bobot!$B9:$AI9)=0,0,Matrix_Bobot!G9/SUM(Matrix_Bobot!$B9:$AI9))</f>
        <v>0</v>
      </c>
      <c r="H9" s="30">
        <f>IF(SUM(Matrix_Bobot!$B9:$AI9)=0,0,Matrix_Bobot!H9/SUM(Matrix_Bobot!$B9:$AI9))</f>
        <v>0.02051353876</v>
      </c>
      <c r="I9" s="30">
        <f>IF(SUM(Matrix_Bobot!$B9:$AI9)=0,0,Matrix_Bobot!I9/SUM(Matrix_Bobot!$B9:$AI9))</f>
        <v>0.02810073803</v>
      </c>
      <c r="J9" s="30">
        <f>IF(SUM(Matrix_Bobot!$B9:$AI9)=0,0,Matrix_Bobot!J9/SUM(Matrix_Bobot!$B9:$AI9))</f>
        <v>0.2188110801</v>
      </c>
      <c r="K9" s="30">
        <f>IF(SUM(Matrix_Bobot!$B9:$AI9)=0,0,Matrix_Bobot!K9/SUM(Matrix_Bobot!$B9:$AI9))</f>
        <v>0.02983787456</v>
      </c>
      <c r="L9" s="30">
        <f>IF(SUM(Matrix_Bobot!$B9:$AI9)=0,0,Matrix_Bobot!L9/SUM(Matrix_Bobot!$B9:$AI9))</f>
        <v>0.07031204374</v>
      </c>
      <c r="M9" s="30">
        <f>IF(SUM(Matrix_Bobot!$B9:$AI9)=0,0,Matrix_Bobot!M9/SUM(Matrix_Bobot!$B9:$AI9))</f>
        <v>0.01262371616</v>
      </c>
      <c r="N9" s="30">
        <f>IF(SUM(Matrix_Bobot!$B9:$AI9)=0,0,Matrix_Bobot!N9/SUM(Matrix_Bobot!$B9:$AI9))</f>
        <v>0.02735138502</v>
      </c>
      <c r="O9" s="30">
        <f>IF(SUM(Matrix_Bobot!$B9:$AI9)=0,0,Matrix_Bobot!O9/SUM(Matrix_Bobot!$B9:$AI9))</f>
        <v>0.103866019</v>
      </c>
      <c r="P9" s="30">
        <f>IF(SUM(Matrix_Bobot!$B9:$AI9)=0,0,Matrix_Bobot!P9/SUM(Matrix_Bobot!$B9:$AI9))</f>
        <v>0.08205415505</v>
      </c>
      <c r="Q9" s="30">
        <f>IF(SUM(Matrix_Bobot!$B9:$AI9)=0,0,Matrix_Bobot!Q9/SUM(Matrix_Bobot!$B9:$AI9))</f>
        <v>0</v>
      </c>
      <c r="R9" s="30">
        <f>IF(SUM(Matrix_Bobot!$B9:$AI9)=0,0,Matrix_Bobot!R9/SUM(Matrix_Bobot!$B9:$AI9))</f>
        <v>0.02051353876</v>
      </c>
      <c r="S9" s="30">
        <f>IF(SUM(Matrix_Bobot!$B9:$AI9)=0,0,Matrix_Bobot!S9/SUM(Matrix_Bobot!$B9:$AI9))</f>
        <v>0.01587120987</v>
      </c>
      <c r="T9" s="30">
        <f>IF(SUM(Matrix_Bobot!$B9:$AI9)=0,0,Matrix_Bobot!T9/SUM(Matrix_Bobot!$B9:$AI9))</f>
        <v>0.009563421334</v>
      </c>
      <c r="U9" s="30">
        <f>IF(SUM(Matrix_Bobot!$B9:$AI9)=0,0,Matrix_Bobot!U9/SUM(Matrix_Bobot!$B9:$AI9))</f>
        <v>0.02142406137</v>
      </c>
      <c r="V9" s="30">
        <f>IF(SUM(Matrix_Bobot!$B9:$AI9)=0,0,Matrix_Bobot!V9/SUM(Matrix_Bobot!$B9:$AI9))</f>
        <v>0.02011131251</v>
      </c>
      <c r="W9" s="30">
        <f>IF(SUM(Matrix_Bobot!$B9:$AI9)=0,0,Matrix_Bobot!W9/SUM(Matrix_Bobot!$B9:$AI9))</f>
        <v>0.01823425668</v>
      </c>
      <c r="X9" s="30">
        <f>IF(SUM(Matrix_Bobot!$B9:$AI9)=0,0,Matrix_Bobot!X9/SUM(Matrix_Bobot!$B9:$AI9))</f>
        <v>0.01539477581</v>
      </c>
      <c r="Y9" s="30">
        <f>IF(SUM(Matrix_Bobot!$B9:$AI9)=0,0,Matrix_Bobot!Y9/SUM(Matrix_Bobot!$B9:$AI9))</f>
        <v>0.015139143</v>
      </c>
      <c r="Z9" s="30">
        <f>IF(SUM(Matrix_Bobot!$B9:$AI9)=0,0,Matrix_Bobot!Z9/SUM(Matrix_Bobot!$B9:$AI9))</f>
        <v>0.01349574919</v>
      </c>
      <c r="AA9" s="30">
        <f>IF(SUM(Matrix_Bobot!$B9:$AI9)=0,0,Matrix_Bobot!AA9/SUM(Matrix_Bobot!$B9:$AI9))</f>
        <v>0.005662812633</v>
      </c>
      <c r="AB9" s="30">
        <f>IF(SUM(Matrix_Bobot!$B9:$AI9)=0,0,Matrix_Bobot!AB9/SUM(Matrix_Bobot!$B9:$AI9))</f>
        <v>0.01615239273</v>
      </c>
      <c r="AC9" s="30">
        <f>IF(SUM(Matrix_Bobot!$B9:$AI9)=0,0,Matrix_Bobot!AC9/SUM(Matrix_Bobot!$B9:$AI9))</f>
        <v>0.01329889061</v>
      </c>
      <c r="AD9" s="30">
        <f>IF(SUM(Matrix_Bobot!$B9:$AI9)=0,0,Matrix_Bobot!AD9/SUM(Matrix_Bobot!$B9:$AI9))</f>
        <v>0.006042279459</v>
      </c>
      <c r="AE9" s="30">
        <f>IF(SUM(Matrix_Bobot!$B9:$AI9)=0,0,Matrix_Bobot!AE9/SUM(Matrix_Bobot!$B9:$AI9))</f>
        <v>0.009036801217</v>
      </c>
      <c r="AF9" s="30">
        <f>IF(SUM(Matrix_Bobot!$B9:$AI9)=0,0,Matrix_Bobot!AF9/SUM(Matrix_Bobot!$B9:$AI9))</f>
        <v>0.01119429128</v>
      </c>
      <c r="AG9" s="30">
        <f>IF(SUM(Matrix_Bobot!$B9:$AI9)=0,0,Matrix_Bobot!AG9/SUM(Matrix_Bobot!$B9:$AI9))</f>
        <v>0.007690173856</v>
      </c>
      <c r="AH9" s="30">
        <f>IF(SUM(Matrix_Bobot!$B9:$AI9)=0,0,Matrix_Bobot!AH9/SUM(Matrix_Bobot!$B9:$AI9))</f>
        <v>0.00827158821</v>
      </c>
      <c r="AI9" s="30">
        <f>IF(SUM(Matrix_Bobot!$B9:$AI9)=0,0,Matrix_Bobot!AI9/SUM(Matrix_Bobot!$B9:$AI9))</f>
        <v>0.008068255167</v>
      </c>
      <c r="AJ9" s="33">
        <f t="shared" si="1"/>
        <v>1</v>
      </c>
    </row>
    <row r="10" ht="14.25" customHeight="1">
      <c r="A10" s="22" t="s">
        <v>20</v>
      </c>
      <c r="B10" s="30">
        <f>IF(SUM(Matrix_Bobot!$B10:$AI10)=0,0,Matrix_Bobot!B10/SUM(Matrix_Bobot!$B10:$AI10))</f>
        <v>0.02133717037</v>
      </c>
      <c r="C10" s="30">
        <f>IF(SUM(Matrix_Bobot!$B10:$AI10)=0,0,Matrix_Bobot!C10/SUM(Matrix_Bobot!$B10:$AI10))</f>
        <v>0.028577858</v>
      </c>
      <c r="D10" s="30">
        <f>IF(SUM(Matrix_Bobot!$B10:$AI10)=0,0,Matrix_Bobot!D10/SUM(Matrix_Bobot!$B10:$AI10))</f>
        <v>0.02770229248</v>
      </c>
      <c r="E10" s="30">
        <f>IF(SUM(Matrix_Bobot!$B10:$AI10)=0,0,Matrix_Bobot!E10/SUM(Matrix_Bobot!$B10:$AI10))</f>
        <v>0.03057002462</v>
      </c>
      <c r="F10" s="30">
        <f>IF(SUM(Matrix_Bobot!$B10:$AI10)=0,0,Matrix_Bobot!F10/SUM(Matrix_Bobot!$B10:$AI10))</f>
        <v>0.02953064379</v>
      </c>
      <c r="G10" s="30">
        <f>IF(SUM(Matrix_Bobot!$B10:$AI10)=0,0,Matrix_Bobot!G10/SUM(Matrix_Bobot!$B10:$AI10))</f>
        <v>0.03691330473</v>
      </c>
      <c r="H10" s="28">
        <f>IF(SUM(Matrix_Bobot!$B10:$AI10)=0,0,Matrix_Bobot!H10/SUM(Matrix_Bobot!$B10:$AI10))</f>
        <v>0</v>
      </c>
      <c r="I10" s="30">
        <f>IF(SUM(Matrix_Bobot!$B10:$AI10)=0,0,Matrix_Bobot!I10/SUM(Matrix_Bobot!$B10:$AI10))</f>
        <v>0.03855175429</v>
      </c>
      <c r="J10" s="30">
        <f>IF(SUM(Matrix_Bobot!$B10:$AI10)=0,0,Matrix_Bobot!J10/SUM(Matrix_Bobot!$B10:$AI10))</f>
        <v>0.03281182643</v>
      </c>
      <c r="K10" s="30">
        <f>IF(SUM(Matrix_Bobot!$B10:$AI10)=0,0,Matrix_Bobot!K10/SUM(Matrix_Bobot!$B10:$AI10))</f>
        <v>0.02906559428</v>
      </c>
      <c r="L10" s="30">
        <f>IF(SUM(Matrix_Bobot!$B10:$AI10)=0,0,Matrix_Bobot!L10/SUM(Matrix_Bobot!$B10:$AI10))</f>
        <v>0.2220349157</v>
      </c>
      <c r="M10" s="30">
        <f>IF(SUM(Matrix_Bobot!$B10:$AI10)=0,0,Matrix_Bobot!M10/SUM(Matrix_Bobot!$B10:$AI10))</f>
        <v>0</v>
      </c>
      <c r="N10" s="30">
        <f>IF(SUM(Matrix_Bobot!$B10:$AI10)=0,0,Matrix_Bobot!N10/SUM(Matrix_Bobot!$B10:$AI10))</f>
        <v>0.04434030598</v>
      </c>
      <c r="O10" s="30">
        <f>IF(SUM(Matrix_Bobot!$B10:$AI10)=0,0,Matrix_Bobot!O10/SUM(Matrix_Bobot!$B10:$AI10))</f>
        <v>0.04023248472</v>
      </c>
      <c r="P10" s="30">
        <f>IF(SUM(Matrix_Bobot!$B10:$AI10)=0,0,Matrix_Bobot!P10/SUM(Matrix_Bobot!$B10:$AI10))</f>
        <v>0.03937419171</v>
      </c>
      <c r="Q10" s="30">
        <f>IF(SUM(Matrix_Bobot!$B10:$AI10)=0,0,Matrix_Bobot!Q10/SUM(Matrix_Bobot!$B10:$AI10))</f>
        <v>0</v>
      </c>
      <c r="R10" s="30">
        <f>IF(SUM(Matrix_Bobot!$B10:$AI10)=0,0,Matrix_Bobot!R10/SUM(Matrix_Bobot!$B10:$AI10))</f>
        <v>0.03618951444</v>
      </c>
      <c r="S10" s="30">
        <f>IF(SUM(Matrix_Bobot!$B10:$AI10)=0,0,Matrix_Bobot!S10/SUM(Matrix_Bobot!$B10:$AI10))</f>
        <v>0.02684603981</v>
      </c>
      <c r="T10" s="30">
        <f>IF(SUM(Matrix_Bobot!$B10:$AI10)=0,0,Matrix_Bobot!T10/SUM(Matrix_Bobot!$B10:$AI10))</f>
        <v>0.01357730749</v>
      </c>
      <c r="U10" s="30">
        <f>IF(SUM(Matrix_Bobot!$B10:$AI10)=0,0,Matrix_Bobot!U10/SUM(Matrix_Bobot!$B10:$AI10))</f>
        <v>0.03937419171</v>
      </c>
      <c r="V10" s="30">
        <f>IF(SUM(Matrix_Bobot!$B10:$AI10)=0,0,Matrix_Bobot!V10/SUM(Matrix_Bobot!$B10:$AI10))</f>
        <v>0.02812442265</v>
      </c>
      <c r="W10" s="30">
        <f>IF(SUM(Matrix_Bobot!$B10:$AI10)=0,0,Matrix_Bobot!W10/SUM(Matrix_Bobot!$B10:$AI10))</f>
        <v>0.03223869409</v>
      </c>
      <c r="X10" s="30">
        <f>IF(SUM(Matrix_Bobot!$B10:$AI10)=0,0,Matrix_Bobot!X10/SUM(Matrix_Bobot!$B10:$AI10))</f>
        <v>0.02770229248</v>
      </c>
      <c r="Y10" s="30">
        <f>IF(SUM(Matrix_Bobot!$B10:$AI10)=0,0,Matrix_Bobot!Y10/SUM(Matrix_Bobot!$B10:$AI10))</f>
        <v>0.02133717037</v>
      </c>
      <c r="Z10" s="30">
        <f>IF(SUM(Matrix_Bobot!$B10:$AI10)=0,0,Matrix_Bobot!Z10/SUM(Matrix_Bobot!$B10:$AI10))</f>
        <v>0.02271587984</v>
      </c>
      <c r="AA10" s="30">
        <f>IF(SUM(Matrix_Bobot!$B10:$AI10)=0,0,Matrix_Bobot!AA10/SUM(Matrix_Bobot!$B10:$AI10))</f>
        <v>0.01312473057</v>
      </c>
      <c r="AB10" s="30">
        <f>IF(SUM(Matrix_Bobot!$B10:$AI10)=0,0,Matrix_Bobot!AB10/SUM(Matrix_Bobot!$B10:$AI10))</f>
        <v>0.02684603981</v>
      </c>
      <c r="AC10" s="30">
        <f>IF(SUM(Matrix_Bobot!$B10:$AI10)=0,0,Matrix_Bobot!AC10/SUM(Matrix_Bobot!$B10:$AI10))</f>
        <v>0.02567882068</v>
      </c>
      <c r="AD10" s="30">
        <f>IF(SUM(Matrix_Bobot!$B10:$AI10)=0,0,Matrix_Bobot!AD10/SUM(Matrix_Bobot!$B10:$AI10))</f>
        <v>0.01372879767</v>
      </c>
      <c r="AE10" s="30">
        <f>IF(SUM(Matrix_Bobot!$B10:$AI10)=0,0,Matrix_Bobot!AE10/SUM(Matrix_Bobot!$B10:$AI10))</f>
        <v>0.01084091182</v>
      </c>
      <c r="AF10" s="30">
        <f>IF(SUM(Matrix_Bobot!$B10:$AI10)=0,0,Matrix_Bobot!AF10/SUM(Matrix_Bobot!$B10:$AI10))</f>
        <v>0.01213255702</v>
      </c>
      <c r="AG10" s="30">
        <f>IF(SUM(Matrix_Bobot!$B10:$AI10)=0,0,Matrix_Bobot!AG10/SUM(Matrix_Bobot!$B10:$AI10))</f>
        <v>0.008884068528</v>
      </c>
      <c r="AH10" s="30">
        <f>IF(SUM(Matrix_Bobot!$B10:$AI10)=0,0,Matrix_Bobot!AH10/SUM(Matrix_Bobot!$B10:$AI10))</f>
        <v>0.01158064462</v>
      </c>
      <c r="AI10" s="30">
        <f>IF(SUM(Matrix_Bobot!$B10:$AI10)=0,0,Matrix_Bobot!AI10/SUM(Matrix_Bobot!$B10:$AI10))</f>
        <v>0.008035549329</v>
      </c>
      <c r="AJ10" s="33">
        <f t="shared" si="1"/>
        <v>1</v>
      </c>
    </row>
    <row r="11" ht="14.25" customHeight="1">
      <c r="A11" s="22" t="s">
        <v>22</v>
      </c>
      <c r="B11" s="30">
        <f>IF(SUM(Matrix_Bobot!$B11:$AI11)=0,0,Matrix_Bobot!B11/SUM(Matrix_Bobot!$B11:$AI11))</f>
        <v>0.02032645214</v>
      </c>
      <c r="C11" s="30">
        <f>IF(SUM(Matrix_Bobot!$B11:$AI11)=0,0,Matrix_Bobot!C11/SUM(Matrix_Bobot!$B11:$AI11))</f>
        <v>0.02721900719</v>
      </c>
      <c r="D11" s="30">
        <f>IF(SUM(Matrix_Bobot!$B11:$AI11)=0,0,Matrix_Bobot!D11/SUM(Matrix_Bobot!$B11:$AI11))</f>
        <v>0.02346815703</v>
      </c>
      <c r="E11" s="30">
        <f>IF(SUM(Matrix_Bobot!$B11:$AI11)=0,0,Matrix_Bobot!E11/SUM(Matrix_Bobot!$B11:$AI11))</f>
        <v>0.03024576078</v>
      </c>
      <c r="F11" s="30">
        <f>IF(SUM(Matrix_Bobot!$B11:$AI11)=0,0,Matrix_Bobot!F11/SUM(Matrix_Bobot!$B11:$AI11))</f>
        <v>0.03024576078</v>
      </c>
      <c r="G11" s="30">
        <f>IF(SUM(Matrix_Bobot!$B11:$AI11)=0,0,Matrix_Bobot!G11/SUM(Matrix_Bobot!$B11:$AI11))</f>
        <v>0.03884301471</v>
      </c>
      <c r="H11" s="30">
        <f>IF(SUM(Matrix_Bobot!$B11:$AI11)=0,0,Matrix_Bobot!H11/SUM(Matrix_Bobot!$B11:$AI11))</f>
        <v>0.02961399555</v>
      </c>
      <c r="I11" s="28">
        <f>IF(SUM(Matrix_Bobot!$B11:$AI11)=0,0,Matrix_Bobot!I11/SUM(Matrix_Bobot!$B11:$AI11))</f>
        <v>0</v>
      </c>
      <c r="J11" s="30">
        <f>IF(SUM(Matrix_Bobot!$B11:$AI11)=0,0,Matrix_Bobot!J11/SUM(Matrix_Bobot!$B11:$AI11))</f>
        <v>0.02619436558</v>
      </c>
      <c r="K11" s="30">
        <f>IF(SUM(Matrix_Bobot!$B11:$AI11)=0,0,Matrix_Bobot!K11/SUM(Matrix_Bobot!$B11:$AI11))</f>
        <v>0.02835540074</v>
      </c>
      <c r="L11" s="30">
        <f>IF(SUM(Matrix_Bobot!$B11:$AI11)=0,0,Matrix_Bobot!L11/SUM(Matrix_Bobot!$B11:$AI11))</f>
        <v>0.3024576078</v>
      </c>
      <c r="M11" s="30">
        <f>IF(SUM(Matrix_Bobot!$B11:$AI11)=0,0,Matrix_Bobot!M11/SUM(Matrix_Bobot!$B11:$AI11))</f>
        <v>0.003398400088</v>
      </c>
      <c r="N11" s="30">
        <f>IF(SUM(Matrix_Bobot!$B11:$AI11)=0,0,Matrix_Bobot!N11/SUM(Matrix_Bobot!$B11:$AI11))</f>
        <v>0.02619436558</v>
      </c>
      <c r="O11" s="30">
        <f>IF(SUM(Matrix_Bobot!$B11:$AI11)=0,0,Matrix_Bobot!O11/SUM(Matrix_Bobot!$B11:$AI11))</f>
        <v>0.03884301471</v>
      </c>
      <c r="P11" s="30">
        <f>IF(SUM(Matrix_Bobot!$B11:$AI11)=0,0,Matrix_Bobot!P11/SUM(Matrix_Bobot!$B11:$AI11))</f>
        <v>0.03489895475</v>
      </c>
      <c r="Q11" s="30">
        <f>IF(SUM(Matrix_Bobot!$B11:$AI11)=0,0,Matrix_Bobot!Q11/SUM(Matrix_Bobot!$B11:$AI11))</f>
        <v>0</v>
      </c>
      <c r="R11" s="30">
        <f>IF(SUM(Matrix_Bobot!$B11:$AI11)=0,0,Matrix_Bobot!R11/SUM(Matrix_Bobot!$B11:$AI11))</f>
        <v>0.03240617227</v>
      </c>
      <c r="S11" s="30">
        <f>IF(SUM(Matrix_Bobot!$B11:$AI11)=0,0,Matrix_Bobot!S11/SUM(Matrix_Bobot!$B11:$AI11))</f>
        <v>0.02893408238</v>
      </c>
      <c r="T11" s="30">
        <f>IF(SUM(Matrix_Bobot!$B11:$AI11)=0,0,Matrix_Bobot!T11/SUM(Matrix_Bobot!$B11:$AI11))</f>
        <v>0.009515235146</v>
      </c>
      <c r="U11" s="30">
        <f>IF(SUM(Matrix_Bobot!$B11:$AI11)=0,0,Matrix_Bobot!U11/SUM(Matrix_Bobot!$B11:$AI11))</f>
        <v>0.03577968547</v>
      </c>
      <c r="V11" s="30">
        <f>IF(SUM(Matrix_Bobot!$B11:$AI11)=0,0,Matrix_Bobot!V11/SUM(Matrix_Bobot!$B11:$AI11))</f>
        <v>0.02428728114</v>
      </c>
      <c r="W11" s="30">
        <f>IF(SUM(Matrix_Bobot!$B11:$AI11)=0,0,Matrix_Bobot!W11/SUM(Matrix_Bobot!$B11:$AI11))</f>
        <v>0.02428728114</v>
      </c>
      <c r="X11" s="30">
        <f>IF(SUM(Matrix_Bobot!$B11:$AI11)=0,0,Matrix_Bobot!X11/SUM(Matrix_Bobot!$B11:$AI11))</f>
        <v>0.02160411485</v>
      </c>
      <c r="Y11" s="30">
        <f>IF(SUM(Matrix_Bobot!$B11:$AI11)=0,0,Matrix_Bobot!Y11/SUM(Matrix_Bobot!$B11:$AI11))</f>
        <v>0.02348273353</v>
      </c>
      <c r="Z11" s="30">
        <f>IF(SUM(Matrix_Bobot!$B11:$AI11)=0,0,Matrix_Bobot!Z11/SUM(Matrix_Bobot!$B11:$AI11))</f>
        <v>0.02032645214</v>
      </c>
      <c r="AA11" s="30">
        <f>IF(SUM(Matrix_Bobot!$B11:$AI11)=0,0,Matrix_Bobot!AA11/SUM(Matrix_Bobot!$B11:$AI11))</f>
        <v>0.00800434742</v>
      </c>
      <c r="AB11" s="30">
        <f>IF(SUM(Matrix_Bobot!$B11:$AI11)=0,0,Matrix_Bobot!AB11/SUM(Matrix_Bobot!$B11:$AI11))</f>
        <v>0.02619436558</v>
      </c>
      <c r="AC11" s="30">
        <f>IF(SUM(Matrix_Bobot!$B11:$AI11)=0,0,Matrix_Bobot!AC11/SUM(Matrix_Bobot!$B11:$AI11))</f>
        <v>0.01680320044</v>
      </c>
      <c r="AD11" s="30">
        <f>IF(SUM(Matrix_Bobot!$B11:$AI11)=0,0,Matrix_Bobot!AD11/SUM(Matrix_Bobot!$B11:$AI11))</f>
        <v>0.006361278909</v>
      </c>
      <c r="AE11" s="30">
        <f>IF(SUM(Matrix_Bobot!$B11:$AI11)=0,0,Matrix_Bobot!AE11/SUM(Matrix_Bobot!$B11:$AI11))</f>
        <v>0.006739251512</v>
      </c>
      <c r="AF11" s="30">
        <f>IF(SUM(Matrix_Bobot!$B11:$AI11)=0,0,Matrix_Bobot!AF11/SUM(Matrix_Bobot!$B11:$AI11))</f>
        <v>0.01838275574</v>
      </c>
      <c r="AG11" s="30">
        <f>IF(SUM(Matrix_Bobot!$B11:$AI11)=0,0,Matrix_Bobot!AG11/SUM(Matrix_Bobot!$B11:$AI11))</f>
        <v>0.007601984111</v>
      </c>
      <c r="AH11" s="30">
        <f>IF(SUM(Matrix_Bobot!$B11:$AI11)=0,0,Matrix_Bobot!AH11/SUM(Matrix_Bobot!$B11:$AI11))</f>
        <v>0.01890360049</v>
      </c>
      <c r="AI11" s="30">
        <f>IF(SUM(Matrix_Bobot!$B11:$AI11)=0,0,Matrix_Bobot!AI11/SUM(Matrix_Bobot!$B11:$AI11))</f>
        <v>0.01008192026</v>
      </c>
      <c r="AJ11" s="33">
        <f t="shared" si="1"/>
        <v>1</v>
      </c>
    </row>
    <row r="12" ht="14.25" customHeight="1">
      <c r="A12" s="22" t="s">
        <v>25</v>
      </c>
      <c r="B12" s="30">
        <f>IF(SUM(Matrix_Bobot!$B12:$AI12)=0,0,Matrix_Bobot!B12/SUM(Matrix_Bobot!$B12:$AI12))</f>
        <v>0.01177037942</v>
      </c>
      <c r="C12" s="30">
        <f>IF(SUM(Matrix_Bobot!$B12:$AI12)=0,0,Matrix_Bobot!C12/SUM(Matrix_Bobot!$B12:$AI12))</f>
        <v>0.02015238762</v>
      </c>
      <c r="D12" s="30">
        <f>IF(SUM(Matrix_Bobot!$B12:$AI12)=0,0,Matrix_Bobot!D12/SUM(Matrix_Bobot!$B12:$AI12))</f>
        <v>0.02293360892</v>
      </c>
      <c r="E12" s="30">
        <f>IF(SUM(Matrix_Bobot!$B12:$AI12)=0,0,Matrix_Bobot!E12/SUM(Matrix_Bobot!$B12:$AI12))</f>
        <v>0.02015238762</v>
      </c>
      <c r="F12" s="30">
        <f>IF(SUM(Matrix_Bobot!$B12:$AI12)=0,0,Matrix_Bobot!F12/SUM(Matrix_Bobot!$B12:$AI12))</f>
        <v>0.02770953297</v>
      </c>
      <c r="G12" s="30">
        <f>IF(SUM(Matrix_Bobot!$B12:$AI12)=0,0,Matrix_Bobot!G12/SUM(Matrix_Bobot!$B12:$AI12))</f>
        <v>0.2955683517</v>
      </c>
      <c r="H12" s="30">
        <f>IF(SUM(Matrix_Bobot!$B12:$AI12)=0,0,Matrix_Bobot!H12/SUM(Matrix_Bobot!$B12:$AI12))</f>
        <v>0.02463069598</v>
      </c>
      <c r="I12" s="30">
        <f>IF(SUM(Matrix_Bobot!$B12:$AI12)=0,0,Matrix_Bobot!I12/SUM(Matrix_Bobot!$B12:$AI12))</f>
        <v>0.02559772099</v>
      </c>
      <c r="J12" s="28">
        <f>IF(SUM(Matrix_Bobot!$B12:$AI12)=0,0,Matrix_Bobot!J12/SUM(Matrix_Bobot!$B12:$AI12))</f>
        <v>0</v>
      </c>
      <c r="K12" s="30">
        <f>IF(SUM(Matrix_Bobot!$B12:$AI12)=0,0,Matrix_Bobot!K12/SUM(Matrix_Bobot!$B12:$AI12))</f>
        <v>0.07389208793</v>
      </c>
      <c r="L12" s="30">
        <f>IF(SUM(Matrix_Bobot!$B12:$AI12)=0,0,Matrix_Bobot!L12/SUM(Matrix_Bobot!$B12:$AI12))</f>
        <v>0.09473344606</v>
      </c>
      <c r="M12" s="30">
        <f>IF(SUM(Matrix_Bobot!$B12:$AI12)=0,0,Matrix_Bobot!M12/SUM(Matrix_Bobot!$B12:$AI12))</f>
        <v>0</v>
      </c>
      <c r="N12" s="30">
        <f>IF(SUM(Matrix_Bobot!$B12:$AI12)=0,0,Matrix_Bobot!N12/SUM(Matrix_Bobot!$B12:$AI12))</f>
        <v>0.03496471037</v>
      </c>
      <c r="O12" s="30">
        <f>IF(SUM(Matrix_Bobot!$B12:$AI12)=0,0,Matrix_Bobot!O12/SUM(Matrix_Bobot!$B12:$AI12))</f>
        <v>0.03410404058</v>
      </c>
      <c r="P12" s="30">
        <f>IF(SUM(Matrix_Bobot!$B12:$AI12)=0,0,Matrix_Bobot!P12/SUM(Matrix_Bobot!$B12:$AI12))</f>
        <v>0.03328472429</v>
      </c>
      <c r="Q12" s="30">
        <f>IF(SUM(Matrix_Bobot!$B12:$AI12)=0,0,Matrix_Bobot!Q12/SUM(Matrix_Bobot!$B12:$AI12))</f>
        <v>0</v>
      </c>
      <c r="R12" s="30">
        <f>IF(SUM(Matrix_Bobot!$B12:$AI12)=0,0,Matrix_Bobot!R12/SUM(Matrix_Bobot!$B12:$AI12))</f>
        <v>0.02770953297</v>
      </c>
      <c r="S12" s="30">
        <f>IF(SUM(Matrix_Bobot!$B12:$AI12)=0,0,Matrix_Bobot!S12/SUM(Matrix_Bobot!$B12:$AI12))</f>
        <v>0.02420046548</v>
      </c>
      <c r="T12" s="30">
        <f>IF(SUM(Matrix_Bobot!$B12:$AI12)=0,0,Matrix_Bobot!T12/SUM(Matrix_Bobot!$B12:$AI12))</f>
        <v>0.01043182418</v>
      </c>
      <c r="U12" s="30">
        <f>IF(SUM(Matrix_Bobot!$B12:$AI12)=0,0,Matrix_Bobot!U12/SUM(Matrix_Bobot!$B12:$AI12))</f>
        <v>0.03694604396</v>
      </c>
      <c r="V12" s="30">
        <f>IF(SUM(Matrix_Bobot!$B12:$AI12)=0,0,Matrix_Bobot!V12/SUM(Matrix_Bobot!$B12:$AI12))</f>
        <v>0.02657988774</v>
      </c>
      <c r="W12" s="30">
        <f>IF(SUM(Matrix_Bobot!$B12:$AI12)=0,0,Matrix_Bobot!W12/SUM(Matrix_Bobot!$B12:$AI12))</f>
        <v>0.02333434356</v>
      </c>
      <c r="X12" s="30">
        <f>IF(SUM(Matrix_Bobot!$B12:$AI12)=0,0,Matrix_Bobot!X12/SUM(Matrix_Bobot!$B12:$AI12))</f>
        <v>0.01705202029</v>
      </c>
      <c r="Y12" s="30">
        <f>IF(SUM(Matrix_Bobot!$B12:$AI12)=0,0,Matrix_Bobot!Y12/SUM(Matrix_Bobot!$B12:$AI12))</f>
        <v>0.00296834847</v>
      </c>
      <c r="Z12" s="30">
        <f>IF(SUM(Matrix_Bobot!$B12:$AI12)=0,0,Matrix_Bobot!Z12/SUM(Matrix_Bobot!$B12:$AI12))</f>
        <v>0.01023436121</v>
      </c>
      <c r="AA12" s="30">
        <f>IF(SUM(Matrix_Bobot!$B12:$AI12)=0,0,Matrix_Bobot!AA12/SUM(Matrix_Bobot!$B12:$AI12))</f>
        <v>0.009107488241</v>
      </c>
      <c r="AB12" s="30">
        <f>IF(SUM(Matrix_Bobot!$B12:$AI12)=0,0,Matrix_Bobot!AB12/SUM(Matrix_Bobot!$B12:$AI12))</f>
        <v>0.02420046548</v>
      </c>
      <c r="AC12" s="30">
        <f>IF(SUM(Matrix_Bobot!$B12:$AI12)=0,0,Matrix_Bobot!AC12/SUM(Matrix_Bobot!$B12:$AI12))</f>
        <v>0.0177341011</v>
      </c>
      <c r="AD12" s="30">
        <f>IF(SUM(Matrix_Bobot!$B12:$AI12)=0,0,Matrix_Bobot!AD12/SUM(Matrix_Bobot!$B12:$AI12))</f>
        <v>0.007428829215</v>
      </c>
      <c r="AE12" s="30">
        <f>IF(SUM(Matrix_Bobot!$B12:$AI12)=0,0,Matrix_Bobot!AE12/SUM(Matrix_Bobot!$B12:$AI12))</f>
        <v>0.007348386059</v>
      </c>
      <c r="AF12" s="30">
        <f>IF(SUM(Matrix_Bobot!$B12:$AI12)=0,0,Matrix_Bobot!AF12/SUM(Matrix_Bobot!$B12:$AI12))</f>
        <v>0.01023152699</v>
      </c>
      <c r="AG12" s="30">
        <f>IF(SUM(Matrix_Bobot!$B12:$AI12)=0,0,Matrix_Bobot!AG12/SUM(Matrix_Bobot!$B12:$AI12))</f>
        <v>0.008526010145</v>
      </c>
      <c r="AH12" s="30">
        <f>IF(SUM(Matrix_Bobot!$B12:$AI12)=0,0,Matrix_Bobot!AH12/SUM(Matrix_Bobot!$B12:$AI12))</f>
        <v>0.009705615752</v>
      </c>
      <c r="AI12" s="30">
        <f>IF(SUM(Matrix_Bobot!$B12:$AI12)=0,0,Matrix_Bobot!AI12/SUM(Matrix_Bobot!$B12:$AI12))</f>
        <v>0.006766674718</v>
      </c>
      <c r="AJ12" s="33">
        <f t="shared" si="1"/>
        <v>1</v>
      </c>
    </row>
    <row r="13" ht="14.25" customHeight="1">
      <c r="A13" s="22" t="s">
        <v>28</v>
      </c>
      <c r="B13" s="30">
        <f>IF(SUM(Matrix_Bobot!$B13:$AI13)=0,0,Matrix_Bobot!B13/SUM(Matrix_Bobot!$B13:$AI13))</f>
        <v>0.001889829406</v>
      </c>
      <c r="C13" s="30">
        <f>IF(SUM(Matrix_Bobot!$B13:$AI13)=0,0,Matrix_Bobot!C13/SUM(Matrix_Bobot!$B13:$AI13))</f>
        <v>0.01532294113</v>
      </c>
      <c r="D13" s="30">
        <f>IF(SUM(Matrix_Bobot!$B13:$AI13)=0,0,Matrix_Bobot!D13/SUM(Matrix_Bobot!$B13:$AI13))</f>
        <v>0.01814236229</v>
      </c>
      <c r="E13" s="30">
        <f>IF(SUM(Matrix_Bobot!$B13:$AI13)=0,0,Matrix_Bobot!E13/SUM(Matrix_Bobot!$B13:$AI13))</f>
        <v>0.01532294113</v>
      </c>
      <c r="F13" s="30">
        <f>IF(SUM(Matrix_Bobot!$B13:$AI13)=0,0,Matrix_Bobot!F13/SUM(Matrix_Bobot!$B13:$AI13))</f>
        <v>0.01814236229</v>
      </c>
      <c r="G13" s="30">
        <f>IF(SUM(Matrix_Bobot!$B13:$AI13)=0,0,Matrix_Bobot!G13/SUM(Matrix_Bobot!$B13:$AI13))</f>
        <v>0.03298611326</v>
      </c>
      <c r="H13" s="30">
        <f>IF(SUM(Matrix_Bobot!$B13:$AI13)=0,0,Matrix_Bobot!H13/SUM(Matrix_Bobot!$B13:$AI13))</f>
        <v>0.0178566558</v>
      </c>
      <c r="I13" s="30">
        <f>IF(SUM(Matrix_Bobot!$B13:$AI13)=0,0,Matrix_Bobot!I13/SUM(Matrix_Bobot!$B13:$AI13))</f>
        <v>0.02267795287</v>
      </c>
      <c r="J13" s="30">
        <f>IF(SUM(Matrix_Bobot!$B13:$AI13)=0,0,Matrix_Bobot!J13/SUM(Matrix_Bobot!$B13:$AI13))</f>
        <v>0.06047454098</v>
      </c>
      <c r="K13" s="28">
        <f>IF(SUM(Matrix_Bobot!$B13:$AI13)=0,0,Matrix_Bobot!K13/SUM(Matrix_Bobot!$B13:$AI13))</f>
        <v>0</v>
      </c>
      <c r="L13" s="30">
        <f>IF(SUM(Matrix_Bobot!$B13:$AI13)=0,0,Matrix_Bobot!L13/SUM(Matrix_Bobot!$B13:$AI13))</f>
        <v>0.1088539561</v>
      </c>
      <c r="M13" s="30">
        <f>IF(SUM(Matrix_Bobot!$B13:$AI13)=0,0,Matrix_Bobot!M13/SUM(Matrix_Bobot!$B13:$AI13))</f>
        <v>0</v>
      </c>
      <c r="N13" s="30">
        <f>IF(SUM(Matrix_Bobot!$B13:$AI13)=0,0,Matrix_Bobot!N13/SUM(Matrix_Bobot!$B13:$AI13))</f>
        <v>0.09071181147</v>
      </c>
      <c r="O13" s="30">
        <f>IF(SUM(Matrix_Bobot!$B13:$AI13)=0,0,Matrix_Bobot!O13/SUM(Matrix_Bobot!$B13:$AI13))</f>
        <v>0.08063272131</v>
      </c>
      <c r="P13" s="30">
        <f>IF(SUM(Matrix_Bobot!$B13:$AI13)=0,0,Matrix_Bobot!P13/SUM(Matrix_Bobot!$B13:$AI13))</f>
        <v>0.02175343201</v>
      </c>
      <c r="Q13" s="30">
        <f>IF(SUM(Matrix_Bobot!$B13:$AI13)=0,0,Matrix_Bobot!Q13/SUM(Matrix_Bobot!$B13:$AI13))</f>
        <v>0</v>
      </c>
      <c r="R13" s="30">
        <f>IF(SUM(Matrix_Bobot!$B13:$AI13)=0,0,Matrix_Bobot!R13/SUM(Matrix_Bobot!$B13:$AI13))</f>
        <v>0.01844947221</v>
      </c>
      <c r="S13" s="30">
        <f>IF(SUM(Matrix_Bobot!$B13:$AI13)=0,0,Matrix_Bobot!S13/SUM(Matrix_Bobot!$B13:$AI13))</f>
        <v>0.02052303427</v>
      </c>
      <c r="T13" s="30">
        <f>IF(SUM(Matrix_Bobot!$B13:$AI13)=0,0,Matrix_Bobot!T13/SUM(Matrix_Bobot!$B13:$AI13))</f>
        <v>0.01281240275</v>
      </c>
      <c r="U13" s="30">
        <f>IF(SUM(Matrix_Bobot!$B13:$AI13)=0,0,Matrix_Bobot!U13/SUM(Matrix_Bobot!$B13:$AI13))</f>
        <v>0.1451388984</v>
      </c>
      <c r="V13" s="30">
        <f>IF(SUM(Matrix_Bobot!$B13:$AI13)=0,0,Matrix_Bobot!V13/SUM(Matrix_Bobot!$B13:$AI13))</f>
        <v>0.01980607237</v>
      </c>
      <c r="W13" s="30">
        <f>IF(SUM(Matrix_Bobot!$B13:$AI13)=0,0,Matrix_Bobot!W13/SUM(Matrix_Bobot!$B13:$AI13))</f>
        <v>0.1451388984</v>
      </c>
      <c r="X13" s="30">
        <f>IF(SUM(Matrix_Bobot!$B13:$AI13)=0,0,Matrix_Bobot!X13/SUM(Matrix_Bobot!$B13:$AI13))</f>
        <v>0.01555059626</v>
      </c>
      <c r="Y13" s="30">
        <f>IF(SUM(Matrix_Bobot!$B13:$AI13)=0,0,Matrix_Bobot!Y13/SUM(Matrix_Bobot!$B13:$AI13))</f>
        <v>0.008922531768</v>
      </c>
      <c r="Z13" s="30">
        <f>IF(SUM(Matrix_Bobot!$B13:$AI13)=0,0,Matrix_Bobot!Z13/SUM(Matrix_Bobot!$B13:$AI13))</f>
        <v>0.01412956565</v>
      </c>
      <c r="AA13" s="30">
        <f>IF(SUM(Matrix_Bobot!$B13:$AI13)=0,0,Matrix_Bobot!AA13/SUM(Matrix_Bobot!$B13:$AI13))</f>
        <v>0.01265747384</v>
      </c>
      <c r="AB13" s="30">
        <f>IF(SUM(Matrix_Bobot!$B13:$AI13)=0,0,Matrix_Bobot!AB13/SUM(Matrix_Bobot!$B13:$AI13))</f>
        <v>0.01727844028</v>
      </c>
      <c r="AC13" s="30">
        <f>IF(SUM(Matrix_Bobot!$B13:$AI13)=0,0,Matrix_Bobot!AC13/SUM(Matrix_Bobot!$B13:$AI13))</f>
        <v>0.01577596721</v>
      </c>
      <c r="AD13" s="30">
        <f>IF(SUM(Matrix_Bobot!$B13:$AI13)=0,0,Matrix_Bobot!AD13/SUM(Matrix_Bobot!$B13:$AI13))</f>
        <v>0.007775342557</v>
      </c>
      <c r="AE13" s="30">
        <f>IF(SUM(Matrix_Bobot!$B13:$AI13)=0,0,Matrix_Bobot!AE13/SUM(Matrix_Bobot!$B13:$AI13))</f>
        <v>0.004681900188</v>
      </c>
      <c r="AF13" s="30">
        <f>IF(SUM(Matrix_Bobot!$B13:$AI13)=0,0,Matrix_Bobot!AF13/SUM(Matrix_Bobot!$B13:$AI13))</f>
        <v>0.01133897643</v>
      </c>
      <c r="AG13" s="30">
        <f>IF(SUM(Matrix_Bobot!$B13:$AI13)=0,0,Matrix_Bobot!AG13/SUM(Matrix_Bobot!$B13:$AI13))</f>
        <v>0.008373423746</v>
      </c>
      <c r="AH13" s="30">
        <f>IF(SUM(Matrix_Bobot!$B13:$AI13)=0,0,Matrix_Bobot!AH13/SUM(Matrix_Bobot!$B13:$AI13))</f>
        <v>0.008503408558</v>
      </c>
      <c r="AI13" s="30">
        <f>IF(SUM(Matrix_Bobot!$B13:$AI13)=0,0,Matrix_Bobot!AI13/SUM(Matrix_Bobot!$B13:$AI13))</f>
        <v>0.008375975205</v>
      </c>
      <c r="AJ13" s="33">
        <f t="shared" si="1"/>
        <v>1</v>
      </c>
    </row>
    <row r="14" ht="14.25" customHeight="1">
      <c r="A14" s="22" t="s">
        <v>31</v>
      </c>
      <c r="B14" s="30">
        <f>IF(SUM(Matrix_Bobot!$B14:$AI14)=0,0,Matrix_Bobot!B14/SUM(Matrix_Bobot!$B14:$AI14))</f>
        <v>0.02321978257</v>
      </c>
      <c r="C14" s="30">
        <f>IF(SUM(Matrix_Bobot!$B14:$AI14)=0,0,Matrix_Bobot!C14/SUM(Matrix_Bobot!$B14:$AI14))</f>
        <v>0.01399793078</v>
      </c>
      <c r="D14" s="30">
        <f>IF(SUM(Matrix_Bobot!$B14:$AI14)=0,0,Matrix_Bobot!D14/SUM(Matrix_Bobot!$B14:$AI14))</f>
        <v>0.03702184971</v>
      </c>
      <c r="E14" s="30">
        <f>IF(SUM(Matrix_Bobot!$B14:$AI14)=0,0,Matrix_Bobot!E14/SUM(Matrix_Bobot!$B14:$AI14))</f>
        <v>0.01935713856</v>
      </c>
      <c r="F14" s="30">
        <f>IF(SUM(Matrix_Bobot!$B14:$AI14)=0,0,Matrix_Bobot!F14/SUM(Matrix_Bobot!$B14:$AI14))</f>
        <v>0.02546991916</v>
      </c>
      <c r="G14" s="30">
        <f>IF(SUM(Matrix_Bobot!$B14:$AI14)=0,0,Matrix_Bobot!G14/SUM(Matrix_Bobot!$B14:$AI14))</f>
        <v>0.0290274143</v>
      </c>
      <c r="H14" s="30">
        <f>IF(SUM(Matrix_Bobot!$B14:$AI14)=0,0,Matrix_Bobot!H14/SUM(Matrix_Bobot!$B14:$AI14))</f>
        <v>0.05093983833</v>
      </c>
      <c r="I14" s="30">
        <f>IF(SUM(Matrix_Bobot!$B14:$AI14)=0,0,Matrix_Bobot!I14/SUM(Matrix_Bobot!$B14:$AI14))</f>
        <v>0.0903333133</v>
      </c>
      <c r="J14" s="30">
        <f>IF(SUM(Matrix_Bobot!$B14:$AI14)=0,0,Matrix_Bobot!J14/SUM(Matrix_Bobot!$B14:$AI14))</f>
        <v>0.02895298503</v>
      </c>
      <c r="K14" s="30">
        <f>IF(SUM(Matrix_Bobot!$B14:$AI14)=0,0,Matrix_Bobot!K14/SUM(Matrix_Bobot!$B14:$AI14))</f>
        <v>0.04064990969</v>
      </c>
      <c r="L14" s="28">
        <f>IF(SUM(Matrix_Bobot!$B14:$AI14)=0,0,Matrix_Bobot!L14/SUM(Matrix_Bobot!$B14:$AI14))</f>
        <v>0</v>
      </c>
      <c r="M14" s="30">
        <f>IF(SUM(Matrix_Bobot!$B14:$AI14)=0,0,Matrix_Bobot!M14/SUM(Matrix_Bobot!$B14:$AI14))</f>
        <v>0.02258332833</v>
      </c>
      <c r="N14" s="30">
        <f>IF(SUM(Matrix_Bobot!$B14:$AI14)=0,0,Matrix_Bobot!N14/SUM(Matrix_Bobot!$B14:$AI14))</f>
        <v>0.05840515946</v>
      </c>
      <c r="O14" s="30">
        <f>IF(SUM(Matrix_Bobot!$B14:$AI14)=0,0,Matrix_Bobot!O14/SUM(Matrix_Bobot!$B14:$AI14))</f>
        <v>0.05840515946</v>
      </c>
      <c r="P14" s="30">
        <f>IF(SUM(Matrix_Bobot!$B14:$AI14)=0,0,Matrix_Bobot!P14/SUM(Matrix_Bobot!$B14:$AI14))</f>
        <v>0.04516665665</v>
      </c>
      <c r="Q14" s="30">
        <f>IF(SUM(Matrix_Bobot!$B14:$AI14)=0,0,Matrix_Bobot!Q14/SUM(Matrix_Bobot!$B14:$AI14))</f>
        <v>0</v>
      </c>
      <c r="R14" s="30">
        <f>IF(SUM(Matrix_Bobot!$B14:$AI14)=0,0,Matrix_Bobot!R14/SUM(Matrix_Bobot!$B14:$AI14))</f>
        <v>0.03702184971</v>
      </c>
      <c r="S14" s="30">
        <f>IF(SUM(Matrix_Bobot!$B14:$AI14)=0,0,Matrix_Bobot!S14/SUM(Matrix_Bobot!$B14:$AI14))</f>
        <v>0.03387499249</v>
      </c>
      <c r="T14" s="30">
        <f>IF(SUM(Matrix_Bobot!$B14:$AI14)=0,0,Matrix_Bobot!T14/SUM(Matrix_Bobot!$B14:$AI14))</f>
        <v>0.03011110443</v>
      </c>
      <c r="U14" s="30">
        <f>IF(SUM(Matrix_Bobot!$B14:$AI14)=0,0,Matrix_Bobot!U14/SUM(Matrix_Bobot!$B14:$AI14))</f>
        <v>0.04771125702</v>
      </c>
      <c r="V14" s="30">
        <f>IF(SUM(Matrix_Bobot!$B14:$AI14)=0,0,Matrix_Bobot!V14/SUM(Matrix_Bobot!$B14:$AI14))</f>
        <v>0.03871427713</v>
      </c>
      <c r="W14" s="30">
        <f>IF(SUM(Matrix_Bobot!$B14:$AI14)=0,0,Matrix_Bobot!W14/SUM(Matrix_Bobot!$B14:$AI14))</f>
        <v>0.03702184971</v>
      </c>
      <c r="X14" s="30">
        <f>IF(SUM(Matrix_Bobot!$B14:$AI14)=0,0,Matrix_Bobot!X14/SUM(Matrix_Bobot!$B14:$AI14))</f>
        <v>0.03122119123</v>
      </c>
      <c r="Y14" s="30">
        <f>IF(SUM(Matrix_Bobot!$B14:$AI14)=0,0,Matrix_Bobot!Y14/SUM(Matrix_Bobot!$B14:$AI14))</f>
        <v>0.02393992402</v>
      </c>
      <c r="Z14" s="30">
        <f>IF(SUM(Matrix_Bobot!$B14:$AI14)=0,0,Matrix_Bobot!Z14/SUM(Matrix_Bobot!$B14:$AI14))</f>
        <v>0.01980993713</v>
      </c>
      <c r="AA14" s="30">
        <f>IF(SUM(Matrix_Bobot!$B14:$AI14)=0,0,Matrix_Bobot!AA14/SUM(Matrix_Bobot!$B14:$AI14))</f>
        <v>0.008123499398</v>
      </c>
      <c r="AB14" s="30">
        <f>IF(SUM(Matrix_Bobot!$B14:$AI14)=0,0,Matrix_Bobot!AB14/SUM(Matrix_Bobot!$B14:$AI14))</f>
        <v>0.02907724677</v>
      </c>
      <c r="AC14" s="30">
        <f>IF(SUM(Matrix_Bobot!$B14:$AI14)=0,0,Matrix_Bobot!AC14/SUM(Matrix_Bobot!$B14:$AI14))</f>
        <v>0.02393992402</v>
      </c>
      <c r="AD14" s="30">
        <f>IF(SUM(Matrix_Bobot!$B14:$AI14)=0,0,Matrix_Bobot!AD14/SUM(Matrix_Bobot!$B14:$AI14))</f>
        <v>0.02197534381</v>
      </c>
      <c r="AE14" s="30">
        <f>IF(SUM(Matrix_Bobot!$B14:$AI14)=0,0,Matrix_Bobot!AE14/SUM(Matrix_Bobot!$B14:$AI14))</f>
        <v>0.007253745715</v>
      </c>
      <c r="AF14" s="30">
        <f>IF(SUM(Matrix_Bobot!$B14:$AI14)=0,0,Matrix_Bobot!AF14/SUM(Matrix_Bobot!$B14:$AI14))</f>
        <v>0.0189087315</v>
      </c>
      <c r="AG14" s="30">
        <f>IF(SUM(Matrix_Bobot!$B14:$AI14)=0,0,Matrix_Bobot!AG14/SUM(Matrix_Bobot!$B14:$AI14))</f>
        <v>0.01846048637</v>
      </c>
      <c r="AH14" s="30">
        <f>IF(SUM(Matrix_Bobot!$B14:$AI14)=0,0,Matrix_Bobot!AH14/SUM(Matrix_Bobot!$B14:$AI14))</f>
        <v>0.0165931876</v>
      </c>
      <c r="AI14" s="30">
        <f>IF(SUM(Matrix_Bobot!$B14:$AI14)=0,0,Matrix_Bobot!AI14/SUM(Matrix_Bobot!$B14:$AI14))</f>
        <v>0.0127110666</v>
      </c>
      <c r="AJ14" s="33">
        <f t="shared" si="1"/>
        <v>1</v>
      </c>
    </row>
    <row r="15" ht="14.25" customHeight="1">
      <c r="A15" s="22" t="s">
        <v>33</v>
      </c>
      <c r="B15" s="30">
        <f>IF(SUM(Matrix_Bobot!$B15:$AI15)=0,0,Matrix_Bobot!B15/SUM(Matrix_Bobot!$B15:$AI15))</f>
        <v>0.005221925908</v>
      </c>
      <c r="C15" s="30">
        <f>IF(SUM(Matrix_Bobot!$B15:$AI15)=0,0,Matrix_Bobot!C15/SUM(Matrix_Bobot!$B15:$AI15))</f>
        <v>0.1218840974</v>
      </c>
      <c r="D15" s="30">
        <f>IF(SUM(Matrix_Bobot!$B15:$AI15)=0,0,Matrix_Bobot!D15/SUM(Matrix_Bobot!$B15:$AI15))</f>
        <v>0.00565320408</v>
      </c>
      <c r="E15" s="30">
        <f>IF(SUM(Matrix_Bobot!$B15:$AI15)=0,0,Matrix_Bobot!E15/SUM(Matrix_Bobot!$B15:$AI15))</f>
        <v>0.02567653142</v>
      </c>
      <c r="F15" s="30">
        <f>IF(SUM(Matrix_Bobot!$B15:$AI15)=0,0,Matrix_Bobot!F15/SUM(Matrix_Bobot!$B15:$AI15))</f>
        <v>0</v>
      </c>
      <c r="G15" s="30">
        <f>IF(SUM(Matrix_Bobot!$B15:$AI15)=0,0,Matrix_Bobot!G15/SUM(Matrix_Bobot!$B15:$AI15))</f>
        <v>0.02500499137</v>
      </c>
      <c r="H15" s="30">
        <f>IF(SUM(Matrix_Bobot!$B15:$AI15)=0,0,Matrix_Bobot!H15/SUM(Matrix_Bobot!$B15:$AI15))</f>
        <v>0</v>
      </c>
      <c r="I15" s="30">
        <f>IF(SUM(Matrix_Bobot!$B15:$AI15)=0,0,Matrix_Bobot!I15/SUM(Matrix_Bobot!$B15:$AI15))</f>
        <v>0.004869885959</v>
      </c>
      <c r="J15" s="30">
        <f>IF(SUM(Matrix_Bobot!$B15:$AI15)=0,0,Matrix_Bobot!J15/SUM(Matrix_Bobot!$B15:$AI15))</f>
        <v>0</v>
      </c>
      <c r="K15" s="30">
        <f>IF(SUM(Matrix_Bobot!$B15:$AI15)=0,0,Matrix_Bobot!K15/SUM(Matrix_Bobot!$B15:$AI15))</f>
        <v>0</v>
      </c>
      <c r="L15" s="30">
        <f>IF(SUM(Matrix_Bobot!$B15:$AI15)=0,0,Matrix_Bobot!L15/SUM(Matrix_Bobot!$B15:$AI15))</f>
        <v>0.1083549626</v>
      </c>
      <c r="M15" s="28">
        <f>IF(SUM(Matrix_Bobot!$B15:$AI15)=0,0,Matrix_Bobot!M15/SUM(Matrix_Bobot!$B15:$AI15))</f>
        <v>0</v>
      </c>
      <c r="N15" s="30">
        <f>IF(SUM(Matrix_Bobot!$B15:$AI15)=0,0,Matrix_Bobot!N15/SUM(Matrix_Bobot!$B15:$AI15))</f>
        <v>0</v>
      </c>
      <c r="O15" s="30">
        <f>IF(SUM(Matrix_Bobot!$B15:$AI15)=0,0,Matrix_Bobot!O15/SUM(Matrix_Bobot!$B15:$AI15))</f>
        <v>0</v>
      </c>
      <c r="P15" s="30">
        <f>IF(SUM(Matrix_Bobot!$B15:$AI15)=0,0,Matrix_Bobot!P15/SUM(Matrix_Bobot!$B15:$AI15))</f>
        <v>0.1946496334</v>
      </c>
      <c r="Q15" s="30">
        <f>IF(SUM(Matrix_Bobot!$B15:$AI15)=0,0,Matrix_Bobot!Q15/SUM(Matrix_Bobot!$B15:$AI15))</f>
        <v>0</v>
      </c>
      <c r="R15" s="30">
        <f>IF(SUM(Matrix_Bobot!$B15:$AI15)=0,0,Matrix_Bobot!R15/SUM(Matrix_Bobot!$B15:$AI15))</f>
        <v>0.1857513644</v>
      </c>
      <c r="S15" s="30">
        <f>IF(SUM(Matrix_Bobot!$B15:$AI15)=0,0,Matrix_Bobot!S15/SUM(Matrix_Bobot!$B15:$AI15))</f>
        <v>0.02971342667</v>
      </c>
      <c r="T15" s="30">
        <f>IF(SUM(Matrix_Bobot!$B15:$AI15)=0,0,Matrix_Bobot!T15/SUM(Matrix_Bobot!$B15:$AI15))</f>
        <v>0.02708874065</v>
      </c>
      <c r="U15" s="30">
        <f>IF(SUM(Matrix_Bobot!$B15:$AI15)=0,0,Matrix_Bobot!U15/SUM(Matrix_Bobot!$B15:$AI15))</f>
        <v>0.005778931338</v>
      </c>
      <c r="V15" s="30">
        <f>IF(SUM(Matrix_Bobot!$B15:$AI15)=0,0,Matrix_Bobot!V15/SUM(Matrix_Bobot!$B15:$AI15))</f>
        <v>0</v>
      </c>
      <c r="W15" s="30">
        <f>IF(SUM(Matrix_Bobot!$B15:$AI15)=0,0,Matrix_Bobot!W15/SUM(Matrix_Bobot!$B15:$AI15))</f>
        <v>0.02955135343</v>
      </c>
      <c r="X15" s="30">
        <f>IF(SUM(Matrix_Bobot!$B15:$AI15)=0,0,Matrix_Bobot!X15/SUM(Matrix_Bobot!$B15:$AI15))</f>
        <v>0.1497994875</v>
      </c>
      <c r="Y15" s="30">
        <f>IF(SUM(Matrix_Bobot!$B15:$AI15)=0,0,Matrix_Bobot!Y15/SUM(Matrix_Bobot!$B15:$AI15))</f>
        <v>0</v>
      </c>
      <c r="Z15" s="30">
        <f>IF(SUM(Matrix_Bobot!$B15:$AI15)=0,0,Matrix_Bobot!Z15/SUM(Matrix_Bobot!$B15:$AI15))</f>
        <v>0.0128687604</v>
      </c>
      <c r="AA15" s="30">
        <f>IF(SUM(Matrix_Bobot!$B15:$AI15)=0,0,Matrix_Bobot!AA15/SUM(Matrix_Bobot!$B15:$AI15))</f>
        <v>0</v>
      </c>
      <c r="AB15" s="30">
        <f>IF(SUM(Matrix_Bobot!$B15:$AI15)=0,0,Matrix_Bobot!AB15/SUM(Matrix_Bobot!$B15:$AI15))</f>
        <v>0.02348734738</v>
      </c>
      <c r="AC15" s="30">
        <f>IF(SUM(Matrix_Bobot!$B15:$AI15)=0,0,Matrix_Bobot!AC15/SUM(Matrix_Bobot!$B15:$AI15))</f>
        <v>0.003931602416</v>
      </c>
      <c r="AD15" s="30">
        <f>IF(SUM(Matrix_Bobot!$B15:$AI15)=0,0,Matrix_Bobot!AD15/SUM(Matrix_Bobot!$B15:$AI15))</f>
        <v>0.00575437932</v>
      </c>
      <c r="AE15" s="30">
        <f>IF(SUM(Matrix_Bobot!$B15:$AI15)=0,0,Matrix_Bobot!AE15/SUM(Matrix_Bobot!$B15:$AI15))</f>
        <v>0.003520609191</v>
      </c>
      <c r="AF15" s="30">
        <f>IF(SUM(Matrix_Bobot!$B15:$AI15)=0,0,Matrix_Bobot!AF15/SUM(Matrix_Bobot!$B15:$AI15))</f>
        <v>0.008227407942</v>
      </c>
      <c r="AG15" s="30">
        <f>IF(SUM(Matrix_Bobot!$B15:$AI15)=0,0,Matrix_Bobot!AG15/SUM(Matrix_Bobot!$B15:$AI15))</f>
        <v>0.006806216243</v>
      </c>
      <c r="AH15" s="30">
        <f>IF(SUM(Matrix_Bobot!$B15:$AI15)=0,0,Matrix_Bobot!AH15/SUM(Matrix_Bobot!$B15:$AI15))</f>
        <v>0.008227407942</v>
      </c>
      <c r="AI15" s="30">
        <f>IF(SUM(Matrix_Bobot!$B15:$AI15)=0,0,Matrix_Bobot!AI15/SUM(Matrix_Bobot!$B15:$AI15))</f>
        <v>0.008177733026</v>
      </c>
      <c r="AJ15" s="33">
        <f t="shared" si="1"/>
        <v>1</v>
      </c>
    </row>
    <row r="16" ht="14.25" customHeight="1">
      <c r="A16" s="22" t="s">
        <v>37</v>
      </c>
      <c r="B16" s="30">
        <f>IF(SUM(Matrix_Bobot!$B16:$AI16)=0,0,Matrix_Bobot!B16/SUM(Matrix_Bobot!$B16:$AI16))</f>
        <v>0.01148706894</v>
      </c>
      <c r="C16" s="30">
        <f>IF(SUM(Matrix_Bobot!$B16:$AI16)=0,0,Matrix_Bobot!C16/SUM(Matrix_Bobot!$B16:$AI16))</f>
        <v>0.01167851243</v>
      </c>
      <c r="D16" s="30">
        <f>IF(SUM(Matrix_Bobot!$B16:$AI16)=0,0,Matrix_Bobot!D16/SUM(Matrix_Bobot!$B16:$AI16))</f>
        <v>0.01523416701</v>
      </c>
      <c r="E16" s="30">
        <f>IF(SUM(Matrix_Bobot!$B16:$AI16)=0,0,Matrix_Bobot!E16/SUM(Matrix_Bobot!$B16:$AI16))</f>
        <v>0.01186840694</v>
      </c>
      <c r="F16" s="30">
        <f>IF(SUM(Matrix_Bobot!$B16:$AI16)=0,0,Matrix_Bobot!F16/SUM(Matrix_Bobot!$B16:$AI16))</f>
        <v>0.01843781564</v>
      </c>
      <c r="G16" s="30">
        <f>IF(SUM(Matrix_Bobot!$B16:$AI16)=0,0,Matrix_Bobot!G16/SUM(Matrix_Bobot!$B16:$AI16))</f>
        <v>0.01946418738</v>
      </c>
      <c r="H16" s="30">
        <f>IF(SUM(Matrix_Bobot!$B16:$AI16)=0,0,Matrix_Bobot!H16/SUM(Matrix_Bobot!$B16:$AI16))</f>
        <v>0.01753530394</v>
      </c>
      <c r="I16" s="30">
        <f>IF(SUM(Matrix_Bobot!$B16:$AI16)=0,0,Matrix_Bobot!I16/SUM(Matrix_Bobot!$B16:$AI16))</f>
        <v>0.01348558017</v>
      </c>
      <c r="J16" s="30">
        <f>IF(SUM(Matrix_Bobot!$B16:$AI16)=0,0,Matrix_Bobot!J16/SUM(Matrix_Bobot!$B16:$AI16))</f>
        <v>0.0184203666</v>
      </c>
      <c r="K16" s="30">
        <f>IF(SUM(Matrix_Bobot!$B16:$AI16)=0,0,Matrix_Bobot!K16/SUM(Matrix_Bobot!$B16:$AI16))</f>
        <v>0.05839256213</v>
      </c>
      <c r="L16" s="30">
        <f>IF(SUM(Matrix_Bobot!$B16:$AI16)=0,0,Matrix_Bobot!L16/SUM(Matrix_Bobot!$B16:$AI16))</f>
        <v>0.1006768313</v>
      </c>
      <c r="M16" s="30">
        <f>IF(SUM(Matrix_Bobot!$B16:$AI16)=0,0,Matrix_Bobot!M16/SUM(Matrix_Bobot!$B16:$AI16))</f>
        <v>0</v>
      </c>
      <c r="N16" s="28">
        <f>IF(SUM(Matrix_Bobot!$B16:$AI16)=0,0,Matrix_Bobot!N16/SUM(Matrix_Bobot!$B16:$AI16))</f>
        <v>0</v>
      </c>
      <c r="O16" s="30">
        <f>IF(SUM(Matrix_Bobot!$B16:$AI16)=0,0,Matrix_Bobot!O16/SUM(Matrix_Bobot!$B16:$AI16))</f>
        <v>0.01668358918</v>
      </c>
      <c r="P16" s="30">
        <f>IF(SUM(Matrix_Bobot!$B16:$AI16)=0,0,Matrix_Bobot!P16/SUM(Matrix_Bobot!$B16:$AI16))</f>
        <v>0.09981634553</v>
      </c>
      <c r="Q16" s="30">
        <f>IF(SUM(Matrix_Bobot!$B16:$AI16)=0,0,Matrix_Bobot!Q16/SUM(Matrix_Bobot!$B16:$AI16))</f>
        <v>0</v>
      </c>
      <c r="R16" s="30">
        <f>IF(SUM(Matrix_Bobot!$B16:$AI16)=0,0,Matrix_Bobot!R16/SUM(Matrix_Bobot!$B16:$AI16))</f>
        <v>0.09342809941</v>
      </c>
      <c r="S16" s="30">
        <f>IF(SUM(Matrix_Bobot!$B16:$AI16)=0,0,Matrix_Bobot!S16/SUM(Matrix_Bobot!$B16:$AI16))</f>
        <v>0.01524609977</v>
      </c>
      <c r="T16" s="30">
        <f>IF(SUM(Matrix_Bobot!$B16:$AI16)=0,0,Matrix_Bobot!T16/SUM(Matrix_Bobot!$B16:$AI16))</f>
        <v>0.01208955738</v>
      </c>
      <c r="U16" s="30">
        <f>IF(SUM(Matrix_Bobot!$B16:$AI16)=0,0,Matrix_Bobot!U16/SUM(Matrix_Bobot!$B16:$AI16))</f>
        <v>0.07785674951</v>
      </c>
      <c r="V16" s="30">
        <f>IF(SUM(Matrix_Bobot!$B16:$AI16)=0,0,Matrix_Bobot!V16/SUM(Matrix_Bobot!$B16:$AI16))</f>
        <v>0.08780836411</v>
      </c>
      <c r="W16" s="30">
        <f>IF(SUM(Matrix_Bobot!$B16:$AI16)=0,0,Matrix_Bobot!W16/SUM(Matrix_Bobot!$B16:$AI16))</f>
        <v>0.09342809941</v>
      </c>
      <c r="X16" s="30">
        <f>IF(SUM(Matrix_Bobot!$B16:$AI16)=0,0,Matrix_Bobot!X16/SUM(Matrix_Bobot!$B16:$AI16))</f>
        <v>0.06673435672</v>
      </c>
      <c r="Y16" s="30">
        <f>IF(SUM(Matrix_Bobot!$B16:$AI16)=0,0,Matrix_Bobot!Y16/SUM(Matrix_Bobot!$B16:$AI16))</f>
        <v>0.01430138676</v>
      </c>
      <c r="Z16" s="30">
        <f>IF(SUM(Matrix_Bobot!$B16:$AI16)=0,0,Matrix_Bobot!Z16/SUM(Matrix_Bobot!$B16:$AI16))</f>
        <v>0.01029851184</v>
      </c>
      <c r="AA16" s="30">
        <f>IF(SUM(Matrix_Bobot!$B16:$AI16)=0,0,Matrix_Bobot!AA16/SUM(Matrix_Bobot!$B16:$AI16))</f>
        <v>0.005625487682</v>
      </c>
      <c r="AB16" s="30">
        <f>IF(SUM(Matrix_Bobot!$B16:$AI16)=0,0,Matrix_Bobot!AB16/SUM(Matrix_Bobot!$B16:$AI16))</f>
        <v>0.06673435672</v>
      </c>
      <c r="AC16" s="30">
        <f>IF(SUM(Matrix_Bobot!$B16:$AI16)=0,0,Matrix_Bobot!AC16/SUM(Matrix_Bobot!$B16:$AI16))</f>
        <v>0.009224733355</v>
      </c>
      <c r="AD16" s="30">
        <f>IF(SUM(Matrix_Bobot!$B16:$AI16)=0,0,Matrix_Bobot!AD16/SUM(Matrix_Bobot!$B16:$AI16))</f>
        <v>0.005227624184</v>
      </c>
      <c r="AE16" s="30">
        <f>IF(SUM(Matrix_Bobot!$B16:$AI16)=0,0,Matrix_Bobot!AE16/SUM(Matrix_Bobot!$B16:$AI16))</f>
        <v>0.004915198833</v>
      </c>
      <c r="AF16" s="30">
        <f>IF(SUM(Matrix_Bobot!$B16:$AI16)=0,0,Matrix_Bobot!AF16/SUM(Matrix_Bobot!$B16:$AI16))</f>
        <v>0.009342809941</v>
      </c>
      <c r="AG16" s="30">
        <f>IF(SUM(Matrix_Bobot!$B16:$AI16)=0,0,Matrix_Bobot!AG16/SUM(Matrix_Bobot!$B16:$AI16))</f>
        <v>0.003924231326</v>
      </c>
      <c r="AH16" s="30">
        <f>IF(SUM(Matrix_Bobot!$B16:$AI16)=0,0,Matrix_Bobot!AH16/SUM(Matrix_Bobot!$B16:$AI16))</f>
        <v>0.006673435672</v>
      </c>
      <c r="AI16" s="30">
        <f>IF(SUM(Matrix_Bobot!$B16:$AI16)=0,0,Matrix_Bobot!AI16/SUM(Matrix_Bobot!$B16:$AI16))</f>
        <v>0.003960160199</v>
      </c>
      <c r="AJ16" s="33">
        <f t="shared" si="1"/>
        <v>1</v>
      </c>
    </row>
    <row r="17" ht="14.25" customHeight="1">
      <c r="A17" s="22" t="s">
        <v>40</v>
      </c>
      <c r="B17" s="30">
        <f>IF(SUM(Matrix_Bobot!$B17:$AI17)=0,0,Matrix_Bobot!B17/SUM(Matrix_Bobot!$B17:$AI17))</f>
        <v>0.01066373755</v>
      </c>
      <c r="C17" s="30">
        <f>IF(SUM(Matrix_Bobot!$B17:$AI17)=0,0,Matrix_Bobot!C17/SUM(Matrix_Bobot!$B17:$AI17))</f>
        <v>0.03893711159</v>
      </c>
      <c r="D17" s="30">
        <f>IF(SUM(Matrix_Bobot!$B17:$AI17)=0,0,Matrix_Bobot!D17/SUM(Matrix_Bobot!$B17:$AI17))</f>
        <v>0.04897423369</v>
      </c>
      <c r="E17" s="30">
        <f>IF(SUM(Matrix_Bobot!$B17:$AI17)=0,0,Matrix_Bobot!E17/SUM(Matrix_Bobot!$B17:$AI17))</f>
        <v>0.01101920258</v>
      </c>
      <c r="F17" s="30">
        <f>IF(SUM(Matrix_Bobot!$B17:$AI17)=0,0,Matrix_Bobot!F17/SUM(Matrix_Bobot!$B17:$AI17))</f>
        <v>0.01140704201</v>
      </c>
      <c r="G17" s="30">
        <f>IF(SUM(Matrix_Bobot!$B17:$AI17)=0,0,Matrix_Bobot!G17/SUM(Matrix_Bobot!$B17:$AI17))</f>
        <v>0.06974178848</v>
      </c>
      <c r="H17" s="30">
        <f>IF(SUM(Matrix_Bobot!$B17:$AI17)=0,0,Matrix_Bobot!H17/SUM(Matrix_Bobot!$B17:$AI17))</f>
        <v>0.01501253757</v>
      </c>
      <c r="I17" s="30">
        <f>IF(SUM(Matrix_Bobot!$B17:$AI17)=0,0,Matrix_Bobot!I17/SUM(Matrix_Bobot!$B17:$AI17))</f>
        <v>0.01886849757</v>
      </c>
      <c r="J17" s="30">
        <f>IF(SUM(Matrix_Bobot!$B17:$AI17)=0,0,Matrix_Bobot!J17/SUM(Matrix_Bobot!$B17:$AI17))</f>
        <v>0.01695261935</v>
      </c>
      <c r="K17" s="30">
        <f>IF(SUM(Matrix_Bobot!$B17:$AI17)=0,0,Matrix_Bobot!K17/SUM(Matrix_Bobot!$B17:$AI17))</f>
        <v>0.04897423369</v>
      </c>
      <c r="L17" s="30">
        <f>IF(SUM(Matrix_Bobot!$B17:$AI17)=0,0,Matrix_Bobot!L17/SUM(Matrix_Bobot!$B17:$AI17))</f>
        <v>0.09499312569</v>
      </c>
      <c r="M17" s="30">
        <f>IF(SUM(Matrix_Bobot!$B17:$AI17)=0,0,Matrix_Bobot!M17/SUM(Matrix_Bobot!$B17:$AI17))</f>
        <v>0</v>
      </c>
      <c r="N17" s="30">
        <f>IF(SUM(Matrix_Bobot!$B17:$AI17)=0,0,Matrix_Bobot!N17/SUM(Matrix_Bobot!$B17:$AI17))</f>
        <v>0.01574171797</v>
      </c>
      <c r="O17" s="28">
        <f>IF(SUM(Matrix_Bobot!$B17:$AI17)=0,0,Matrix_Bobot!O17/SUM(Matrix_Bobot!$B17:$AI17))</f>
        <v>0</v>
      </c>
      <c r="P17" s="30">
        <f>IF(SUM(Matrix_Bobot!$B17:$AI17)=0,0,Matrix_Bobot!P17/SUM(Matrix_Bobot!$B17:$AI17))</f>
        <v>0.01574171797</v>
      </c>
      <c r="Q17" s="30">
        <f>IF(SUM(Matrix_Bobot!$B17:$AI17)=0,0,Matrix_Bobot!Q17/SUM(Matrix_Bobot!$B17:$AI17))</f>
        <v>0</v>
      </c>
      <c r="R17" s="30">
        <f>IF(SUM(Matrix_Bobot!$B17:$AI17)=0,0,Matrix_Bobot!R17/SUM(Matrix_Bobot!$B17:$AI17))</f>
        <v>0.07760001817</v>
      </c>
      <c r="S17" s="30">
        <f>IF(SUM(Matrix_Bobot!$B17:$AI17)=0,0,Matrix_Bobot!S17/SUM(Matrix_Bobot!$B17:$AI17))</f>
        <v>0.07346135053</v>
      </c>
      <c r="T17" s="30">
        <f>IF(SUM(Matrix_Bobot!$B17:$AI17)=0,0,Matrix_Bobot!T17/SUM(Matrix_Bobot!$B17:$AI17))</f>
        <v>0.01119837661</v>
      </c>
      <c r="U17" s="30">
        <f>IF(SUM(Matrix_Bobot!$B17:$AI17)=0,0,Matrix_Bobot!U17/SUM(Matrix_Bobot!$B17:$AI17))</f>
        <v>0.06021422175</v>
      </c>
      <c r="V17" s="30">
        <f>IF(SUM(Matrix_Bobot!$B17:$AI17)=0,0,Matrix_Bobot!V17/SUM(Matrix_Bobot!$B17:$AI17))</f>
        <v>0.06960961832</v>
      </c>
      <c r="W17" s="30">
        <f>IF(SUM(Matrix_Bobot!$B17:$AI17)=0,0,Matrix_Bobot!W17/SUM(Matrix_Bobot!$B17:$AI17))</f>
        <v>0.07346135053</v>
      </c>
      <c r="X17" s="30">
        <f>IF(SUM(Matrix_Bobot!$B17:$AI17)=0,0,Matrix_Bobot!X17/SUM(Matrix_Bobot!$B17:$AI17))</f>
        <v>0.0573916801</v>
      </c>
      <c r="Y17" s="30">
        <f>IF(SUM(Matrix_Bobot!$B17:$AI17)=0,0,Matrix_Bobot!Y17/SUM(Matrix_Bobot!$B17:$AI17))</f>
        <v>0.01159916061</v>
      </c>
      <c r="Z17" s="30">
        <f>IF(SUM(Matrix_Bobot!$B17:$AI17)=0,0,Matrix_Bobot!Z17/SUM(Matrix_Bobot!$B17:$AI17))</f>
        <v>0.01179786143</v>
      </c>
      <c r="AA17" s="30">
        <f>IF(SUM(Matrix_Bobot!$B17:$AI17)=0,0,Matrix_Bobot!AA17/SUM(Matrix_Bobot!$B17:$AI17))</f>
        <v>0.01438538196</v>
      </c>
      <c r="AB17" s="30">
        <f>IF(SUM(Matrix_Bobot!$B17:$AI17)=0,0,Matrix_Bobot!AB17/SUM(Matrix_Bobot!$B17:$AI17))</f>
        <v>0.06021422175</v>
      </c>
      <c r="AC17" s="30">
        <f>IF(SUM(Matrix_Bobot!$B17:$AI17)=0,0,Matrix_Bobot!AC17/SUM(Matrix_Bobot!$B17:$AI17))</f>
        <v>0.01537706193</v>
      </c>
      <c r="AD17" s="30">
        <f>IF(SUM(Matrix_Bobot!$B17:$AI17)=0,0,Matrix_Bobot!AD17/SUM(Matrix_Bobot!$B17:$AI17))</f>
        <v>0.005008728445</v>
      </c>
      <c r="AE17" s="30">
        <f>IF(SUM(Matrix_Bobot!$B17:$AI17)=0,0,Matrix_Bobot!AE17/SUM(Matrix_Bobot!$B17:$AI17))</f>
        <v>0.01140704201</v>
      </c>
      <c r="AF17" s="30">
        <f>IF(SUM(Matrix_Bobot!$B17:$AI17)=0,0,Matrix_Bobot!AF17/SUM(Matrix_Bobot!$B17:$AI17))</f>
        <v>0.008476309677</v>
      </c>
      <c r="AG17" s="30">
        <f>IF(SUM(Matrix_Bobot!$B17:$AI17)=0,0,Matrix_Bobot!AG17/SUM(Matrix_Bobot!$B17:$AI17))</f>
        <v>0.008066766164</v>
      </c>
      <c r="AH17" s="30">
        <f>IF(SUM(Matrix_Bobot!$B17:$AI17)=0,0,Matrix_Bobot!AH17/SUM(Matrix_Bobot!$B17:$AI17))</f>
        <v>0.006887001612</v>
      </c>
      <c r="AI17" s="30">
        <f>IF(SUM(Matrix_Bobot!$B17:$AI17)=0,0,Matrix_Bobot!AI17/SUM(Matrix_Bobot!$B17:$AI17))</f>
        <v>0.00681628268</v>
      </c>
      <c r="AJ17" s="33">
        <f t="shared" si="1"/>
        <v>1</v>
      </c>
    </row>
    <row r="18" ht="14.25" customHeight="1">
      <c r="A18" s="22" t="s">
        <v>43</v>
      </c>
      <c r="B18" s="30">
        <f>IF(SUM(Matrix_Bobot!$B18:$AI18)=0,0,Matrix_Bobot!B18/SUM(Matrix_Bobot!$B18:$AI18))</f>
        <v>0.006576031031</v>
      </c>
      <c r="C18" s="30">
        <f>IF(SUM(Matrix_Bobot!$B18:$AI18)=0,0,Matrix_Bobot!C18/SUM(Matrix_Bobot!$B18:$AI18))</f>
        <v>0.0245478882</v>
      </c>
      <c r="D18" s="30">
        <f>IF(SUM(Matrix_Bobot!$B18:$AI18)=0,0,Matrix_Bobot!D18/SUM(Matrix_Bobot!$B18:$AI18))</f>
        <v>0.008495284454</v>
      </c>
      <c r="E18" s="30">
        <f>IF(SUM(Matrix_Bobot!$B18:$AI18)=0,0,Matrix_Bobot!E18/SUM(Matrix_Bobot!$B18:$AI18))</f>
        <v>0.006225344448</v>
      </c>
      <c r="F18" s="30">
        <f>IF(SUM(Matrix_Bobot!$B18:$AI18)=0,0,Matrix_Bobot!F18/SUM(Matrix_Bobot!$B18:$AI18))</f>
        <v>0.01037557408</v>
      </c>
      <c r="G18" s="30">
        <f>IF(SUM(Matrix_Bobot!$B18:$AI18)=0,0,Matrix_Bobot!G18/SUM(Matrix_Bobot!$B18:$AI18))</f>
        <v>0.0389084028</v>
      </c>
      <c r="H18" s="30">
        <f>IF(SUM(Matrix_Bobot!$B18:$AI18)=0,0,Matrix_Bobot!H18/SUM(Matrix_Bobot!$B18:$AI18))</f>
        <v>0.01037557408</v>
      </c>
      <c r="I18" s="30">
        <f>IF(SUM(Matrix_Bobot!$B18:$AI18)=0,0,Matrix_Bobot!I18/SUM(Matrix_Bobot!$B18:$AI18))</f>
        <v>0.01197181625</v>
      </c>
      <c r="J18" s="30">
        <f>IF(SUM(Matrix_Bobot!$B18:$AI18)=0,0,Matrix_Bobot!J18/SUM(Matrix_Bobot!$B18:$AI18))</f>
        <v>0.01168420504</v>
      </c>
      <c r="K18" s="30">
        <f>IF(SUM(Matrix_Bobot!$B18:$AI18)=0,0,Matrix_Bobot!K18/SUM(Matrix_Bobot!$B18:$AI18))</f>
        <v>0.00933055223</v>
      </c>
      <c r="L18" s="30">
        <f>IF(SUM(Matrix_Bobot!$B18:$AI18)=0,0,Matrix_Bobot!L18/SUM(Matrix_Bobot!$B18:$AI18))</f>
        <v>0.0518778704</v>
      </c>
      <c r="M18" s="30">
        <f>IF(SUM(Matrix_Bobot!$B18:$AI18)=0,0,Matrix_Bobot!M18/SUM(Matrix_Bobot!$B18:$AI18))</f>
        <v>0.04659688958</v>
      </c>
      <c r="N18" s="30">
        <f>IF(SUM(Matrix_Bobot!$B18:$AI18)=0,0,Matrix_Bobot!N18/SUM(Matrix_Bobot!$B18:$AI18))</f>
        <v>0.06651009025</v>
      </c>
      <c r="O18" s="30">
        <f>IF(SUM(Matrix_Bobot!$B18:$AI18)=0,0,Matrix_Bobot!O18/SUM(Matrix_Bobot!$B18:$AI18))</f>
        <v>0.01111668651</v>
      </c>
      <c r="P18" s="28">
        <f>IF(SUM(Matrix_Bobot!$B18:$AI18)=0,0,Matrix_Bobot!P18/SUM(Matrix_Bobot!$B18:$AI18))</f>
        <v>0</v>
      </c>
      <c r="Q18" s="30">
        <f>IF(SUM(Matrix_Bobot!$B18:$AI18)=0,0,Matrix_Bobot!Q18/SUM(Matrix_Bobot!$B18:$AI18))</f>
        <v>0</v>
      </c>
      <c r="R18" s="30">
        <f>IF(SUM(Matrix_Bobot!$B18:$AI18)=0,0,Matrix_Bobot!R18/SUM(Matrix_Bobot!$B18:$AI18))</f>
        <v>0.0778168056</v>
      </c>
      <c r="S18" s="30">
        <f>IF(SUM(Matrix_Bobot!$B18:$AI18)=0,0,Matrix_Bobot!S18/SUM(Matrix_Bobot!$B18:$AI18))</f>
        <v>0.07185300609</v>
      </c>
      <c r="T18" s="30">
        <f>IF(SUM(Matrix_Bobot!$B18:$AI18)=0,0,Matrix_Bobot!T18/SUM(Matrix_Bobot!$B18:$AI18))</f>
        <v>0.0518778704</v>
      </c>
      <c r="U18" s="30">
        <f>IF(SUM(Matrix_Bobot!$B18:$AI18)=0,0,Matrix_Bobot!U18/SUM(Matrix_Bobot!$B18:$AI18))</f>
        <v>0.04659688958</v>
      </c>
      <c r="V18" s="30">
        <f>IF(SUM(Matrix_Bobot!$B18:$AI18)=0,0,Matrix_Bobot!V18/SUM(Matrix_Bobot!$B18:$AI18))</f>
        <v>0.06225344448</v>
      </c>
      <c r="W18" s="30">
        <f>IF(SUM(Matrix_Bobot!$B18:$AI18)=0,0,Matrix_Bobot!W18/SUM(Matrix_Bobot!$B18:$AI18))</f>
        <v>0.06668106735</v>
      </c>
      <c r="X18" s="30">
        <f>IF(SUM(Matrix_Bobot!$B18:$AI18)=0,0,Matrix_Bobot!X18/SUM(Matrix_Bobot!$B18:$AI18))</f>
        <v>0.04915780518</v>
      </c>
      <c r="Y18" s="30">
        <f>IF(SUM(Matrix_Bobot!$B18:$AI18)=0,0,Matrix_Bobot!Y18/SUM(Matrix_Bobot!$B18:$AI18))</f>
        <v>0.03735804397</v>
      </c>
      <c r="Z18" s="30">
        <f>IF(SUM(Matrix_Bobot!$B18:$AI18)=0,0,Matrix_Bobot!Z18/SUM(Matrix_Bobot!$B18:$AI18))</f>
        <v>0.02914487101</v>
      </c>
      <c r="AA18" s="30">
        <f>IF(SUM(Matrix_Bobot!$B18:$AI18)=0,0,Matrix_Bobot!AA18/SUM(Matrix_Bobot!$B18:$AI18))</f>
        <v>0.01085916908</v>
      </c>
      <c r="AB18" s="30">
        <f>IF(SUM(Matrix_Bobot!$B18:$AI18)=0,0,Matrix_Bobot!AB18/SUM(Matrix_Bobot!$B18:$AI18))</f>
        <v>0.05495537118</v>
      </c>
      <c r="AC18" s="30">
        <f>IF(SUM(Matrix_Bobot!$B18:$AI18)=0,0,Matrix_Bobot!AC18/SUM(Matrix_Bobot!$B18:$AI18))</f>
        <v>0.0389084028</v>
      </c>
      <c r="AD18" s="30">
        <f>IF(SUM(Matrix_Bobot!$B18:$AI18)=0,0,Matrix_Bobot!AD18/SUM(Matrix_Bobot!$B18:$AI18))</f>
        <v>0.006064277244</v>
      </c>
      <c r="AE18" s="30">
        <f>IF(SUM(Matrix_Bobot!$B18:$AI18)=0,0,Matrix_Bobot!AE18/SUM(Matrix_Bobot!$B18:$AI18))</f>
        <v>0.01228557082</v>
      </c>
      <c r="AF18" s="30">
        <f>IF(SUM(Matrix_Bobot!$B18:$AI18)=0,0,Matrix_Bobot!AF18/SUM(Matrix_Bobot!$B18:$AI18))</f>
        <v>0.02918859925</v>
      </c>
      <c r="AG18" s="30">
        <f>IF(SUM(Matrix_Bobot!$B18:$AI18)=0,0,Matrix_Bobot!AG18/SUM(Matrix_Bobot!$B18:$AI18))</f>
        <v>0.02668065748</v>
      </c>
      <c r="AH18" s="30">
        <f>IF(SUM(Matrix_Bobot!$B18:$AI18)=0,0,Matrix_Bobot!AH18/SUM(Matrix_Bobot!$B18:$AI18))</f>
        <v>0.008810779619</v>
      </c>
      <c r="AI18" s="30">
        <f>IF(SUM(Matrix_Bobot!$B18:$AI18)=0,0,Matrix_Bobot!AI18/SUM(Matrix_Bobot!$B18:$AI18))</f>
        <v>0.004915159525</v>
      </c>
      <c r="AJ18" s="33">
        <f t="shared" si="1"/>
        <v>1</v>
      </c>
    </row>
    <row r="19" ht="14.25" customHeight="1">
      <c r="A19" s="22" t="s">
        <v>46</v>
      </c>
      <c r="B19" s="30">
        <f>IF(SUM(Matrix_Bobot!$B19:$AI19)=0,0,Matrix_Bobot!B19/SUM(Matrix_Bobot!$B19:$AI19))</f>
        <v>0</v>
      </c>
      <c r="C19" s="30">
        <f>IF(SUM(Matrix_Bobot!$B19:$AI19)=0,0,Matrix_Bobot!C19/SUM(Matrix_Bobot!$B19:$AI19))</f>
        <v>0</v>
      </c>
      <c r="D19" s="30">
        <f>IF(SUM(Matrix_Bobot!$B19:$AI19)=0,0,Matrix_Bobot!D19/SUM(Matrix_Bobot!$B19:$AI19))</f>
        <v>0</v>
      </c>
      <c r="E19" s="30">
        <f>IF(SUM(Matrix_Bobot!$B19:$AI19)=0,0,Matrix_Bobot!E19/SUM(Matrix_Bobot!$B19:$AI19))</f>
        <v>0</v>
      </c>
      <c r="F19" s="30">
        <f>IF(SUM(Matrix_Bobot!$B19:$AI19)=0,0,Matrix_Bobot!F19/SUM(Matrix_Bobot!$B19:$AI19))</f>
        <v>0</v>
      </c>
      <c r="G19" s="30">
        <f>IF(SUM(Matrix_Bobot!$B19:$AI19)=0,0,Matrix_Bobot!G19/SUM(Matrix_Bobot!$B19:$AI19))</f>
        <v>0</v>
      </c>
      <c r="H19" s="30">
        <f>IF(SUM(Matrix_Bobot!$B19:$AI19)=0,0,Matrix_Bobot!H19/SUM(Matrix_Bobot!$B19:$AI19))</f>
        <v>0</v>
      </c>
      <c r="I19" s="30">
        <f>IF(SUM(Matrix_Bobot!$B19:$AI19)=0,0,Matrix_Bobot!I19/SUM(Matrix_Bobot!$B19:$AI19))</f>
        <v>0</v>
      </c>
      <c r="J19" s="30">
        <f>IF(SUM(Matrix_Bobot!$B19:$AI19)=0,0,Matrix_Bobot!J19/SUM(Matrix_Bobot!$B19:$AI19))</f>
        <v>0</v>
      </c>
      <c r="K19" s="30">
        <f>IF(SUM(Matrix_Bobot!$B19:$AI19)=0,0,Matrix_Bobot!K19/SUM(Matrix_Bobot!$B19:$AI19))</f>
        <v>0</v>
      </c>
      <c r="L19" s="30">
        <f>IF(SUM(Matrix_Bobot!$B19:$AI19)=0,0,Matrix_Bobot!L19/SUM(Matrix_Bobot!$B19:$AI19))</f>
        <v>0</v>
      </c>
      <c r="M19" s="30">
        <f>IF(SUM(Matrix_Bobot!$B19:$AI19)=0,0,Matrix_Bobot!M19/SUM(Matrix_Bobot!$B19:$AI19))</f>
        <v>0</v>
      </c>
      <c r="N19" s="30">
        <f>IF(SUM(Matrix_Bobot!$B19:$AI19)=0,0,Matrix_Bobot!N19/SUM(Matrix_Bobot!$B19:$AI19))</f>
        <v>0</v>
      </c>
      <c r="O19" s="30">
        <f>IF(SUM(Matrix_Bobot!$B19:$AI19)=0,0,Matrix_Bobot!O19/SUM(Matrix_Bobot!$B19:$AI19))</f>
        <v>0</v>
      </c>
      <c r="P19" s="30">
        <f>IF(SUM(Matrix_Bobot!$B19:$AI19)=0,0,Matrix_Bobot!P19/SUM(Matrix_Bobot!$B19:$AI19))</f>
        <v>0</v>
      </c>
      <c r="Q19" s="28">
        <f>IF(SUM(Matrix_Bobot!$B19:$AI19)=0,0,Matrix_Bobot!Q19/SUM(Matrix_Bobot!$B19:$AI19))</f>
        <v>0</v>
      </c>
      <c r="R19" s="30">
        <f>IF(SUM(Matrix_Bobot!$B19:$AI19)=0,0,Matrix_Bobot!R19/SUM(Matrix_Bobot!$B19:$AI19))</f>
        <v>0</v>
      </c>
      <c r="S19" s="30">
        <f>IF(SUM(Matrix_Bobot!$B19:$AI19)=0,0,Matrix_Bobot!S19/SUM(Matrix_Bobot!$B19:$AI19))</f>
        <v>0</v>
      </c>
      <c r="T19" s="30">
        <f>IF(SUM(Matrix_Bobot!$B19:$AI19)=0,0,Matrix_Bobot!T19/SUM(Matrix_Bobot!$B19:$AI19))</f>
        <v>0</v>
      </c>
      <c r="U19" s="30">
        <f>IF(SUM(Matrix_Bobot!$B19:$AI19)=0,0,Matrix_Bobot!U19/SUM(Matrix_Bobot!$B19:$AI19))</f>
        <v>0</v>
      </c>
      <c r="V19" s="30">
        <f>IF(SUM(Matrix_Bobot!$B19:$AI19)=0,0,Matrix_Bobot!V19/SUM(Matrix_Bobot!$B19:$AI19))</f>
        <v>0</v>
      </c>
      <c r="W19" s="30">
        <f>IF(SUM(Matrix_Bobot!$B19:$AI19)=0,0,Matrix_Bobot!W19/SUM(Matrix_Bobot!$B19:$AI19))</f>
        <v>0</v>
      </c>
      <c r="X19" s="30">
        <f>IF(SUM(Matrix_Bobot!$B19:$AI19)=0,0,Matrix_Bobot!X19/SUM(Matrix_Bobot!$B19:$AI19))</f>
        <v>0</v>
      </c>
      <c r="Y19" s="30">
        <f>IF(SUM(Matrix_Bobot!$B19:$AI19)=0,0,Matrix_Bobot!Y19/SUM(Matrix_Bobot!$B19:$AI19))</f>
        <v>0</v>
      </c>
      <c r="Z19" s="30">
        <f>IF(SUM(Matrix_Bobot!$B19:$AI19)=0,0,Matrix_Bobot!Z19/SUM(Matrix_Bobot!$B19:$AI19))</f>
        <v>0</v>
      </c>
      <c r="AA19" s="30">
        <f>IF(SUM(Matrix_Bobot!$B19:$AI19)=0,0,Matrix_Bobot!AA19/SUM(Matrix_Bobot!$B19:$AI19))</f>
        <v>0</v>
      </c>
      <c r="AB19" s="30">
        <f>IF(SUM(Matrix_Bobot!$B19:$AI19)=0,0,Matrix_Bobot!AB19/SUM(Matrix_Bobot!$B19:$AI19))</f>
        <v>0</v>
      </c>
      <c r="AC19" s="30">
        <f>IF(SUM(Matrix_Bobot!$B19:$AI19)=0,0,Matrix_Bobot!AC19/SUM(Matrix_Bobot!$B19:$AI19))</f>
        <v>0</v>
      </c>
      <c r="AD19" s="30">
        <f>IF(SUM(Matrix_Bobot!$B19:$AI19)=0,0,Matrix_Bobot!AD19/SUM(Matrix_Bobot!$B19:$AI19))</f>
        <v>0</v>
      </c>
      <c r="AE19" s="30">
        <f>IF(SUM(Matrix_Bobot!$B19:$AI19)=0,0,Matrix_Bobot!AE19/SUM(Matrix_Bobot!$B19:$AI19))</f>
        <v>0</v>
      </c>
      <c r="AF19" s="30">
        <f>IF(SUM(Matrix_Bobot!$B19:$AI19)=0,0,Matrix_Bobot!AF19/SUM(Matrix_Bobot!$B19:$AI19))</f>
        <v>0</v>
      </c>
      <c r="AG19" s="30">
        <f>IF(SUM(Matrix_Bobot!$B19:$AI19)=0,0,Matrix_Bobot!AG19/SUM(Matrix_Bobot!$B19:$AI19))</f>
        <v>0</v>
      </c>
      <c r="AH19" s="30">
        <f>IF(SUM(Matrix_Bobot!$B19:$AI19)=0,0,Matrix_Bobot!AH19/SUM(Matrix_Bobot!$B19:$AI19))</f>
        <v>0</v>
      </c>
      <c r="AI19" s="30">
        <f>IF(SUM(Matrix_Bobot!$B19:$AI19)=0,0,Matrix_Bobot!AI19/SUM(Matrix_Bobot!$B19:$AI19))</f>
        <v>0</v>
      </c>
      <c r="AJ19" s="33">
        <f t="shared" si="1"/>
        <v>0</v>
      </c>
    </row>
    <row r="20" ht="14.25" customHeight="1">
      <c r="A20" s="22" t="s">
        <v>49</v>
      </c>
      <c r="B20" s="30">
        <f>IF(SUM(Matrix_Bobot!$B20:$AI20)=0,0,Matrix_Bobot!B20/SUM(Matrix_Bobot!$B20:$AI20))</f>
        <v>0.007450895765</v>
      </c>
      <c r="C20" s="30">
        <f>IF(SUM(Matrix_Bobot!$B20:$AI20)=0,0,Matrix_Bobot!C20/SUM(Matrix_Bobot!$B20:$AI20))</f>
        <v>0.00876716784</v>
      </c>
      <c r="D20" s="30">
        <f>IF(SUM(Matrix_Bobot!$B20:$AI20)=0,0,Matrix_Bobot!D20/SUM(Matrix_Bobot!$B20:$AI20))</f>
        <v>0.009212654011</v>
      </c>
      <c r="E20" s="30">
        <f>IF(SUM(Matrix_Bobot!$B20:$AI20)=0,0,Matrix_Bobot!E20/SUM(Matrix_Bobot!$B20:$AI20))</f>
        <v>0.009705836774</v>
      </c>
      <c r="F20" s="30">
        <f>IF(SUM(Matrix_Bobot!$B20:$AI20)=0,0,Matrix_Bobot!F20/SUM(Matrix_Bobot!$B20:$AI20))</f>
        <v>0.01313804572</v>
      </c>
      <c r="G20" s="30">
        <f>IF(SUM(Matrix_Bobot!$B20:$AI20)=0,0,Matrix_Bobot!G20/SUM(Matrix_Bobot!$B20:$AI20))</f>
        <v>0.01133156443</v>
      </c>
      <c r="H20" s="30">
        <f>IF(SUM(Matrix_Bobot!$B20:$AI20)=0,0,Matrix_Bobot!H20/SUM(Matrix_Bobot!$B20:$AI20))</f>
        <v>0.0111093769</v>
      </c>
      <c r="I20" s="30">
        <f>IF(SUM(Matrix_Bobot!$B20:$AI20)=0,0,Matrix_Bobot!I20/SUM(Matrix_Bobot!$B20:$AI20))</f>
        <v>0.01295035935</v>
      </c>
      <c r="J20" s="30">
        <f>IF(SUM(Matrix_Bobot!$B20:$AI20)=0,0,Matrix_Bobot!J20/SUM(Matrix_Bobot!$B20:$AI20))</f>
        <v>0.01133156443</v>
      </c>
      <c r="K20" s="30">
        <f>IF(SUM(Matrix_Bobot!$B20:$AI20)=0,0,Matrix_Bobot!K20/SUM(Matrix_Bobot!$B20:$AI20))</f>
        <v>0.009218706129</v>
      </c>
      <c r="L20" s="30">
        <f>IF(SUM(Matrix_Bobot!$B20:$AI20)=0,0,Matrix_Bobot!L20/SUM(Matrix_Bobot!$B20:$AI20))</f>
        <v>0.0495368937</v>
      </c>
      <c r="M20" s="30">
        <f>IF(SUM(Matrix_Bobot!$B20:$AI20)=0,0,Matrix_Bobot!M20/SUM(Matrix_Bobot!$B20:$AI20))</f>
        <v>0.05180143741</v>
      </c>
      <c r="N20" s="30">
        <f>IF(SUM(Matrix_Bobot!$B20:$AI20)=0,0,Matrix_Bobot!N20/SUM(Matrix_Bobot!$B20:$AI20))</f>
        <v>0.07252201237</v>
      </c>
      <c r="O20" s="30">
        <f>IF(SUM(Matrix_Bobot!$B20:$AI20)=0,0,Matrix_Bobot!O20/SUM(Matrix_Bobot!$B20:$AI20))</f>
        <v>0.06383979962</v>
      </c>
      <c r="P20" s="30">
        <f>IF(SUM(Matrix_Bobot!$B20:$AI20)=0,0,Matrix_Bobot!P20/SUM(Matrix_Bobot!$B20:$AI20))</f>
        <v>0.09065251547</v>
      </c>
      <c r="Q20" s="30">
        <f>IF(SUM(Matrix_Bobot!$B20:$AI20)=0,0,Matrix_Bobot!Q20/SUM(Matrix_Bobot!$B20:$AI20))</f>
        <v>0</v>
      </c>
      <c r="R20" s="28">
        <f>IF(SUM(Matrix_Bobot!$B20:$AI20)=0,0,Matrix_Bobot!R20/SUM(Matrix_Bobot!$B20:$AI20))</f>
        <v>0</v>
      </c>
      <c r="S20" s="30">
        <f>IF(SUM(Matrix_Bobot!$B20:$AI20)=0,0,Matrix_Bobot!S20/SUM(Matrix_Bobot!$B20:$AI20))</f>
        <v>0.1361148881</v>
      </c>
      <c r="T20" s="30">
        <f>IF(SUM(Matrix_Bobot!$B20:$AI20)=0,0,Matrix_Bobot!T20/SUM(Matrix_Bobot!$B20:$AI20))</f>
        <v>0.08368181987</v>
      </c>
      <c r="U20" s="30">
        <f>IF(SUM(Matrix_Bobot!$B20:$AI20)=0,0,Matrix_Bobot!U20/SUM(Matrix_Bobot!$B20:$AI20))</f>
        <v>0.04352017065</v>
      </c>
      <c r="V20" s="30">
        <f>IF(SUM(Matrix_Bobot!$B20:$AI20)=0,0,Matrix_Bobot!V20/SUM(Matrix_Bobot!$B20:$AI20))</f>
        <v>0.01554398413</v>
      </c>
      <c r="W20" s="30">
        <f>IF(SUM(Matrix_Bobot!$B20:$AI20)=0,0,Matrix_Bobot!W20/SUM(Matrix_Bobot!$B20:$AI20))</f>
        <v>0.06043501031</v>
      </c>
      <c r="X20" s="30">
        <f>IF(SUM(Matrix_Bobot!$B20:$AI20)=0,0,Matrix_Bobot!X20/SUM(Matrix_Bobot!$B20:$AI20))</f>
        <v>0.05180143741</v>
      </c>
      <c r="Y20" s="30">
        <f>IF(SUM(Matrix_Bobot!$B20:$AI20)=0,0,Matrix_Bobot!Y20/SUM(Matrix_Bobot!$B20:$AI20))</f>
        <v>0.007661639238</v>
      </c>
      <c r="Z20" s="30">
        <f>IF(SUM(Matrix_Bobot!$B20:$AI20)=0,0,Matrix_Bobot!Z20/SUM(Matrix_Bobot!$B20:$AI20))</f>
        <v>0.03626100619</v>
      </c>
      <c r="AA20" s="30">
        <f>IF(SUM(Matrix_Bobot!$B20:$AI20)=0,0,Matrix_Bobot!AA20/SUM(Matrix_Bobot!$B20:$AI20))</f>
        <v>0.01088004266</v>
      </c>
      <c r="AB20" s="30">
        <f>IF(SUM(Matrix_Bobot!$B20:$AI20)=0,0,Matrix_Bobot!AB20/SUM(Matrix_Bobot!$B20:$AI20))</f>
        <v>0.06815978607</v>
      </c>
      <c r="AC20" s="30">
        <f>IF(SUM(Matrix_Bobot!$B20:$AI20)=0,0,Matrix_Bobot!AC20/SUM(Matrix_Bobot!$B20:$AI20))</f>
        <v>0.00937849322</v>
      </c>
      <c r="AD20" s="30">
        <f>IF(SUM(Matrix_Bobot!$B20:$AI20)=0,0,Matrix_Bobot!AD20/SUM(Matrix_Bobot!$B20:$AI20))</f>
        <v>0.006325182491</v>
      </c>
      <c r="AE20" s="30">
        <f>IF(SUM(Matrix_Bobot!$B20:$AI20)=0,0,Matrix_Bobot!AE20/SUM(Matrix_Bobot!$B20:$AI20))</f>
        <v>0.008773956201</v>
      </c>
      <c r="AF20" s="30">
        <f>IF(SUM(Matrix_Bobot!$B20:$AI20)=0,0,Matrix_Bobot!AF20/SUM(Matrix_Bobot!$B20:$AI20))</f>
        <v>0.00663343447</v>
      </c>
      <c r="AG20" s="30">
        <f>IF(SUM(Matrix_Bobot!$B20:$AI20)=0,0,Matrix_Bobot!AG20/SUM(Matrix_Bobot!$B20:$AI20))</f>
        <v>0.007770659649</v>
      </c>
      <c r="AH20" s="30">
        <f>IF(SUM(Matrix_Bobot!$B20:$AI20)=0,0,Matrix_Bobot!AH20/SUM(Matrix_Bobot!$B20:$AI20))</f>
        <v>0.006715001146</v>
      </c>
      <c r="AI20" s="30">
        <f>IF(SUM(Matrix_Bobot!$B20:$AI20)=0,0,Matrix_Bobot!AI20/SUM(Matrix_Bobot!$B20:$AI20))</f>
        <v>0.007774658273</v>
      </c>
      <c r="AJ20" s="33">
        <f t="shared" si="1"/>
        <v>1</v>
      </c>
    </row>
    <row r="21" ht="14.25" customHeight="1">
      <c r="A21" s="22" t="s">
        <v>52</v>
      </c>
      <c r="B21" s="30">
        <f>IF(SUM(Matrix_Bobot!$B21:$AI21)=0,0,Matrix_Bobot!B21/SUM(Matrix_Bobot!$B21:$AI21))</f>
        <v>0.00807076997</v>
      </c>
      <c r="C21" s="30">
        <f>IF(SUM(Matrix_Bobot!$B21:$AI21)=0,0,Matrix_Bobot!C21/SUM(Matrix_Bobot!$B21:$AI21))</f>
        <v>0.01137244859</v>
      </c>
      <c r="D21" s="30">
        <f>IF(SUM(Matrix_Bobot!$B21:$AI21)=0,0,Matrix_Bobot!D21/SUM(Matrix_Bobot!$B21:$AI21))</f>
        <v>0.0117351721</v>
      </c>
      <c r="E21" s="30">
        <f>IF(SUM(Matrix_Bobot!$B21:$AI21)=0,0,Matrix_Bobot!E21/SUM(Matrix_Bobot!$B21:$AI21))</f>
        <v>0.01294999322</v>
      </c>
      <c r="F21" s="30">
        <f>IF(SUM(Matrix_Bobot!$B21:$AI21)=0,0,Matrix_Bobot!F21/SUM(Matrix_Bobot!$B21:$AI21))</f>
        <v>0.01389965939</v>
      </c>
      <c r="G21" s="30">
        <f>IF(SUM(Matrix_Bobot!$B21:$AI21)=0,0,Matrix_Bobot!G21/SUM(Matrix_Bobot!$B21:$AI21))</f>
        <v>0.01209834957</v>
      </c>
      <c r="H21" s="30">
        <f>IF(SUM(Matrix_Bobot!$B21:$AI21)=0,0,Matrix_Bobot!H21/SUM(Matrix_Bobot!$B21:$AI21))</f>
        <v>0.01137244859</v>
      </c>
      <c r="I21" s="30">
        <f>IF(SUM(Matrix_Bobot!$B21:$AI21)=0,0,Matrix_Bobot!I21/SUM(Matrix_Bobot!$B21:$AI21))</f>
        <v>0.01595624165</v>
      </c>
      <c r="J21" s="30">
        <f>IF(SUM(Matrix_Bobot!$B21:$AI21)=0,0,Matrix_Bobot!J21/SUM(Matrix_Bobot!$B21:$AI21))</f>
        <v>0.01365687058</v>
      </c>
      <c r="K21" s="30">
        <f>IF(SUM(Matrix_Bobot!$B21:$AI21)=0,0,Matrix_Bobot!K21/SUM(Matrix_Bobot!$B21:$AI21))</f>
        <v>0.01415123694</v>
      </c>
      <c r="L21" s="30">
        <f>IF(SUM(Matrix_Bobot!$B21:$AI21)=0,0,Matrix_Bobot!L21/SUM(Matrix_Bobot!$B21:$AI21))</f>
        <v>0.06254846727</v>
      </c>
      <c r="M21" s="30">
        <f>IF(SUM(Matrix_Bobot!$B21:$AI21)=0,0,Matrix_Bobot!M21/SUM(Matrix_Bobot!$B21:$AI21))</f>
        <v>0.01143482034</v>
      </c>
      <c r="N21" s="30">
        <f>IF(SUM(Matrix_Bobot!$B21:$AI21)=0,0,Matrix_Bobot!N21/SUM(Matrix_Bobot!$B21:$AI21))</f>
        <v>0.0163311925</v>
      </c>
      <c r="O21" s="30">
        <f>IF(SUM(Matrix_Bobot!$B21:$AI21)=0,0,Matrix_Bobot!O21/SUM(Matrix_Bobot!$B21:$AI21))</f>
        <v>0.08339795636</v>
      </c>
      <c r="P21" s="30">
        <f>IF(SUM(Matrix_Bobot!$B21:$AI21)=0,0,Matrix_Bobot!P21/SUM(Matrix_Bobot!$B21:$AI21))</f>
        <v>0.1155096348</v>
      </c>
      <c r="Q21" s="30">
        <f>IF(SUM(Matrix_Bobot!$B21:$AI21)=0,0,Matrix_Bobot!Q21/SUM(Matrix_Bobot!$B21:$AI21))</f>
        <v>0</v>
      </c>
      <c r="R21" s="30">
        <f>IF(SUM(Matrix_Bobot!$B21:$AI21)=0,0,Matrix_Bobot!R21/SUM(Matrix_Bobot!$B21:$AI21))</f>
        <v>0.187833235</v>
      </c>
      <c r="S21" s="28">
        <f>IF(SUM(Matrix_Bobot!$B21:$AI21)=0,0,Matrix_Bobot!S21/SUM(Matrix_Bobot!$B21:$AI21))</f>
        <v>0</v>
      </c>
      <c r="T21" s="30">
        <f>IF(SUM(Matrix_Bobot!$B21:$AI21)=0,0,Matrix_Bobot!T21/SUM(Matrix_Bobot!$B21:$AI21))</f>
        <v>0.1000775476</v>
      </c>
      <c r="U21" s="30">
        <f>IF(SUM(Matrix_Bobot!$B21:$AI21)=0,0,Matrix_Bobot!U21/SUM(Matrix_Bobot!$B21:$AI21))</f>
        <v>0.01272344737</v>
      </c>
      <c r="V21" s="30">
        <f>IF(SUM(Matrix_Bobot!$B21:$AI21)=0,0,Matrix_Bobot!V21/SUM(Matrix_Bobot!$B21:$AI21))</f>
        <v>0.01191399377</v>
      </c>
      <c r="W21" s="30">
        <f>IF(SUM(Matrix_Bobot!$B21:$AI21)=0,0,Matrix_Bobot!W21/SUM(Matrix_Bobot!$B21:$AI21))</f>
        <v>0.02145009166</v>
      </c>
      <c r="X21" s="30">
        <f>IF(SUM(Matrix_Bobot!$B21:$AI21)=0,0,Matrix_Bobot!X21/SUM(Matrix_Bobot!$B21:$AI21))</f>
        <v>0.07901025361</v>
      </c>
      <c r="Y21" s="30">
        <f>IF(SUM(Matrix_Bobot!$B21:$AI21)=0,0,Matrix_Bobot!Y21/SUM(Matrix_Bobot!$B21:$AI21))</f>
        <v>0.007900925557</v>
      </c>
      <c r="Z21" s="30">
        <f>IF(SUM(Matrix_Bobot!$B21:$AI21)=0,0,Matrix_Bobot!Z21/SUM(Matrix_Bobot!$B21:$AI21))</f>
        <v>0.01563711682</v>
      </c>
      <c r="AA21" s="30">
        <f>IF(SUM(Matrix_Bobot!$B21:$AI21)=0,0,Matrix_Bobot!AA21/SUM(Matrix_Bobot!$B21:$AI21))</f>
        <v>0.006177626397</v>
      </c>
      <c r="AB21" s="30">
        <f>IF(SUM(Matrix_Bobot!$B21:$AI21)=0,0,Matrix_Bobot!AB21/SUM(Matrix_Bobot!$B21:$AI21))</f>
        <v>0.1072872509</v>
      </c>
      <c r="AC21" s="30">
        <f>IF(SUM(Matrix_Bobot!$B21:$AI21)=0,0,Matrix_Bobot!AC21/SUM(Matrix_Bobot!$B21:$AI21))</f>
        <v>0.009266439595</v>
      </c>
      <c r="AD21" s="30">
        <f>IF(SUM(Matrix_Bobot!$B21:$AI21)=0,0,Matrix_Bobot!AD21/SUM(Matrix_Bobot!$B21:$AI21))</f>
        <v>0.005106414178</v>
      </c>
      <c r="AE21" s="30">
        <f>IF(SUM(Matrix_Bobot!$B21:$AI21)=0,0,Matrix_Bobot!AE21/SUM(Matrix_Bobot!$B21:$AI21))</f>
        <v>0.004858152247</v>
      </c>
      <c r="AF21" s="30">
        <f>IF(SUM(Matrix_Bobot!$B21:$AI21)=0,0,Matrix_Bobot!AF21/SUM(Matrix_Bobot!$B21:$AI21))</f>
        <v>0.004507997641</v>
      </c>
      <c r="AG21" s="30">
        <f>IF(SUM(Matrix_Bobot!$B21:$AI21)=0,0,Matrix_Bobot!AG21/SUM(Matrix_Bobot!$B21:$AI21))</f>
        <v>0.004469343856</v>
      </c>
      <c r="AH21" s="30">
        <f>IF(SUM(Matrix_Bobot!$B21:$AI21)=0,0,Matrix_Bobot!AH21/SUM(Matrix_Bobot!$B21:$AI21))</f>
        <v>0.003474914848</v>
      </c>
      <c r="AI21" s="30">
        <f>IF(SUM(Matrix_Bobot!$B21:$AI21)=0,0,Matrix_Bobot!AI21/SUM(Matrix_Bobot!$B21:$AI21))</f>
        <v>0.003819987008</v>
      </c>
      <c r="AJ21" s="33">
        <f t="shared" si="1"/>
        <v>1</v>
      </c>
    </row>
    <row r="22" ht="14.25" customHeight="1">
      <c r="A22" s="22" t="s">
        <v>55</v>
      </c>
      <c r="B22" s="30">
        <f>IF(SUM(Matrix_Bobot!$B22:$AI22)=0,0,Matrix_Bobot!B22/SUM(Matrix_Bobot!$B22:$AI22))</f>
        <v>0.007869617237</v>
      </c>
      <c r="C22" s="30">
        <f>IF(SUM(Matrix_Bobot!$B22:$AI22)=0,0,Matrix_Bobot!C22/SUM(Matrix_Bobot!$B22:$AI22))</f>
        <v>0.009479135807</v>
      </c>
      <c r="D22" s="30">
        <f>IF(SUM(Matrix_Bobot!$B22:$AI22)=0,0,Matrix_Bobot!D22/SUM(Matrix_Bobot!$B22:$AI22))</f>
        <v>0.01080749004</v>
      </c>
      <c r="E22" s="30">
        <f>IF(SUM(Matrix_Bobot!$B22:$AI22)=0,0,Matrix_Bobot!E22/SUM(Matrix_Bobot!$B22:$AI22))</f>
        <v>0.01361621626</v>
      </c>
      <c r="F22" s="30">
        <f>IF(SUM(Matrix_Bobot!$B22:$AI22)=0,0,Matrix_Bobot!F22/SUM(Matrix_Bobot!$B22:$AI22))</f>
        <v>0.01344530142</v>
      </c>
      <c r="G22" s="30">
        <f>IF(SUM(Matrix_Bobot!$B22:$AI22)=0,0,Matrix_Bobot!G22/SUM(Matrix_Bobot!$B22:$AI22))</f>
        <v>0.01123575888</v>
      </c>
      <c r="H22" s="30">
        <f>IF(SUM(Matrix_Bobot!$B22:$AI22)=0,0,Matrix_Bobot!H22/SUM(Matrix_Bobot!$B22:$AI22))</f>
        <v>0.008864626313</v>
      </c>
      <c r="I22" s="30">
        <f>IF(SUM(Matrix_Bobot!$B22:$AI22)=0,0,Matrix_Bobot!I22/SUM(Matrix_Bobot!$B22:$AI22))</f>
        <v>0.008087484157</v>
      </c>
      <c r="J22" s="30">
        <f>IF(SUM(Matrix_Bobot!$B22:$AI22)=0,0,Matrix_Bobot!J22/SUM(Matrix_Bobot!$B22:$AI22))</f>
        <v>0.00907320576</v>
      </c>
      <c r="K22" s="30">
        <f>IF(SUM(Matrix_Bobot!$B22:$AI22)=0,0,Matrix_Bobot!K22/SUM(Matrix_Bobot!$B22:$AI22))</f>
        <v>0.01361621626</v>
      </c>
      <c r="L22" s="30">
        <f>IF(SUM(Matrix_Bobot!$B22:$AI22)=0,0,Matrix_Bobot!L22/SUM(Matrix_Bobot!$B22:$AI22))</f>
        <v>0.08569138769</v>
      </c>
      <c r="M22" s="30">
        <f>IF(SUM(Matrix_Bobot!$B22:$AI22)=0,0,Matrix_Bobot!M22/SUM(Matrix_Bobot!$B22:$AI22))</f>
        <v>0.01606713519</v>
      </c>
      <c r="N22" s="30">
        <f>IF(SUM(Matrix_Bobot!$B22:$AI22)=0,0,Matrix_Bobot!N22/SUM(Matrix_Bobot!$B22:$AI22))</f>
        <v>0.01995917415</v>
      </c>
      <c r="O22" s="30">
        <f>IF(SUM(Matrix_Bobot!$B22:$AI22)=0,0,Matrix_Bobot!O22/SUM(Matrix_Bobot!$B22:$AI22))</f>
        <v>0.01959406731</v>
      </c>
      <c r="P22" s="30">
        <f>IF(SUM(Matrix_Bobot!$B22:$AI22)=0,0,Matrix_Bobot!P22/SUM(Matrix_Bobot!$B22:$AI22))</f>
        <v>0.1285370815</v>
      </c>
      <c r="Q22" s="30">
        <f>IF(SUM(Matrix_Bobot!$B22:$AI22)=0,0,Matrix_Bobot!Q22/SUM(Matrix_Bobot!$B22:$AI22))</f>
        <v>0</v>
      </c>
      <c r="R22" s="30">
        <f>IF(SUM(Matrix_Bobot!$B22:$AI22)=0,0,Matrix_Bobot!R22/SUM(Matrix_Bobot!$B22:$AI22))</f>
        <v>0.1779798969</v>
      </c>
      <c r="S22" s="30">
        <f>IF(SUM(Matrix_Bobot!$B22:$AI22)=0,0,Matrix_Bobot!S22/SUM(Matrix_Bobot!$B22:$AI22))</f>
        <v>0.1542444978</v>
      </c>
      <c r="T22" s="28">
        <f>IF(SUM(Matrix_Bobot!$B22:$AI22)=0,0,Matrix_Bobot!T22/SUM(Matrix_Bobot!$B22:$AI22))</f>
        <v>0</v>
      </c>
      <c r="U22" s="30">
        <f>IF(SUM(Matrix_Bobot!$B22:$AI22)=0,0,Matrix_Bobot!U22/SUM(Matrix_Bobot!$B22:$AI22))</f>
        <v>0.02103349359</v>
      </c>
      <c r="V22" s="30">
        <f>IF(SUM(Matrix_Bobot!$B22:$AI22)=0,0,Matrix_Bobot!V22/SUM(Matrix_Bobot!$B22:$AI22))</f>
        <v>0.007635926713</v>
      </c>
      <c r="W22" s="30">
        <f>IF(SUM(Matrix_Bobot!$B22:$AI22)=0,0,Matrix_Bobot!W22/SUM(Matrix_Bobot!$B22:$AI22))</f>
        <v>0.01836244022</v>
      </c>
      <c r="X22" s="30">
        <f>IF(SUM(Matrix_Bobot!$B22:$AI22)=0,0,Matrix_Bobot!X22/SUM(Matrix_Bobot!$B22:$AI22))</f>
        <v>0.02570741631</v>
      </c>
      <c r="Y22" s="30">
        <f>IF(SUM(Matrix_Bobot!$B22:$AI22)=0,0,Matrix_Bobot!Y22/SUM(Matrix_Bobot!$B22:$AI22))</f>
        <v>0.006426854077</v>
      </c>
      <c r="Z22" s="30">
        <f>IF(SUM(Matrix_Bobot!$B22:$AI22)=0,0,Matrix_Bobot!Z22/SUM(Matrix_Bobot!$B22:$AI22))</f>
        <v>0.01483120172</v>
      </c>
      <c r="AA22" s="30">
        <f>IF(SUM(Matrix_Bobot!$B22:$AI22)=0,0,Matrix_Bobot!AA22/SUM(Matrix_Bobot!$B22:$AI22))</f>
        <v>0.005141483261</v>
      </c>
      <c r="AB22" s="30">
        <f>IF(SUM(Matrix_Bobot!$B22:$AI22)=0,0,Matrix_Bobot!AB22/SUM(Matrix_Bobot!$B22:$AI22))</f>
        <v>0.1157296652</v>
      </c>
      <c r="AC22" s="30">
        <f>IF(SUM(Matrix_Bobot!$B22:$AI22)=0,0,Matrix_Bobot!AC22/SUM(Matrix_Bobot!$B22:$AI22))</f>
        <v>0.02894979314</v>
      </c>
      <c r="AD22" s="30">
        <f>IF(SUM(Matrix_Bobot!$B22:$AI22)=0,0,Matrix_Bobot!AD22/SUM(Matrix_Bobot!$B22:$AI22))</f>
        <v>0.00332480811</v>
      </c>
      <c r="AE22" s="30">
        <f>IF(SUM(Matrix_Bobot!$B22:$AI22)=0,0,Matrix_Bobot!AE22/SUM(Matrix_Bobot!$B22:$AI22))</f>
        <v>0.00332480811</v>
      </c>
      <c r="AF22" s="30">
        <f>IF(SUM(Matrix_Bobot!$B22:$AI22)=0,0,Matrix_Bobot!AF22/SUM(Matrix_Bobot!$B22:$AI22))</f>
        <v>0.006170174805</v>
      </c>
      <c r="AG22" s="30">
        <f>IF(SUM(Matrix_Bobot!$B22:$AI22)=0,0,Matrix_Bobot!AG22/SUM(Matrix_Bobot!$B22:$AI22))</f>
        <v>0.01836244022</v>
      </c>
      <c r="AH22" s="30">
        <f>IF(SUM(Matrix_Bobot!$B22:$AI22)=0,0,Matrix_Bobot!AH22/SUM(Matrix_Bobot!$B22:$AI22))</f>
        <v>0.008508632935</v>
      </c>
      <c r="AI22" s="30">
        <f>IF(SUM(Matrix_Bobot!$B22:$AI22)=0,0,Matrix_Bobot!AI22/SUM(Matrix_Bobot!$B22:$AI22))</f>
        <v>0.008322568798</v>
      </c>
      <c r="AJ22" s="33">
        <f t="shared" si="1"/>
        <v>1</v>
      </c>
    </row>
    <row r="23" ht="14.25" customHeight="1">
      <c r="A23" s="22" t="s">
        <v>58</v>
      </c>
      <c r="B23" s="30">
        <f>IF(SUM(Matrix_Bobot!$B23:$AI23)=0,0,Matrix_Bobot!B23/SUM(Matrix_Bobot!$B23:$AI23))</f>
        <v>0.01362119863</v>
      </c>
      <c r="C23" s="30">
        <f>IF(SUM(Matrix_Bobot!$B23:$AI23)=0,0,Matrix_Bobot!C23/SUM(Matrix_Bobot!$B23:$AI23))</f>
        <v>0.01730175345</v>
      </c>
      <c r="D23" s="30">
        <f>IF(SUM(Matrix_Bobot!$B23:$AI23)=0,0,Matrix_Bobot!D23/SUM(Matrix_Bobot!$B23:$AI23))</f>
        <v>0.01762743352</v>
      </c>
      <c r="E23" s="30">
        <f>IF(SUM(Matrix_Bobot!$B23:$AI23)=0,0,Matrix_Bobot!E23/SUM(Matrix_Bobot!$B23:$AI23))</f>
        <v>0.01551068167</v>
      </c>
      <c r="F23" s="30">
        <f>IF(SUM(Matrix_Bobot!$B23:$AI23)=0,0,Matrix_Bobot!F23/SUM(Matrix_Bobot!$B23:$AI23))</f>
        <v>0.01911137563</v>
      </c>
      <c r="G23" s="30">
        <f>IF(SUM(Matrix_Bobot!$B23:$AI23)=0,0,Matrix_Bobot!G23/SUM(Matrix_Bobot!$B23:$AI23))</f>
        <v>0.019560468</v>
      </c>
      <c r="H23" s="30">
        <f>IF(SUM(Matrix_Bobot!$B23:$AI23)=0,0,Matrix_Bobot!H23/SUM(Matrix_Bobot!$B23:$AI23))</f>
        <v>0.01997775799</v>
      </c>
      <c r="I23" s="30">
        <f>IF(SUM(Matrix_Bobot!$B23:$AI23)=0,0,Matrix_Bobot!I23/SUM(Matrix_Bobot!$B23:$AI23))</f>
        <v>0.02363299446</v>
      </c>
      <c r="J23" s="30">
        <f>IF(SUM(Matrix_Bobot!$B23:$AI23)=0,0,Matrix_Bobot!J23/SUM(Matrix_Bobot!$B23:$AI23))</f>
        <v>0.02497219748</v>
      </c>
      <c r="K23" s="30">
        <f>IF(SUM(Matrix_Bobot!$B23:$AI23)=0,0,Matrix_Bobot!K23/SUM(Matrix_Bobot!$B23:$AI23))</f>
        <v>0.1198665479</v>
      </c>
      <c r="L23" s="30">
        <f>IF(SUM(Matrix_Bobot!$B23:$AI23)=0,0,Matrix_Bobot!L23/SUM(Matrix_Bobot!$B23:$AI23))</f>
        <v>0.1055163274</v>
      </c>
      <c r="M23" s="30">
        <f>IF(SUM(Matrix_Bobot!$B23:$AI23)=0,0,Matrix_Bobot!M23/SUM(Matrix_Bobot!$B23:$AI23))</f>
        <v>0.002663701065</v>
      </c>
      <c r="N23" s="30">
        <f>IF(SUM(Matrix_Bobot!$B23:$AI23)=0,0,Matrix_Bobot!N23/SUM(Matrix_Bobot!$B23:$AI23))</f>
        <v>0.09988878994</v>
      </c>
      <c r="O23" s="30">
        <f>IF(SUM(Matrix_Bobot!$B23:$AI23)=0,0,Matrix_Bobot!O23/SUM(Matrix_Bobot!$B23:$AI23))</f>
        <v>0.08187605733</v>
      </c>
      <c r="P23" s="30">
        <f>IF(SUM(Matrix_Bobot!$B23:$AI23)=0,0,Matrix_Bobot!P23/SUM(Matrix_Bobot!$B23:$AI23))</f>
        <v>0.08972047</v>
      </c>
      <c r="Q23" s="30">
        <f>IF(SUM(Matrix_Bobot!$B23:$AI23)=0,0,Matrix_Bobot!Q23/SUM(Matrix_Bobot!$B23:$AI23))</f>
        <v>0</v>
      </c>
      <c r="R23" s="30">
        <f>IF(SUM(Matrix_Bobot!$B23:$AI23)=0,0,Matrix_Bobot!R23/SUM(Matrix_Bobot!$B23:$AI23))</f>
        <v>0.07193143779</v>
      </c>
      <c r="S23" s="30">
        <f>IF(SUM(Matrix_Bobot!$B23:$AI23)=0,0,Matrix_Bobot!S23/SUM(Matrix_Bobot!$B23:$AI23))</f>
        <v>0.01523933939</v>
      </c>
      <c r="T23" s="30">
        <f>IF(SUM(Matrix_Bobot!$B23:$AI23)=0,0,Matrix_Bobot!T23/SUM(Matrix_Bobot!$B23:$AI23))</f>
        <v>0.01634555723</v>
      </c>
      <c r="U23" s="28">
        <f>IF(SUM(Matrix_Bobot!$B23:$AI23)=0,0,Matrix_Bobot!U23/SUM(Matrix_Bobot!$B23:$AI23))</f>
        <v>0</v>
      </c>
      <c r="V23" s="30">
        <f>IF(SUM(Matrix_Bobot!$B23:$AI23)=0,0,Matrix_Bobot!V23/SUM(Matrix_Bobot!$B23:$AI23))</f>
        <v>0.01834707037</v>
      </c>
      <c r="W23" s="30">
        <f>IF(SUM(Matrix_Bobot!$B23:$AI23)=0,0,Matrix_Bobot!W23/SUM(Matrix_Bobot!$B23:$AI23))</f>
        <v>0.01730175345</v>
      </c>
      <c r="X23" s="30">
        <f>IF(SUM(Matrix_Bobot!$B23:$AI23)=0,0,Matrix_Bobot!X23/SUM(Matrix_Bobot!$B23:$AI23))</f>
        <v>0.09463347749</v>
      </c>
      <c r="Y23" s="30">
        <f>IF(SUM(Matrix_Bobot!$B23:$AI23)=0,0,Matrix_Bobot!Y23/SUM(Matrix_Bobot!$B23:$AI23))</f>
        <v>0.01405564586</v>
      </c>
      <c r="Z23" s="30">
        <f>IF(SUM(Matrix_Bobot!$B23:$AI23)=0,0,Matrix_Bobot!Z23/SUM(Matrix_Bobot!$B23:$AI23))</f>
        <v>0.009666657091</v>
      </c>
      <c r="AA23" s="30">
        <f>IF(SUM(Matrix_Bobot!$B23:$AI23)=0,0,Matrix_Bobot!AA23/SUM(Matrix_Bobot!$B23:$AI23))</f>
        <v>0.00644443806</v>
      </c>
      <c r="AB23" s="30">
        <f>IF(SUM(Matrix_Bobot!$B23:$AI23)=0,0,Matrix_Bobot!AB23/SUM(Matrix_Bobot!$B23:$AI23))</f>
        <v>0.0219272354</v>
      </c>
      <c r="AC23" s="30">
        <f>IF(SUM(Matrix_Bobot!$B23:$AI23)=0,0,Matrix_Bobot!AC23/SUM(Matrix_Bobot!$B23:$AI23))</f>
        <v>0.006612232344</v>
      </c>
      <c r="AD23" s="30">
        <f>IF(SUM(Matrix_Bobot!$B23:$AI23)=0,0,Matrix_Bobot!AD23/SUM(Matrix_Bobot!$B23:$AI23))</f>
        <v>0.00628674223</v>
      </c>
      <c r="AE23" s="30">
        <f>IF(SUM(Matrix_Bobot!$B23:$AI23)=0,0,Matrix_Bobot!AE23/SUM(Matrix_Bobot!$B23:$AI23))</f>
        <v>0.005707930854</v>
      </c>
      <c r="AF23" s="30">
        <f>IF(SUM(Matrix_Bobot!$B23:$AI23)=0,0,Matrix_Bobot!AF23/SUM(Matrix_Bobot!$B23:$AI23))</f>
        <v>0.0103333231</v>
      </c>
      <c r="AG23" s="30">
        <f>IF(SUM(Matrix_Bobot!$B23:$AI23)=0,0,Matrix_Bobot!AG23/SUM(Matrix_Bobot!$B23:$AI23))</f>
        <v>0.00464599023</v>
      </c>
      <c r="AH23" s="30">
        <f>IF(SUM(Matrix_Bobot!$B23:$AI23)=0,0,Matrix_Bobot!AH23/SUM(Matrix_Bobot!$B23:$AI23))</f>
        <v>0.005167017895</v>
      </c>
      <c r="AI23" s="30">
        <f>IF(SUM(Matrix_Bobot!$B23:$AI23)=0,0,Matrix_Bobot!AI23/SUM(Matrix_Bobot!$B23:$AI23))</f>
        <v>0.004506396731</v>
      </c>
      <c r="AJ23" s="33">
        <f t="shared" si="1"/>
        <v>1</v>
      </c>
    </row>
    <row r="24" ht="14.25" customHeight="1">
      <c r="A24" s="22" t="s">
        <v>61</v>
      </c>
      <c r="B24" s="30">
        <f>IF(SUM(Matrix_Bobot!$B24:$AI24)=0,0,Matrix_Bobot!B24/SUM(Matrix_Bobot!$B24:$AI24))</f>
        <v>0.01545561034</v>
      </c>
      <c r="C24" s="30">
        <f>IF(SUM(Matrix_Bobot!$B24:$AI24)=0,0,Matrix_Bobot!C24/SUM(Matrix_Bobot!$B24:$AI24))</f>
        <v>0.01668234421</v>
      </c>
      <c r="D24" s="30">
        <f>IF(SUM(Matrix_Bobot!$B24:$AI24)=0,0,Matrix_Bobot!D24/SUM(Matrix_Bobot!$B24:$AI24))</f>
        <v>0.01981500161</v>
      </c>
      <c r="E24" s="30">
        <f>IF(SUM(Matrix_Bobot!$B24:$AI24)=0,0,Matrix_Bobot!E24/SUM(Matrix_Bobot!$B24:$AI24))</f>
        <v>0.01569575396</v>
      </c>
      <c r="F24" s="30">
        <f>IF(SUM(Matrix_Bobot!$B24:$AI24)=0,0,Matrix_Bobot!F24/SUM(Matrix_Bobot!$B24:$AI24))</f>
        <v>0.01724061164</v>
      </c>
      <c r="G24" s="30">
        <f>IF(SUM(Matrix_Bobot!$B24:$AI24)=0,0,Matrix_Bobot!G24/SUM(Matrix_Bobot!$B24:$AI24))</f>
        <v>0.02146625174</v>
      </c>
      <c r="H24" s="30">
        <f>IF(SUM(Matrix_Bobot!$B24:$AI24)=0,0,Matrix_Bobot!H24/SUM(Matrix_Bobot!$B24:$AI24))</f>
        <v>0.01668234421</v>
      </c>
      <c r="I24" s="30">
        <f>IF(SUM(Matrix_Bobot!$B24:$AI24)=0,0,Matrix_Bobot!I24/SUM(Matrix_Bobot!$B24:$AI24))</f>
        <v>0.01875424135</v>
      </c>
      <c r="J24" s="30">
        <f>IF(SUM(Matrix_Bobot!$B24:$AI24)=0,0,Matrix_Bobot!J24/SUM(Matrix_Bobot!$B24:$AI24))</f>
        <v>0.02100295135</v>
      </c>
      <c r="K24" s="30">
        <f>IF(SUM(Matrix_Bobot!$B24:$AI24)=0,0,Matrix_Bobot!K24/SUM(Matrix_Bobot!$B24:$AI24))</f>
        <v>0.01912277448</v>
      </c>
      <c r="L24" s="30">
        <f>IF(SUM(Matrix_Bobot!$B24:$AI24)=0,0,Matrix_Bobot!L24/SUM(Matrix_Bobot!$B24:$AI24))</f>
        <v>0.1000940653</v>
      </c>
      <c r="M24" s="30">
        <f>IF(SUM(Matrix_Bobot!$B24:$AI24)=0,0,Matrix_Bobot!M24/SUM(Matrix_Bobot!$B24:$AI24))</f>
        <v>0</v>
      </c>
      <c r="N24" s="30">
        <f>IF(SUM(Matrix_Bobot!$B24:$AI24)=0,0,Matrix_Bobot!N24/SUM(Matrix_Bobot!$B24:$AI24))</f>
        <v>0.1317027175</v>
      </c>
      <c r="O24" s="30">
        <f>IF(SUM(Matrix_Bobot!$B24:$AI24)=0,0,Matrix_Bobot!O24/SUM(Matrix_Bobot!$B24:$AI24))</f>
        <v>0.1106535782</v>
      </c>
      <c r="P24" s="30">
        <f>IF(SUM(Matrix_Bobot!$B24:$AI24)=0,0,Matrix_Bobot!P24/SUM(Matrix_Bobot!$B24:$AI24))</f>
        <v>0.1401316914</v>
      </c>
      <c r="Q24" s="30">
        <f>IF(SUM(Matrix_Bobot!$B24:$AI24)=0,0,Matrix_Bobot!Q24/SUM(Matrix_Bobot!$B24:$AI24))</f>
        <v>0</v>
      </c>
      <c r="R24" s="30">
        <f>IF(SUM(Matrix_Bobot!$B24:$AI24)=0,0,Matrix_Bobot!R24/SUM(Matrix_Bobot!$B24:$AI24))</f>
        <v>0.03003508475</v>
      </c>
      <c r="S24" s="30">
        <f>IF(SUM(Matrix_Bobot!$B24:$AI24)=0,0,Matrix_Bobot!S24/SUM(Matrix_Bobot!$B24:$AI24))</f>
        <v>0.01668234421</v>
      </c>
      <c r="T24" s="30">
        <f>IF(SUM(Matrix_Bobot!$B24:$AI24)=0,0,Matrix_Bobot!T24/SUM(Matrix_Bobot!$B24:$AI24))</f>
        <v>0.006937267394</v>
      </c>
      <c r="U24" s="30">
        <f>IF(SUM(Matrix_Bobot!$B24:$AI24)=0,0,Matrix_Bobot!U24/SUM(Matrix_Bobot!$B24:$AI24))</f>
        <v>0.02144890337</v>
      </c>
      <c r="V24" s="28">
        <f>IF(SUM(Matrix_Bobot!$B24:$AI24)=0,0,Matrix_Bobot!V24/SUM(Matrix_Bobot!$B24:$AI24))</f>
        <v>0</v>
      </c>
      <c r="W24" s="30">
        <f>IF(SUM(Matrix_Bobot!$B24:$AI24)=0,0,Matrix_Bobot!W24/SUM(Matrix_Bobot!$B24:$AI24))</f>
        <v>0.01751646142</v>
      </c>
      <c r="X24" s="30">
        <f>IF(SUM(Matrix_Bobot!$B24:$AI24)=0,0,Matrix_Bobot!X24/SUM(Matrix_Bobot!$B24:$AI24))</f>
        <v>0.1401316914</v>
      </c>
      <c r="Y24" s="30">
        <f>IF(SUM(Matrix_Bobot!$B24:$AI24)=0,0,Matrix_Bobot!Y24/SUM(Matrix_Bobot!$B24:$AI24))</f>
        <v>0.02765815295</v>
      </c>
      <c r="Z24" s="30">
        <f>IF(SUM(Matrix_Bobot!$B24:$AI24)=0,0,Matrix_Bobot!Z24/SUM(Matrix_Bobot!$B24:$AI24))</f>
        <v>0.01061603723</v>
      </c>
      <c r="AA24" s="30">
        <f>IF(SUM(Matrix_Bobot!$B24:$AI24)=0,0,Matrix_Bobot!AA24/SUM(Matrix_Bobot!$B24:$AI24))</f>
        <v>0.003871049753</v>
      </c>
      <c r="AB24" s="30">
        <f>IF(SUM(Matrix_Bobot!$B24:$AI24)=0,0,Matrix_Bobot!AB24/SUM(Matrix_Bobot!$B24:$AI24))</f>
        <v>0.01723043618</v>
      </c>
      <c r="AC24" s="30">
        <f>IF(SUM(Matrix_Bobot!$B24:$AI24)=0,0,Matrix_Bobot!AC24/SUM(Matrix_Bobot!$B24:$AI24))</f>
        <v>0.01010642824</v>
      </c>
      <c r="AD24" s="30">
        <f>IF(SUM(Matrix_Bobot!$B24:$AI24)=0,0,Matrix_Bobot!AD24/SUM(Matrix_Bobot!$B24:$AI24))</f>
        <v>0.003746916816</v>
      </c>
      <c r="AE24" s="30">
        <f>IF(SUM(Matrix_Bobot!$B24:$AI24)=0,0,Matrix_Bobot!AE24/SUM(Matrix_Bobot!$B24:$AI24))</f>
        <v>0.003451655518</v>
      </c>
      <c r="AF24" s="30">
        <f>IF(SUM(Matrix_Bobot!$B24:$AI24)=0,0,Matrix_Bobot!AF24/SUM(Matrix_Bobot!$B24:$AI24))</f>
        <v>0.01364933253</v>
      </c>
      <c r="AG24" s="30">
        <f>IF(SUM(Matrix_Bobot!$B24:$AI24)=0,0,Matrix_Bobot!AG24/SUM(Matrix_Bobot!$B24:$AI24))</f>
        <v>0.003958522356</v>
      </c>
      <c r="AH24" s="30">
        <f>IF(SUM(Matrix_Bobot!$B24:$AI24)=0,0,Matrix_Bobot!AH24/SUM(Matrix_Bobot!$B24:$AI24))</f>
        <v>0.00384994097</v>
      </c>
      <c r="AI24" s="30">
        <f>IF(SUM(Matrix_Bobot!$B24:$AI24)=0,0,Matrix_Bobot!AI24/SUM(Matrix_Bobot!$B24:$AI24))</f>
        <v>0.004609837734</v>
      </c>
      <c r="AJ24" s="33">
        <f t="shared" si="1"/>
        <v>1</v>
      </c>
    </row>
    <row r="25" ht="14.25" customHeight="1">
      <c r="A25" s="22" t="s">
        <v>64</v>
      </c>
      <c r="B25" s="30">
        <f>IF(SUM(Matrix_Bobot!$B25:$AI25)=0,0,Matrix_Bobot!B25/SUM(Matrix_Bobot!$B25:$AI25))</f>
        <v>0.008403479494</v>
      </c>
      <c r="C25" s="30">
        <f>IF(SUM(Matrix_Bobot!$B25:$AI25)=0,0,Matrix_Bobot!C25/SUM(Matrix_Bobot!$B25:$AI25))</f>
        <v>0.009624838283</v>
      </c>
      <c r="D25" s="30">
        <f>IF(SUM(Matrix_Bobot!$B25:$AI25)=0,0,Matrix_Bobot!D25/SUM(Matrix_Bobot!$B25:$AI25))</f>
        <v>0.01282636344</v>
      </c>
      <c r="E25" s="30">
        <f>IF(SUM(Matrix_Bobot!$B25:$AI25)=0,0,Matrix_Bobot!E25/SUM(Matrix_Bobot!$B25:$AI25))</f>
        <v>0.01143062408</v>
      </c>
      <c r="F25" s="30">
        <f>IF(SUM(Matrix_Bobot!$B25:$AI25)=0,0,Matrix_Bobot!F25/SUM(Matrix_Bobot!$B25:$AI25))</f>
        <v>0.01461036603</v>
      </c>
      <c r="G25" s="30">
        <f>IF(SUM(Matrix_Bobot!$B25:$AI25)=0,0,Matrix_Bobot!G25/SUM(Matrix_Bobot!$B25:$AI25))</f>
        <v>0.01353893918</v>
      </c>
      <c r="H25" s="30">
        <f>IF(SUM(Matrix_Bobot!$B25:$AI25)=0,0,Matrix_Bobot!H25/SUM(Matrix_Bobot!$B25:$AI25))</f>
        <v>0.01330245116</v>
      </c>
      <c r="I25" s="30">
        <f>IF(SUM(Matrix_Bobot!$B25:$AI25)=0,0,Matrix_Bobot!I25/SUM(Matrix_Bobot!$B25:$AI25))</f>
        <v>0.01304608701</v>
      </c>
      <c r="J25" s="30">
        <f>IF(SUM(Matrix_Bobot!$B25:$AI25)=0,0,Matrix_Bobot!J25/SUM(Matrix_Bobot!$B25:$AI25))</f>
        <v>0.01282636344</v>
      </c>
      <c r="K25" s="30">
        <f>IF(SUM(Matrix_Bobot!$B25:$AI25)=0,0,Matrix_Bobot!K25/SUM(Matrix_Bobot!$B25:$AI25))</f>
        <v>0.09748036213</v>
      </c>
      <c r="L25" s="30">
        <f>IF(SUM(Matrix_Bobot!$B25:$AI25)=0,0,Matrix_Bobot!L25/SUM(Matrix_Bobot!$B25:$AI25))</f>
        <v>0.06658494681</v>
      </c>
      <c r="M25" s="30">
        <f>IF(SUM(Matrix_Bobot!$B25:$AI25)=0,0,Matrix_Bobot!M25/SUM(Matrix_Bobot!$B25:$AI25))</f>
        <v>0.01107731388</v>
      </c>
      <c r="N25" s="30">
        <f>IF(SUM(Matrix_Bobot!$B25:$AI25)=0,0,Matrix_Bobot!N25/SUM(Matrix_Bobot!$B25:$AI25))</f>
        <v>0.09748036213</v>
      </c>
      <c r="O25" s="30">
        <f>IF(SUM(Matrix_Bobot!$B25:$AI25)=0,0,Matrix_Bobot!O25/SUM(Matrix_Bobot!$B25:$AI25))</f>
        <v>0.08123363511</v>
      </c>
      <c r="P25" s="30">
        <f>IF(SUM(Matrix_Bobot!$B25:$AI25)=0,0,Matrix_Bobot!P25/SUM(Matrix_Bobot!$B25:$AI25))</f>
        <v>0.1044134127</v>
      </c>
      <c r="Q25" s="30">
        <f>IF(SUM(Matrix_Bobot!$B25:$AI25)=0,0,Matrix_Bobot!Q25/SUM(Matrix_Bobot!$B25:$AI25))</f>
        <v>0</v>
      </c>
      <c r="R25" s="30">
        <f>IF(SUM(Matrix_Bobot!$B25:$AI25)=0,0,Matrix_Bobot!R25/SUM(Matrix_Bobot!$B25:$AI25))</f>
        <v>0.08123363511</v>
      </c>
      <c r="S25" s="30">
        <f>IF(SUM(Matrix_Bobot!$B25:$AI25)=0,0,Matrix_Bobot!S25/SUM(Matrix_Bobot!$B25:$AI25))</f>
        <v>0.02089342467</v>
      </c>
      <c r="T25" s="30">
        <f>IF(SUM(Matrix_Bobot!$B25:$AI25)=0,0,Matrix_Bobot!T25/SUM(Matrix_Bobot!$B25:$AI25))</f>
        <v>0.01160480502</v>
      </c>
      <c r="U25" s="30">
        <f>IF(SUM(Matrix_Bobot!$B25:$AI25)=0,0,Matrix_Bobot!U25/SUM(Matrix_Bobot!$B25:$AI25))</f>
        <v>0.01407049107</v>
      </c>
      <c r="V25" s="30">
        <f>IF(SUM(Matrix_Bobot!$B25:$AI25)=0,0,Matrix_Bobot!V25/SUM(Matrix_Bobot!$B25:$AI25))</f>
        <v>0.01218504527</v>
      </c>
      <c r="W25" s="28">
        <f>IF(SUM(Matrix_Bobot!$B25:$AI25)=0,0,Matrix_Bobot!W25/SUM(Matrix_Bobot!$B25:$AI25))</f>
        <v>0</v>
      </c>
      <c r="X25" s="30">
        <f>IF(SUM(Matrix_Bobot!$B25:$AI25)=0,0,Matrix_Bobot!X25/SUM(Matrix_Bobot!$B25:$AI25))</f>
        <v>0.1045029611</v>
      </c>
      <c r="Y25" s="30">
        <f>IF(SUM(Matrix_Bobot!$B25:$AI25)=0,0,Matrix_Bobot!Y25/SUM(Matrix_Bobot!$B25:$AI25))</f>
        <v>0.01523130658</v>
      </c>
      <c r="Z25" s="30">
        <f>IF(SUM(Matrix_Bobot!$B25:$AI25)=0,0,Matrix_Bobot!Z25/SUM(Matrix_Bobot!$B25:$AI25))</f>
        <v>0.01124787253</v>
      </c>
      <c r="AA25" s="30">
        <f>IF(SUM(Matrix_Bobot!$B25:$AI25)=0,0,Matrix_Bobot!AA25/SUM(Matrix_Bobot!$B25:$AI25))</f>
        <v>0.00513058858</v>
      </c>
      <c r="AB25" s="30">
        <f>IF(SUM(Matrix_Bobot!$B25:$AI25)=0,0,Matrix_Bobot!AB25/SUM(Matrix_Bobot!$B25:$AI25))</f>
        <v>0.09748036213</v>
      </c>
      <c r="AC25" s="30">
        <f>IF(SUM(Matrix_Bobot!$B25:$AI25)=0,0,Matrix_Bobot!AC25/SUM(Matrix_Bobot!$B25:$AI25))</f>
        <v>0.01433534737</v>
      </c>
      <c r="AD25" s="30">
        <f>IF(SUM(Matrix_Bobot!$B25:$AI25)=0,0,Matrix_Bobot!AD25/SUM(Matrix_Bobot!$B25:$AI25))</f>
        <v>0.004973893896</v>
      </c>
      <c r="AE25" s="30">
        <f>IF(SUM(Matrix_Bobot!$B25:$AI25)=0,0,Matrix_Bobot!AE25/SUM(Matrix_Bobot!$B25:$AI25))</f>
        <v>0.01353893918</v>
      </c>
      <c r="AF25" s="30">
        <f>IF(SUM(Matrix_Bobot!$B25:$AI25)=0,0,Matrix_Bobot!AF25/SUM(Matrix_Bobot!$B25:$AI25))</f>
        <v>0.008034448942</v>
      </c>
      <c r="AG25" s="30">
        <f>IF(SUM(Matrix_Bobot!$B25:$AI25)=0,0,Matrix_Bobot!AG25/SUM(Matrix_Bobot!$B25:$AI25))</f>
        <v>0.004313595747</v>
      </c>
      <c r="AH25" s="30">
        <f>IF(SUM(Matrix_Bobot!$B25:$AI25)=0,0,Matrix_Bobot!AH25/SUM(Matrix_Bobot!$B25:$AI25))</f>
        <v>0.008501985254</v>
      </c>
      <c r="AI25" s="30">
        <f>IF(SUM(Matrix_Bobot!$B25:$AI25)=0,0,Matrix_Bobot!AI25/SUM(Matrix_Bobot!$B25:$AI25))</f>
        <v>0.004841752667</v>
      </c>
      <c r="AJ25" s="33">
        <f t="shared" si="1"/>
        <v>1</v>
      </c>
    </row>
    <row r="26" ht="14.25" customHeight="1">
      <c r="A26" s="22" t="s">
        <v>68</v>
      </c>
      <c r="B26" s="30">
        <f>IF(SUM(Matrix_Bobot!$B26:$AI26)=0,0,Matrix_Bobot!B26/SUM(Matrix_Bobot!$B26:$AI26))</f>
        <v>0.005099082451</v>
      </c>
      <c r="C26" s="30">
        <f>IF(SUM(Matrix_Bobot!$B26:$AI26)=0,0,Matrix_Bobot!C26/SUM(Matrix_Bobot!$B26:$AI26))</f>
        <v>0.00681662237</v>
      </c>
      <c r="D26" s="30">
        <f>IF(SUM(Matrix_Bobot!$B26:$AI26)=0,0,Matrix_Bobot!D26/SUM(Matrix_Bobot!$B26:$AI26))</f>
        <v>0.008451091303</v>
      </c>
      <c r="E26" s="30">
        <f>IF(SUM(Matrix_Bobot!$B26:$AI26)=0,0,Matrix_Bobot!E26/SUM(Matrix_Bobot!$B26:$AI26))</f>
        <v>0.008530369833</v>
      </c>
      <c r="F26" s="30">
        <f>IF(SUM(Matrix_Bobot!$B26:$AI26)=0,0,Matrix_Bobot!F26/SUM(Matrix_Bobot!$B26:$AI26))</f>
        <v>0.009927264456</v>
      </c>
      <c r="G26" s="30">
        <f>IF(SUM(Matrix_Bobot!$B26:$AI26)=0,0,Matrix_Bobot!G26/SUM(Matrix_Bobot!$B26:$AI26))</f>
        <v>0.008530369833</v>
      </c>
      <c r="H26" s="30">
        <f>IF(SUM(Matrix_Bobot!$B26:$AI26)=0,0,Matrix_Bobot!H26/SUM(Matrix_Bobot!$B26:$AI26))</f>
        <v>0.008530369833</v>
      </c>
      <c r="I26" s="30">
        <f>IF(SUM(Matrix_Bobot!$B26:$AI26)=0,0,Matrix_Bobot!I26/SUM(Matrix_Bobot!$B26:$AI26))</f>
        <v>0.008660356421</v>
      </c>
      <c r="J26" s="30">
        <f>IF(SUM(Matrix_Bobot!$B26:$AI26)=0,0,Matrix_Bobot!J26/SUM(Matrix_Bobot!$B26:$AI26))</f>
        <v>0.006994903263</v>
      </c>
      <c r="K26" s="30">
        <f>IF(SUM(Matrix_Bobot!$B26:$AI26)=0,0,Matrix_Bobot!K26/SUM(Matrix_Bobot!$B26:$AI26))</f>
        <v>0.007794320783</v>
      </c>
      <c r="L26" s="30">
        <f>IF(SUM(Matrix_Bobot!$B26:$AI26)=0,0,Matrix_Bobot!L26/SUM(Matrix_Bobot!$B26:$AI26))</f>
        <v>0.04190495042</v>
      </c>
      <c r="M26" s="30">
        <f>IF(SUM(Matrix_Bobot!$B26:$AI26)=0,0,Matrix_Bobot!M26/SUM(Matrix_Bobot!$B26:$AI26))</f>
        <v>0.04190495042</v>
      </c>
      <c r="N26" s="30">
        <f>IF(SUM(Matrix_Bobot!$B26:$AI26)=0,0,Matrix_Bobot!N26/SUM(Matrix_Bobot!$B26:$AI26))</f>
        <v>0.05196213852</v>
      </c>
      <c r="O26" s="30">
        <f>IF(SUM(Matrix_Bobot!$B26:$AI26)=0,0,Matrix_Bobot!O26/SUM(Matrix_Bobot!$B26:$AI26))</f>
        <v>0.04736132418</v>
      </c>
      <c r="P26" s="30">
        <f>IF(SUM(Matrix_Bobot!$B26:$AI26)=0,0,Matrix_Bobot!P26/SUM(Matrix_Bobot!$B26:$AI26))</f>
        <v>0.05744393078</v>
      </c>
      <c r="Q26" s="30">
        <f>IF(SUM(Matrix_Bobot!$B26:$AI26)=0,0,Matrix_Bobot!Q26/SUM(Matrix_Bobot!$B26:$AI26))</f>
        <v>0</v>
      </c>
      <c r="R26" s="30">
        <f>IF(SUM(Matrix_Bobot!$B26:$AI26)=0,0,Matrix_Bobot!R26/SUM(Matrix_Bobot!$B26:$AI26))</f>
        <v>0.05196213852</v>
      </c>
      <c r="S26" s="30">
        <f>IF(SUM(Matrix_Bobot!$B26:$AI26)=0,0,Matrix_Bobot!S26/SUM(Matrix_Bobot!$B26:$AI26))</f>
        <v>0.05743304643</v>
      </c>
      <c r="T26" s="30">
        <f>IF(SUM(Matrix_Bobot!$B26:$AI26)=0,0,Matrix_Bobot!T26/SUM(Matrix_Bobot!$B26:$AI26))</f>
        <v>0.01212449899</v>
      </c>
      <c r="U26" s="30">
        <f>IF(SUM(Matrix_Bobot!$B26:$AI26)=0,0,Matrix_Bobot!U26/SUM(Matrix_Bobot!$B26:$AI26))</f>
        <v>0.05743304643</v>
      </c>
      <c r="V26" s="30">
        <f>IF(SUM(Matrix_Bobot!$B26:$AI26)=0,0,Matrix_Bobot!V26/SUM(Matrix_Bobot!$B26:$AI26))</f>
        <v>0.07274699393</v>
      </c>
      <c r="W26" s="30">
        <f>IF(SUM(Matrix_Bobot!$B26:$AI26)=0,0,Matrix_Bobot!W26/SUM(Matrix_Bobot!$B26:$AI26))</f>
        <v>0.07798777223</v>
      </c>
      <c r="X26" s="28">
        <f>IF(SUM(Matrix_Bobot!$B26:$AI26)=0,0,Matrix_Bobot!X26/SUM(Matrix_Bobot!$B26:$AI26))</f>
        <v>0</v>
      </c>
      <c r="Y26" s="30">
        <f>IF(SUM(Matrix_Bobot!$B26:$AI26)=0,0,Matrix_Bobot!Y26/SUM(Matrix_Bobot!$B26:$AI26))</f>
        <v>0.07798777223</v>
      </c>
      <c r="Z26" s="30">
        <f>IF(SUM(Matrix_Bobot!$B26:$AI26)=0,0,Matrix_Bobot!Z26/SUM(Matrix_Bobot!$B26:$AI26))</f>
        <v>0.05196213852</v>
      </c>
      <c r="AA26" s="30">
        <f>IF(SUM(Matrix_Bobot!$B26:$AI26)=0,0,Matrix_Bobot!AA26/SUM(Matrix_Bobot!$B26:$AI26))</f>
        <v>0.01436098269</v>
      </c>
      <c r="AB26" s="30">
        <f>IF(SUM(Matrix_Bobot!$B26:$AI26)=0,0,Matrix_Bobot!AB26/SUM(Matrix_Bobot!$B26:$AI26))</f>
        <v>0.07798777223</v>
      </c>
      <c r="AC26" s="30">
        <f>IF(SUM(Matrix_Bobot!$B26:$AI26)=0,0,Matrix_Bobot!AC26/SUM(Matrix_Bobot!$B26:$AI26))</f>
        <v>0.01049316206</v>
      </c>
      <c r="AD26" s="30">
        <f>IF(SUM(Matrix_Bobot!$B26:$AI26)=0,0,Matrix_Bobot!AD26/SUM(Matrix_Bobot!$B26:$AI26))</f>
        <v>0.005935622873</v>
      </c>
      <c r="AE26" s="30">
        <f>IF(SUM(Matrix_Bobot!$B26:$AI26)=0,0,Matrix_Bobot!AE26/SUM(Matrix_Bobot!$B26:$AI26))</f>
        <v>0.09093374242</v>
      </c>
      <c r="AF26" s="30">
        <f>IF(SUM(Matrix_Bobot!$B26:$AI26)=0,0,Matrix_Bobot!AF26/SUM(Matrix_Bobot!$B26:$AI26))</f>
        <v>0.005511135904</v>
      </c>
      <c r="AG26" s="30">
        <f>IF(SUM(Matrix_Bobot!$B26:$AI26)=0,0,Matrix_Bobot!AG26/SUM(Matrix_Bobot!$B26:$AI26))</f>
        <v>0.004041499663</v>
      </c>
      <c r="AH26" s="30">
        <f>IF(SUM(Matrix_Bobot!$B26:$AI26)=0,0,Matrix_Bobot!AH26/SUM(Matrix_Bobot!$B26:$AI26))</f>
        <v>0.00627129258</v>
      </c>
      <c r="AI26" s="30">
        <f>IF(SUM(Matrix_Bobot!$B26:$AI26)=0,0,Matrix_Bobot!AI26/SUM(Matrix_Bobot!$B26:$AI26))</f>
        <v>0.004915337428</v>
      </c>
      <c r="AJ26" s="33">
        <f t="shared" si="1"/>
        <v>1</v>
      </c>
    </row>
    <row r="27" ht="14.25" customHeight="1">
      <c r="A27" s="22" t="s">
        <v>71</v>
      </c>
      <c r="B27" s="30">
        <f>IF(SUM(Matrix_Bobot!$B27:$AI27)=0,0,Matrix_Bobot!B27/SUM(Matrix_Bobot!$B27:$AI27))</f>
        <v>0.003245092423</v>
      </c>
      <c r="C27" s="30">
        <f>IF(SUM(Matrix_Bobot!$B27:$AI27)=0,0,Matrix_Bobot!C27/SUM(Matrix_Bobot!$B27:$AI27))</f>
        <v>0.01902446367</v>
      </c>
      <c r="D27" s="30">
        <f>IF(SUM(Matrix_Bobot!$B27:$AI27)=0,0,Matrix_Bobot!D27/SUM(Matrix_Bobot!$B27:$AI27))</f>
        <v>0.02688790865</v>
      </c>
      <c r="E27" s="30">
        <f>IF(SUM(Matrix_Bobot!$B27:$AI27)=0,0,Matrix_Bobot!E27/SUM(Matrix_Bobot!$B27:$AI27))</f>
        <v>0.02091281784</v>
      </c>
      <c r="F27" s="30">
        <f>IF(SUM(Matrix_Bobot!$B27:$AI27)=0,0,Matrix_Bobot!F27/SUM(Matrix_Bobot!$B27:$AI27))</f>
        <v>0.02604456096</v>
      </c>
      <c r="G27" s="30">
        <f>IF(SUM(Matrix_Bobot!$B27:$AI27)=0,0,Matrix_Bobot!G27/SUM(Matrix_Bobot!$B27:$AI27))</f>
        <v>0.02604456096</v>
      </c>
      <c r="H27" s="30">
        <f>IF(SUM(Matrix_Bobot!$B27:$AI27)=0,0,Matrix_Bobot!H27/SUM(Matrix_Bobot!$B27:$AI27))</f>
        <v>0.02039906364</v>
      </c>
      <c r="I27" s="30">
        <f>IF(SUM(Matrix_Bobot!$B27:$AI27)=0,0,Matrix_Bobot!I27/SUM(Matrix_Bobot!$B27:$AI27))</f>
        <v>0.02922598766</v>
      </c>
      <c r="J27" s="30">
        <f>IF(SUM(Matrix_Bobot!$B27:$AI27)=0,0,Matrix_Bobot!J27/SUM(Matrix_Bobot!$B27:$AI27))</f>
        <v>0.003780437075</v>
      </c>
      <c r="K27" s="30">
        <f>IF(SUM(Matrix_Bobot!$B27:$AI27)=0,0,Matrix_Bobot!K27/SUM(Matrix_Bobot!$B27:$AI27))</f>
        <v>0.01388483076</v>
      </c>
      <c r="L27" s="30">
        <f>IF(SUM(Matrix_Bobot!$B27:$AI27)=0,0,Matrix_Bobot!L27/SUM(Matrix_Bobot!$B27:$AI27))</f>
        <v>0.0997607918</v>
      </c>
      <c r="M27" s="30">
        <f>IF(SUM(Matrix_Bobot!$B27:$AI27)=0,0,Matrix_Bobot!M27/SUM(Matrix_Bobot!$B27:$AI27))</f>
        <v>0</v>
      </c>
      <c r="N27" s="30">
        <f>IF(SUM(Matrix_Bobot!$B27:$AI27)=0,0,Matrix_Bobot!N27/SUM(Matrix_Bobot!$B27:$AI27))</f>
        <v>0.03457299055</v>
      </c>
      <c r="O27" s="30">
        <f>IF(SUM(Matrix_Bobot!$B27:$AI27)=0,0,Matrix_Bobot!O27/SUM(Matrix_Bobot!$B27:$AI27))</f>
        <v>0.02971821482</v>
      </c>
      <c r="P27" s="30">
        <f>IF(SUM(Matrix_Bobot!$B27:$AI27)=0,0,Matrix_Bobot!P27/SUM(Matrix_Bobot!$B27:$AI27))</f>
        <v>0.1355367455</v>
      </c>
      <c r="Q27" s="30">
        <f>IF(SUM(Matrix_Bobot!$B27:$AI27)=0,0,Matrix_Bobot!Q27/SUM(Matrix_Bobot!$B27:$AI27))</f>
        <v>0</v>
      </c>
      <c r="R27" s="30">
        <f>IF(SUM(Matrix_Bobot!$B27:$AI27)=0,0,Matrix_Bobot!R27/SUM(Matrix_Bobot!$B27:$AI27))</f>
        <v>0.0238609737</v>
      </c>
      <c r="S27" s="30">
        <f>IF(SUM(Matrix_Bobot!$B27:$AI27)=0,0,Matrix_Bobot!S27/SUM(Matrix_Bobot!$B27:$AI27))</f>
        <v>0.01783107905</v>
      </c>
      <c r="T27" s="30">
        <f>IF(SUM(Matrix_Bobot!$B27:$AI27)=0,0,Matrix_Bobot!T27/SUM(Matrix_Bobot!$B27:$AI27))</f>
        <v>0.009410768026</v>
      </c>
      <c r="U27" s="30">
        <f>IF(SUM(Matrix_Bobot!$B27:$AI27)=0,0,Matrix_Bobot!U27/SUM(Matrix_Bobot!$B27:$AI27))</f>
        <v>0.02648433779</v>
      </c>
      <c r="V27" s="30">
        <f>IF(SUM(Matrix_Bobot!$B27:$AI27)=0,0,Matrix_Bobot!V27/SUM(Matrix_Bobot!$B27:$AI27))</f>
        <v>0.04457826072</v>
      </c>
      <c r="W27" s="30">
        <f>IF(SUM(Matrix_Bobot!$B27:$AI27)=0,0,Matrix_Bobot!W27/SUM(Matrix_Bobot!$B27:$AI27))</f>
        <v>0.0352903801</v>
      </c>
      <c r="X27" s="30">
        <f>IF(SUM(Matrix_Bobot!$B27:$AI27)=0,0,Matrix_Bobot!X27/SUM(Matrix_Bobot!$B27:$AI27))</f>
        <v>0.2421295376</v>
      </c>
      <c r="Y27" s="28">
        <f>IF(SUM(Matrix_Bobot!$B27:$AI27)=0,0,Matrix_Bobot!Y27/SUM(Matrix_Bobot!$B27:$AI27))</f>
        <v>0</v>
      </c>
      <c r="Z27" s="30">
        <f>IF(SUM(Matrix_Bobot!$B27:$AI27)=0,0,Matrix_Bobot!Z27/SUM(Matrix_Bobot!$B27:$AI27))</f>
        <v>0.02091281784</v>
      </c>
      <c r="AA27" s="30">
        <f>IF(SUM(Matrix_Bobot!$B27:$AI27)=0,0,Matrix_Bobot!AA27/SUM(Matrix_Bobot!$B27:$AI27))</f>
        <v>0.005563234823</v>
      </c>
      <c r="AB27" s="30">
        <f>IF(SUM(Matrix_Bobot!$B27:$AI27)=0,0,Matrix_Bobot!AB27/SUM(Matrix_Bobot!$B27:$AI27))</f>
        <v>0.04235269139</v>
      </c>
      <c r="AC27" s="30">
        <f>IF(SUM(Matrix_Bobot!$B27:$AI27)=0,0,Matrix_Bobot!AC27/SUM(Matrix_Bobot!$B27:$AI27))</f>
        <v>0.009490488127</v>
      </c>
      <c r="AD27" s="30">
        <f>IF(SUM(Matrix_Bobot!$B27:$AI27)=0,0,Matrix_Bobot!AD27/SUM(Matrix_Bobot!$B27:$AI27))</f>
        <v>0</v>
      </c>
      <c r="AE27" s="30">
        <f>IF(SUM(Matrix_Bobot!$B27:$AI27)=0,0,Matrix_Bobot!AE27/SUM(Matrix_Bobot!$B27:$AI27))</f>
        <v>0.009570596996</v>
      </c>
      <c r="AF27" s="30">
        <f>IF(SUM(Matrix_Bobot!$B27:$AI27)=0,0,Matrix_Bobot!AF27/SUM(Matrix_Bobot!$B27:$AI27))</f>
        <v>0.004529256332</v>
      </c>
      <c r="AG27" s="30">
        <f>IF(SUM(Matrix_Bobot!$B27:$AI27)=0,0,Matrix_Bobot!AG27/SUM(Matrix_Bobot!$B27:$AI27))</f>
        <v>0.00795298574</v>
      </c>
      <c r="AH27" s="30">
        <f>IF(SUM(Matrix_Bobot!$B27:$AI27)=0,0,Matrix_Bobot!AH27/SUM(Matrix_Bobot!$B27:$AI27))</f>
        <v>0.006970939279</v>
      </c>
      <c r="AI27" s="30">
        <f>IF(SUM(Matrix_Bobot!$B27:$AI27)=0,0,Matrix_Bobot!AI27/SUM(Matrix_Bobot!$B27:$AI27))</f>
        <v>0.004033186297</v>
      </c>
      <c r="AJ27" s="33">
        <f t="shared" si="1"/>
        <v>1</v>
      </c>
    </row>
    <row r="28" ht="14.25" customHeight="1">
      <c r="A28" s="22" t="s">
        <v>75</v>
      </c>
      <c r="B28" s="30">
        <f>IF(SUM(Matrix_Bobot!$B28:$AI28)=0,0,Matrix_Bobot!B28/SUM(Matrix_Bobot!$B28:$AI28))</f>
        <v>0.002345765443</v>
      </c>
      <c r="C28" s="30">
        <f>IF(SUM(Matrix_Bobot!$B28:$AI28)=0,0,Matrix_Bobot!C28/SUM(Matrix_Bobot!$B28:$AI28))</f>
        <v>0.008377719646</v>
      </c>
      <c r="D28" s="30">
        <f>IF(SUM(Matrix_Bobot!$B28:$AI28)=0,0,Matrix_Bobot!D28/SUM(Matrix_Bobot!$B28:$AI28))</f>
        <v>0.009304853953</v>
      </c>
      <c r="E28" s="30">
        <f>IF(SUM(Matrix_Bobot!$B28:$AI28)=0,0,Matrix_Bobot!E28/SUM(Matrix_Bobot!$B28:$AI28))</f>
        <v>0.009625710986</v>
      </c>
      <c r="F28" s="30">
        <f>IF(SUM(Matrix_Bobot!$B28:$AI28)=0,0,Matrix_Bobot!F28/SUM(Matrix_Bobot!$B28:$AI28))</f>
        <v>0.01033872661</v>
      </c>
      <c r="G28" s="30">
        <f>IF(SUM(Matrix_Bobot!$B28:$AI28)=0,0,Matrix_Bobot!G28/SUM(Matrix_Bobot!$B28:$AI28))</f>
        <v>0.01147802708</v>
      </c>
      <c r="H28" s="30">
        <f>IF(SUM(Matrix_Bobot!$B28:$AI28)=0,0,Matrix_Bobot!H28/SUM(Matrix_Bobot!$B28:$AI28))</f>
        <v>0.01073636995</v>
      </c>
      <c r="I28" s="30">
        <f>IF(SUM(Matrix_Bobot!$B28:$AI28)=0,0,Matrix_Bobot!I28/SUM(Matrix_Bobot!$B28:$AI28))</f>
        <v>0.01250652413</v>
      </c>
      <c r="J28" s="30">
        <f>IF(SUM(Matrix_Bobot!$B28:$AI28)=0,0,Matrix_Bobot!J28/SUM(Matrix_Bobot!$B28:$AI28))</f>
        <v>0.006443804677</v>
      </c>
      <c r="K28" s="30">
        <f>IF(SUM(Matrix_Bobot!$B28:$AI28)=0,0,Matrix_Bobot!K28/SUM(Matrix_Bobot!$B28:$AI28))</f>
        <v>0.01087015649</v>
      </c>
      <c r="L28" s="30">
        <f>IF(SUM(Matrix_Bobot!$B28:$AI28)=0,0,Matrix_Bobot!L28/SUM(Matrix_Bobot!$B28:$AI28))</f>
        <v>0.04081076295</v>
      </c>
      <c r="M28" s="30">
        <f>IF(SUM(Matrix_Bobot!$B28:$AI28)=0,0,Matrix_Bobot!M28/SUM(Matrix_Bobot!$B28:$AI28))</f>
        <v>0.005525447716</v>
      </c>
      <c r="N28" s="30">
        <f>IF(SUM(Matrix_Bobot!$B28:$AI28)=0,0,Matrix_Bobot!N28/SUM(Matrix_Bobot!$B28:$AI28))</f>
        <v>0.01230800787</v>
      </c>
      <c r="O28" s="30">
        <f>IF(SUM(Matrix_Bobot!$B28:$AI28)=0,0,Matrix_Bobot!O28/SUM(Matrix_Bobot!$B28:$AI28))</f>
        <v>0.0149435556</v>
      </c>
      <c r="P28" s="30">
        <f>IF(SUM(Matrix_Bobot!$B28:$AI28)=0,0,Matrix_Bobot!P28/SUM(Matrix_Bobot!$B28:$AI28))</f>
        <v>0.05227446041</v>
      </c>
      <c r="Q28" s="30">
        <f>IF(SUM(Matrix_Bobot!$B28:$AI28)=0,0,Matrix_Bobot!Q28/SUM(Matrix_Bobot!$B28:$AI28))</f>
        <v>0</v>
      </c>
      <c r="R28" s="30">
        <f>IF(SUM(Matrix_Bobot!$B28:$AI28)=0,0,Matrix_Bobot!R28/SUM(Matrix_Bobot!$B28:$AI28))</f>
        <v>0.05582912372</v>
      </c>
      <c r="S28" s="30">
        <f>IF(SUM(Matrix_Bobot!$B28:$AI28)=0,0,Matrix_Bobot!S28/SUM(Matrix_Bobot!$B28:$AI28))</f>
        <v>0.01744660116</v>
      </c>
      <c r="T28" s="30">
        <f>IF(SUM(Matrix_Bobot!$B28:$AI28)=0,0,Matrix_Bobot!T28/SUM(Matrix_Bobot!$B28:$AI28))</f>
        <v>0.01073636995</v>
      </c>
      <c r="U28" s="30">
        <f>IF(SUM(Matrix_Bobot!$B28:$AI28)=0,0,Matrix_Bobot!U28/SUM(Matrix_Bobot!$B28:$AI28))</f>
        <v>0.009004697374</v>
      </c>
      <c r="V28" s="30">
        <f>IF(SUM(Matrix_Bobot!$B28:$AI28)=0,0,Matrix_Bobot!V28/SUM(Matrix_Bobot!$B28:$AI28))</f>
        <v>0.008458958139</v>
      </c>
      <c r="W28" s="30">
        <f>IF(SUM(Matrix_Bobot!$B28:$AI28)=0,0,Matrix_Bobot!W28/SUM(Matrix_Bobot!$B28:$AI28))</f>
        <v>0.01288380251</v>
      </c>
      <c r="X28" s="30">
        <f>IF(SUM(Matrix_Bobot!$B28:$AI28)=0,0,Matrix_Bobot!X28/SUM(Matrix_Bobot!$B28:$AI28))</f>
        <v>0.07975589103</v>
      </c>
      <c r="Y28" s="30">
        <f>IF(SUM(Matrix_Bobot!$B28:$AI28)=0,0,Matrix_Bobot!Y28/SUM(Matrix_Bobot!$B28:$AI28))</f>
        <v>0.01033872661</v>
      </c>
      <c r="Z28" s="28">
        <f>IF(SUM(Matrix_Bobot!$B28:$AI28)=0,0,Matrix_Bobot!Z28/SUM(Matrix_Bobot!$B28:$AI28))</f>
        <v>0</v>
      </c>
      <c r="AA28" s="30">
        <f>IF(SUM(Matrix_Bobot!$B28:$AI28)=0,0,Matrix_Bobot!AA28/SUM(Matrix_Bobot!$B28:$AI28))</f>
        <v>0.01903611693</v>
      </c>
      <c r="AB28" s="30">
        <f>IF(SUM(Matrix_Bobot!$B28:$AI28)=0,0,Matrix_Bobot!AB28/SUM(Matrix_Bobot!$B28:$AI28))</f>
        <v>0.07975589103</v>
      </c>
      <c r="AC28" s="30">
        <f>IF(SUM(Matrix_Bobot!$B28:$AI28)=0,0,Matrix_Bobot!AC28/SUM(Matrix_Bobot!$B28:$AI28))</f>
        <v>0.02147273989</v>
      </c>
      <c r="AD28" s="30">
        <f>IF(SUM(Matrix_Bobot!$B28:$AI28)=0,0,Matrix_Bobot!AD28/SUM(Matrix_Bobot!$B28:$AI28))</f>
        <v>0.1288760935</v>
      </c>
      <c r="AE28" s="30">
        <f>IF(SUM(Matrix_Bobot!$B28:$AI28)=0,0,Matrix_Bobot!AE28/SUM(Matrix_Bobot!$B28:$AI28))</f>
        <v>0.0158009339</v>
      </c>
      <c r="AF28" s="30">
        <f>IF(SUM(Matrix_Bobot!$B28:$AI28)=0,0,Matrix_Bobot!AF28/SUM(Matrix_Bobot!$B28:$AI28))</f>
        <v>0.02263587566</v>
      </c>
      <c r="AG28" s="30">
        <f>IF(SUM(Matrix_Bobot!$B28:$AI28)=0,0,Matrix_Bobot!AG28/SUM(Matrix_Bobot!$B28:$AI28))</f>
        <v>0.1675543929</v>
      </c>
      <c r="AH28" s="30">
        <f>IF(SUM(Matrix_Bobot!$B28:$AI28)=0,0,Matrix_Bobot!AH28/SUM(Matrix_Bobot!$B28:$AI28))</f>
        <v>0.1047057834</v>
      </c>
      <c r="AI28" s="30">
        <f>IF(SUM(Matrix_Bobot!$B28:$AI28)=0,0,Matrix_Bobot!AI28/SUM(Matrix_Bobot!$B28:$AI28))</f>
        <v>0.01781810873</v>
      </c>
      <c r="AJ28" s="33">
        <f t="shared" si="1"/>
        <v>1</v>
      </c>
    </row>
    <row r="29" ht="14.25" customHeight="1">
      <c r="A29" s="22" t="s">
        <v>78</v>
      </c>
      <c r="B29" s="30">
        <f>IF(SUM(Matrix_Bobot!$B29:$AI29)=0,0,Matrix_Bobot!B29/SUM(Matrix_Bobot!$B29:$AI29))</f>
        <v>0.0119599895</v>
      </c>
      <c r="C29" s="30">
        <f>IF(SUM(Matrix_Bobot!$B29:$AI29)=0,0,Matrix_Bobot!C29/SUM(Matrix_Bobot!$B29:$AI29))</f>
        <v>0.01730545104</v>
      </c>
      <c r="D29" s="30">
        <f>IF(SUM(Matrix_Bobot!$B29:$AI29)=0,0,Matrix_Bobot!D29/SUM(Matrix_Bobot!$B29:$AI29))</f>
        <v>0.01669698637</v>
      </c>
      <c r="E29" s="30">
        <f>IF(SUM(Matrix_Bobot!$B29:$AI29)=0,0,Matrix_Bobot!E29/SUM(Matrix_Bobot!$B29:$AI29))</f>
        <v>0.01374711436</v>
      </c>
      <c r="F29" s="30">
        <f>IF(SUM(Matrix_Bobot!$B29:$AI29)=0,0,Matrix_Bobot!F29/SUM(Matrix_Bobot!$B29:$AI29))</f>
        <v>0.01435198739</v>
      </c>
      <c r="G29" s="30">
        <f>IF(SUM(Matrix_Bobot!$B29:$AI29)=0,0,Matrix_Bobot!G29/SUM(Matrix_Bobot!$B29:$AI29))</f>
        <v>0.01114284736</v>
      </c>
      <c r="H29" s="30">
        <f>IF(SUM(Matrix_Bobot!$B29:$AI29)=0,0,Matrix_Bobot!H29/SUM(Matrix_Bobot!$B29:$AI29))</f>
        <v>0.01435198739</v>
      </c>
      <c r="I29" s="30">
        <f>IF(SUM(Matrix_Bobot!$B29:$AI29)=0,0,Matrix_Bobot!I29/SUM(Matrix_Bobot!$B29:$AI29))</f>
        <v>0.0113944854</v>
      </c>
      <c r="J29" s="30">
        <f>IF(SUM(Matrix_Bobot!$B29:$AI29)=0,0,Matrix_Bobot!J29/SUM(Matrix_Bobot!$B29:$AI29))</f>
        <v>0.01326703847</v>
      </c>
      <c r="K29" s="30">
        <f>IF(SUM(Matrix_Bobot!$B29:$AI29)=0,0,Matrix_Bobot!K29/SUM(Matrix_Bobot!$B29:$AI29))</f>
        <v>0.0225293035</v>
      </c>
      <c r="L29" s="30">
        <f>IF(SUM(Matrix_Bobot!$B29:$AI29)=0,0,Matrix_Bobot!L29/SUM(Matrix_Bobot!$B29:$AI29))</f>
        <v>0.03871939045</v>
      </c>
      <c r="M29" s="30">
        <f>IF(SUM(Matrix_Bobot!$B29:$AI29)=0,0,Matrix_Bobot!M29/SUM(Matrix_Bobot!$B29:$AI29))</f>
        <v>0</v>
      </c>
      <c r="N29" s="30">
        <f>IF(SUM(Matrix_Bobot!$B29:$AI29)=0,0,Matrix_Bobot!N29/SUM(Matrix_Bobot!$B29:$AI29))</f>
        <v>0.01555489963</v>
      </c>
      <c r="O29" s="30">
        <f>IF(SUM(Matrix_Bobot!$B29:$AI29)=0,0,Matrix_Bobot!O29/SUM(Matrix_Bobot!$B29:$AI29))</f>
        <v>0.04215662094</v>
      </c>
      <c r="P29" s="30">
        <f>IF(SUM(Matrix_Bobot!$B29:$AI29)=0,0,Matrix_Bobot!P29/SUM(Matrix_Bobot!$B29:$AI29))</f>
        <v>0.04506275696</v>
      </c>
      <c r="Q29" s="30">
        <f>IF(SUM(Matrix_Bobot!$B29:$AI29)=0,0,Matrix_Bobot!Q29/SUM(Matrix_Bobot!$B29:$AI29))</f>
        <v>0</v>
      </c>
      <c r="R29" s="30">
        <f>IF(SUM(Matrix_Bobot!$B29:$AI29)=0,0,Matrix_Bobot!R29/SUM(Matrix_Bobot!$B29:$AI29))</f>
        <v>0.03875656702</v>
      </c>
      <c r="S29" s="30">
        <f>IF(SUM(Matrix_Bobot!$B29:$AI29)=0,0,Matrix_Bobot!S29/SUM(Matrix_Bobot!$B29:$AI29))</f>
        <v>0.01594665266</v>
      </c>
      <c r="T29" s="30">
        <f>IF(SUM(Matrix_Bobot!$B29:$AI29)=0,0,Matrix_Bobot!T29/SUM(Matrix_Bobot!$B29:$AI29))</f>
        <v>0.008611192437</v>
      </c>
      <c r="U29" s="30">
        <f>IF(SUM(Matrix_Bobot!$B29:$AI29)=0,0,Matrix_Bobot!U29/SUM(Matrix_Bobot!$B29:$AI29))</f>
        <v>0.01388902006</v>
      </c>
      <c r="V29" s="30">
        <f>IF(SUM(Matrix_Bobot!$B29:$AI29)=0,0,Matrix_Bobot!V29/SUM(Matrix_Bobot!$B29:$AI29))</f>
        <v>0.007136363094</v>
      </c>
      <c r="W29" s="30">
        <f>IF(SUM(Matrix_Bobot!$B29:$AI29)=0,0,Matrix_Bobot!W29/SUM(Matrix_Bobot!$B29:$AI29))</f>
        <v>0.01359673414</v>
      </c>
      <c r="X29" s="30">
        <f>IF(SUM(Matrix_Bobot!$B29:$AI29)=0,0,Matrix_Bobot!X29/SUM(Matrix_Bobot!$B29:$AI29))</f>
        <v>0.05099806007</v>
      </c>
      <c r="Y29" s="30">
        <f>IF(SUM(Matrix_Bobot!$B29:$AI29)=0,0,Matrix_Bobot!Y29/SUM(Matrix_Bobot!$B29:$AI29))</f>
        <v>0.006363200843</v>
      </c>
      <c r="Z29" s="30">
        <f>IF(SUM(Matrix_Bobot!$B29:$AI29)=0,0,Matrix_Bobot!Z29/SUM(Matrix_Bobot!$B29:$AI29))</f>
        <v>0.04404251451</v>
      </c>
      <c r="AA29" s="28">
        <f>IF(SUM(Matrix_Bobot!$B29:$AI29)=0,0,Matrix_Bobot!AA29/SUM(Matrix_Bobot!$B29:$AI29))</f>
        <v>0</v>
      </c>
      <c r="AB29" s="30">
        <f>IF(SUM(Matrix_Bobot!$B29:$AI29)=0,0,Matrix_Bobot!AB29/SUM(Matrix_Bobot!$B29:$AI29))</f>
        <v>0.2981714833</v>
      </c>
      <c r="AC29" s="30">
        <f>IF(SUM(Matrix_Bobot!$B29:$AI29)=0,0,Matrix_Bobot!AC29/SUM(Matrix_Bobot!$B29:$AI29))</f>
        <v>0.05699253731</v>
      </c>
      <c r="AD29" s="30">
        <f>IF(SUM(Matrix_Bobot!$B29:$AI29)=0,0,Matrix_Bobot!AD29/SUM(Matrix_Bobot!$B29:$AI29))</f>
        <v>0.03954441788</v>
      </c>
      <c r="AE29" s="30">
        <f>IF(SUM(Matrix_Bobot!$B29:$AI29)=0,0,Matrix_Bobot!AE29/SUM(Matrix_Bobot!$B29:$AI29))</f>
        <v>0.03799055487</v>
      </c>
      <c r="AF29" s="30">
        <f>IF(SUM(Matrix_Bobot!$B29:$AI29)=0,0,Matrix_Bobot!AF29/SUM(Matrix_Bobot!$B29:$AI29))</f>
        <v>0.002849626865</v>
      </c>
      <c r="AG29" s="30">
        <f>IF(SUM(Matrix_Bobot!$B29:$AI29)=0,0,Matrix_Bobot!AG29/SUM(Matrix_Bobot!$B29:$AI29))</f>
        <v>0.03728865085</v>
      </c>
      <c r="AH29" s="30">
        <f>IF(SUM(Matrix_Bobot!$B29:$AI29)=0,0,Matrix_Bobot!AH29/SUM(Matrix_Bobot!$B29:$AI29))</f>
        <v>0.02769465835</v>
      </c>
      <c r="AI29" s="30">
        <f>IF(SUM(Matrix_Bobot!$B29:$AI29)=0,0,Matrix_Bobot!AI29/SUM(Matrix_Bobot!$B29:$AI29))</f>
        <v>0.01188690703</v>
      </c>
      <c r="AJ29" s="33">
        <f t="shared" si="1"/>
        <v>1</v>
      </c>
    </row>
    <row r="30" ht="14.25" customHeight="1">
      <c r="A30" s="22" t="s">
        <v>81</v>
      </c>
      <c r="B30" s="30">
        <f>IF(SUM(Matrix_Bobot!$B30:$AI30)=0,0,Matrix_Bobot!B30/SUM(Matrix_Bobot!$B30:$AI30))</f>
        <v>0.005394451412</v>
      </c>
      <c r="C30" s="30">
        <f>IF(SUM(Matrix_Bobot!$B30:$AI30)=0,0,Matrix_Bobot!C30/SUM(Matrix_Bobot!$B30:$AI30))</f>
        <v>0.006305676313</v>
      </c>
      <c r="D30" s="30">
        <f>IF(SUM(Matrix_Bobot!$B30:$AI30)=0,0,Matrix_Bobot!D30/SUM(Matrix_Bobot!$B30:$AI30))</f>
        <v>0.00688738077</v>
      </c>
      <c r="E30" s="30">
        <f>IF(SUM(Matrix_Bobot!$B30:$AI30)=0,0,Matrix_Bobot!E30/SUM(Matrix_Bobot!$B30:$AI30))</f>
        <v>0.007224618496</v>
      </c>
      <c r="F30" s="30">
        <f>IF(SUM(Matrix_Bobot!$B30:$AI30)=0,0,Matrix_Bobot!F30/SUM(Matrix_Bobot!$B30:$AI30))</f>
        <v>0.008150568509</v>
      </c>
      <c r="G30" s="30">
        <f>IF(SUM(Matrix_Bobot!$B30:$AI30)=0,0,Matrix_Bobot!G30/SUM(Matrix_Bobot!$B30:$AI30))</f>
        <v>0.007348347199</v>
      </c>
      <c r="H30" s="30">
        <f>IF(SUM(Matrix_Bobot!$B30:$AI30)=0,0,Matrix_Bobot!H30/SUM(Matrix_Bobot!$B30:$AI30))</f>
        <v>0.006787200686</v>
      </c>
      <c r="I30" s="30">
        <f>IF(SUM(Matrix_Bobot!$B30:$AI30)=0,0,Matrix_Bobot!I30/SUM(Matrix_Bobot!$B30:$AI30))</f>
        <v>0.008621155605</v>
      </c>
      <c r="J30" s="30">
        <f>IF(SUM(Matrix_Bobot!$B30:$AI30)=0,0,Matrix_Bobot!J30/SUM(Matrix_Bobot!$B30:$AI30))</f>
        <v>0.008150568509</v>
      </c>
      <c r="K30" s="30">
        <f>IF(SUM(Matrix_Bobot!$B30:$AI30)=0,0,Matrix_Bobot!K30/SUM(Matrix_Bobot!$B30:$AI30))</f>
        <v>0.007110400718</v>
      </c>
      <c r="L30" s="30">
        <f>IF(SUM(Matrix_Bobot!$B30:$AI30)=0,0,Matrix_Bobot!L30/SUM(Matrix_Bobot!$B30:$AI30))</f>
        <v>0.03204257834</v>
      </c>
      <c r="M30" s="30">
        <f>IF(SUM(Matrix_Bobot!$B30:$AI30)=0,0,Matrix_Bobot!M30/SUM(Matrix_Bobot!$B30:$AI30))</f>
        <v>0.005394451412</v>
      </c>
      <c r="N30" s="30">
        <f>IF(SUM(Matrix_Bobot!$B30:$AI30)=0,0,Matrix_Bobot!N30/SUM(Matrix_Bobot!$B30:$AI30))</f>
        <v>0.04266240431</v>
      </c>
      <c r="O30" s="30">
        <f>IF(SUM(Matrix_Bobot!$B30:$AI30)=0,0,Matrix_Bobot!O30/SUM(Matrix_Bobot!$B30:$AI30))</f>
        <v>0.04079738117</v>
      </c>
      <c r="P30" s="30">
        <f>IF(SUM(Matrix_Bobot!$B30:$AI30)=0,0,Matrix_Bobot!P30/SUM(Matrix_Bobot!$B30:$AI30))</f>
        <v>0.05272542906</v>
      </c>
      <c r="Q30" s="30">
        <f>IF(SUM(Matrix_Bobot!$B30:$AI30)=0,0,Matrix_Bobot!Q30/SUM(Matrix_Bobot!$B30:$AI30))</f>
        <v>0</v>
      </c>
      <c r="R30" s="30">
        <f>IF(SUM(Matrix_Bobot!$B30:$AI30)=0,0,Matrix_Bobot!R30/SUM(Matrix_Bobot!$B30:$AI30))</f>
        <v>0.05613474251</v>
      </c>
      <c r="S30" s="30">
        <f>IF(SUM(Matrix_Bobot!$B30:$AI30)=0,0,Matrix_Bobot!S30/SUM(Matrix_Bobot!$B30:$AI30))</f>
        <v>0.06403019515</v>
      </c>
      <c r="T30" s="30">
        <f>IF(SUM(Matrix_Bobot!$B30:$AI30)=0,0,Matrix_Bobot!T30/SUM(Matrix_Bobot!$B30:$AI30))</f>
        <v>0.04481344991</v>
      </c>
      <c r="U30" s="30">
        <f>IF(SUM(Matrix_Bobot!$B30:$AI30)=0,0,Matrix_Bobot!U30/SUM(Matrix_Bobot!$B30:$AI30))</f>
        <v>0.01092595088</v>
      </c>
      <c r="V30" s="30">
        <f>IF(SUM(Matrix_Bobot!$B30:$AI30)=0,0,Matrix_Bobot!V30/SUM(Matrix_Bobot!$B30:$AI30))</f>
        <v>0.007344010185</v>
      </c>
      <c r="W30" s="30">
        <f>IF(SUM(Matrix_Bobot!$B30:$AI30)=0,0,Matrix_Bobot!W30/SUM(Matrix_Bobot!$B30:$AI30))</f>
        <v>0.05972736603</v>
      </c>
      <c r="X30" s="30">
        <f>IF(SUM(Matrix_Bobot!$B30:$AI30)=0,0,Matrix_Bobot!X30/SUM(Matrix_Bobot!$B30:$AI30))</f>
        <v>0.06403019515</v>
      </c>
      <c r="Y30" s="30">
        <f>IF(SUM(Matrix_Bobot!$B30:$AI30)=0,0,Matrix_Bobot!Y30/SUM(Matrix_Bobot!$B30:$AI30))</f>
        <v>0.01120000113</v>
      </c>
      <c r="Z30" s="30">
        <f>IF(SUM(Matrix_Bobot!$B30:$AI30)=0,0,Matrix_Bobot!Z30/SUM(Matrix_Bobot!$B30:$AI30))</f>
        <v>0.04266240431</v>
      </c>
      <c r="AA30" s="30">
        <f>IF(SUM(Matrix_Bobot!$B30:$AI30)=0,0,Matrix_Bobot!AA30/SUM(Matrix_Bobot!$B30:$AI30))</f>
        <v>0.06893740309</v>
      </c>
      <c r="AB30" s="28">
        <f>IF(SUM(Matrix_Bobot!$B30:$AI30)=0,0,Matrix_Bobot!AB30/SUM(Matrix_Bobot!$B30:$AI30))</f>
        <v>0</v>
      </c>
      <c r="AC30" s="30">
        <f>IF(SUM(Matrix_Bobot!$B30:$AI30)=0,0,Matrix_Bobot!AC30/SUM(Matrix_Bobot!$B30:$AI30))</f>
        <v>0.07465920754</v>
      </c>
      <c r="AD30" s="30">
        <f>IF(SUM(Matrix_Bobot!$B30:$AI30)=0,0,Matrix_Bobot!AD30/SUM(Matrix_Bobot!$B30:$AI30))</f>
        <v>0.04977280503</v>
      </c>
      <c r="AE30" s="30">
        <f>IF(SUM(Matrix_Bobot!$B30:$AI30)=0,0,Matrix_Bobot!AE30/SUM(Matrix_Bobot!$B30:$AI30))</f>
        <v>0.06403019515</v>
      </c>
      <c r="AF30" s="30">
        <f>IF(SUM(Matrix_Bobot!$B30:$AI30)=0,0,Matrix_Bobot!AF30/SUM(Matrix_Bobot!$B30:$AI30))</f>
        <v>0.04266240431</v>
      </c>
      <c r="AG30" s="30">
        <f>IF(SUM(Matrix_Bobot!$B30:$AI30)=0,0,Matrix_Bobot!AG30/SUM(Matrix_Bobot!$B30:$AI30))</f>
        <v>0.03895398494</v>
      </c>
      <c r="AH30" s="30">
        <f>IF(SUM(Matrix_Bobot!$B30:$AI30)=0,0,Matrix_Bobot!AH30/SUM(Matrix_Bobot!$B30:$AI30))</f>
        <v>0.03318187002</v>
      </c>
      <c r="AI30" s="30">
        <f>IF(SUM(Matrix_Bobot!$B30:$AI30)=0,0,Matrix_Bobot!AI30/SUM(Matrix_Bobot!$B30:$AI30))</f>
        <v>0.02133120216</v>
      </c>
      <c r="AJ30" s="33">
        <f t="shared" si="1"/>
        <v>1</v>
      </c>
    </row>
    <row r="31" ht="14.25" customHeight="1">
      <c r="A31" s="22" t="s">
        <v>84</v>
      </c>
      <c r="B31" s="30">
        <f>IF(SUM(Matrix_Bobot!$B31:$AI31)=0,0,Matrix_Bobot!B31/SUM(Matrix_Bobot!$B31:$AI31))</f>
        <v>0.01300939323</v>
      </c>
      <c r="C31" s="30">
        <f>IF(SUM(Matrix_Bobot!$B31:$AI31)=0,0,Matrix_Bobot!C31/SUM(Matrix_Bobot!$B31:$AI31))</f>
        <v>0.0153876452</v>
      </c>
      <c r="D31" s="30">
        <f>IF(SUM(Matrix_Bobot!$B31:$AI31)=0,0,Matrix_Bobot!D31/SUM(Matrix_Bobot!$B31:$AI31))</f>
        <v>0.01670984286</v>
      </c>
      <c r="E31" s="30">
        <f>IF(SUM(Matrix_Bobot!$B31:$AI31)=0,0,Matrix_Bobot!E31/SUM(Matrix_Bobot!$B31:$AI31))</f>
        <v>0.01470553316</v>
      </c>
      <c r="F31" s="30">
        <f>IF(SUM(Matrix_Bobot!$B31:$AI31)=0,0,Matrix_Bobot!F31/SUM(Matrix_Bobot!$B31:$AI31))</f>
        <v>0.01670984286</v>
      </c>
      <c r="G31" s="30">
        <f>IF(SUM(Matrix_Bobot!$B31:$AI31)=0,0,Matrix_Bobot!G31/SUM(Matrix_Bobot!$B31:$AI31))</f>
        <v>0.01828062225</v>
      </c>
      <c r="H31" s="30">
        <f>IF(SUM(Matrix_Bobot!$B31:$AI31)=0,0,Matrix_Bobot!H31/SUM(Matrix_Bobot!$B31:$AI31))</f>
        <v>0.01961590249</v>
      </c>
      <c r="I31" s="30">
        <f>IF(SUM(Matrix_Bobot!$B31:$AI31)=0,0,Matrix_Bobot!I31/SUM(Matrix_Bobot!$B31:$AI31))</f>
        <v>0.01670984286</v>
      </c>
      <c r="J31" s="30">
        <f>IF(SUM(Matrix_Bobot!$B31:$AI31)=0,0,Matrix_Bobot!J31/SUM(Matrix_Bobot!$B31:$AI31))</f>
        <v>0.01804663029</v>
      </c>
      <c r="K31" s="30">
        <f>IF(SUM(Matrix_Bobot!$B31:$AI31)=0,0,Matrix_Bobot!K31/SUM(Matrix_Bobot!$B31:$AI31))</f>
        <v>0.01961590249</v>
      </c>
      <c r="L31" s="30">
        <f>IF(SUM(Matrix_Bobot!$B31:$AI31)=0,0,Matrix_Bobot!L31/SUM(Matrix_Bobot!$B31:$AI31))</f>
        <v>0.07971126452</v>
      </c>
      <c r="M31" s="30">
        <f>IF(SUM(Matrix_Bobot!$B31:$AI31)=0,0,Matrix_Bobot!M31/SUM(Matrix_Bobot!$B31:$AI31))</f>
        <v>0.002728385082</v>
      </c>
      <c r="N31" s="30">
        <f>IF(SUM(Matrix_Bobot!$B31:$AI31)=0,0,Matrix_Bobot!N31/SUM(Matrix_Bobot!$B31:$AI31))</f>
        <v>0.01781855281</v>
      </c>
      <c r="O31" s="30">
        <f>IF(SUM(Matrix_Bobot!$B31:$AI31)=0,0,Matrix_Bobot!O31/SUM(Matrix_Bobot!$B31:$AI31))</f>
        <v>0.03147960907</v>
      </c>
      <c r="P31" s="30">
        <f>IF(SUM(Matrix_Bobot!$B31:$AI31)=0,0,Matrix_Bobot!P31/SUM(Matrix_Bobot!$B31:$AI31))</f>
        <v>0.1127914393</v>
      </c>
      <c r="Q31" s="30">
        <f>IF(SUM(Matrix_Bobot!$B31:$AI31)=0,0,Matrix_Bobot!Q31/SUM(Matrix_Bobot!$B31:$AI31))</f>
        <v>0</v>
      </c>
      <c r="R31" s="30">
        <f>IF(SUM(Matrix_Bobot!$B31:$AI31)=0,0,Matrix_Bobot!R31/SUM(Matrix_Bobot!$B31:$AI31))</f>
        <v>0.02333776936</v>
      </c>
      <c r="S31" s="30">
        <f>IF(SUM(Matrix_Bobot!$B31:$AI31)=0,0,Matrix_Bobot!S31/SUM(Matrix_Bobot!$B31:$AI31))</f>
        <v>0.01670984286</v>
      </c>
      <c r="T31" s="30">
        <f>IF(SUM(Matrix_Bobot!$B31:$AI31)=0,0,Matrix_Bobot!T31/SUM(Matrix_Bobot!$B31:$AI31))</f>
        <v>0.03387130309</v>
      </c>
      <c r="U31" s="30">
        <f>IF(SUM(Matrix_Bobot!$B31:$AI31)=0,0,Matrix_Bobot!U31/SUM(Matrix_Bobot!$B31:$AI31))</f>
        <v>0.009955113795</v>
      </c>
      <c r="V31" s="30">
        <f>IF(SUM(Matrix_Bobot!$B31:$AI31)=0,0,Matrix_Bobot!V31/SUM(Matrix_Bobot!$B31:$AI31))</f>
        <v>0.01301539803</v>
      </c>
      <c r="W31" s="30">
        <f>IF(SUM(Matrix_Bobot!$B31:$AI31)=0,0,Matrix_Bobot!W31/SUM(Matrix_Bobot!$B31:$AI31))</f>
        <v>0.02653916219</v>
      </c>
      <c r="X31" s="30">
        <f>IF(SUM(Matrix_Bobot!$B31:$AI31)=0,0,Matrix_Bobot!X31/SUM(Matrix_Bobot!$B31:$AI31))</f>
        <v>0.02603079605</v>
      </c>
      <c r="Y31" s="30">
        <f>IF(SUM(Matrix_Bobot!$B31:$AI31)=0,0,Matrix_Bobot!Y31/SUM(Matrix_Bobot!$B31:$AI31))</f>
        <v>0.007583127558</v>
      </c>
      <c r="Z31" s="30">
        <f>IF(SUM(Matrix_Bobot!$B31:$AI31)=0,0,Matrix_Bobot!Z31/SUM(Matrix_Bobot!$B31:$AI31))</f>
        <v>0.03470505825</v>
      </c>
      <c r="AA31" s="30">
        <f>IF(SUM(Matrix_Bobot!$B31:$AI31)=0,0,Matrix_Bobot!AA31/SUM(Matrix_Bobot!$B31:$AI31))</f>
        <v>0.03981342722</v>
      </c>
      <c r="AB31" s="30">
        <f>IF(SUM(Matrix_Bobot!$B31:$AI31)=0,0,Matrix_Bobot!AB31/SUM(Matrix_Bobot!$B31:$AI31))</f>
        <v>0.2255828786</v>
      </c>
      <c r="AC31" s="28">
        <f>IF(SUM(Matrix_Bobot!$B31:$AI31)=0,0,Matrix_Bobot!AC31/SUM(Matrix_Bobot!$B31:$AI31))</f>
        <v>0</v>
      </c>
      <c r="AD31" s="30">
        <f>IF(SUM(Matrix_Bobot!$B31:$AI31)=0,0,Matrix_Bobot!AD31/SUM(Matrix_Bobot!$B31:$AI31))</f>
        <v>0.02879830447</v>
      </c>
      <c r="AE31" s="30">
        <f>IF(SUM(Matrix_Bobot!$B31:$AI31)=0,0,Matrix_Bobot!AE31/SUM(Matrix_Bobot!$B31:$AI31))</f>
        <v>0.02762464837</v>
      </c>
      <c r="AF31" s="30">
        <f>IF(SUM(Matrix_Bobot!$B31:$AI31)=0,0,Matrix_Bobot!AF31/SUM(Matrix_Bobot!$B31:$AI31))</f>
        <v>0.005784176374</v>
      </c>
      <c r="AG31" s="30">
        <f>IF(SUM(Matrix_Bobot!$B31:$AI31)=0,0,Matrix_Bobot!AG31/SUM(Matrix_Bobot!$B31:$AI31))</f>
        <v>0.03147960907</v>
      </c>
      <c r="AH31" s="30">
        <f>IF(SUM(Matrix_Bobot!$B31:$AI31)=0,0,Matrix_Bobot!AH31/SUM(Matrix_Bobot!$B31:$AI31))</f>
        <v>0.02944946196</v>
      </c>
      <c r="AI31" s="30">
        <f>IF(SUM(Matrix_Bobot!$B31:$AI31)=0,0,Matrix_Bobot!AI31/SUM(Matrix_Bobot!$B31:$AI31))</f>
        <v>0.006399514287</v>
      </c>
      <c r="AJ31" s="33">
        <f t="shared" si="1"/>
        <v>1</v>
      </c>
    </row>
    <row r="32" ht="14.25" customHeight="1">
      <c r="A32" s="22" t="s">
        <v>89</v>
      </c>
      <c r="B32" s="30">
        <f>IF(SUM(Matrix_Bobot!$B32:$AI32)=0,0,Matrix_Bobot!B32/SUM(Matrix_Bobot!$B32:$AI32))</f>
        <v>0.00966436761</v>
      </c>
      <c r="C32" s="30">
        <f>IF(SUM(Matrix_Bobot!$B32:$AI32)=0,0,Matrix_Bobot!C32/SUM(Matrix_Bobot!$B32:$AI32))</f>
        <v>0.01527774667</v>
      </c>
      <c r="D32" s="30">
        <f>IF(SUM(Matrix_Bobot!$B32:$AI32)=0,0,Matrix_Bobot!D32/SUM(Matrix_Bobot!$B32:$AI32))</f>
        <v>0.0139293136</v>
      </c>
      <c r="E32" s="30">
        <f>IF(SUM(Matrix_Bobot!$B32:$AI32)=0,0,Matrix_Bobot!E32/SUM(Matrix_Bobot!$B32:$AI32))</f>
        <v>0.01334058521</v>
      </c>
      <c r="F32" s="30">
        <f>IF(SUM(Matrix_Bobot!$B32:$AI32)=0,0,Matrix_Bobot!F32/SUM(Matrix_Bobot!$B32:$AI32))</f>
        <v>0.0220110353</v>
      </c>
      <c r="G32" s="30">
        <f>IF(SUM(Matrix_Bobot!$B32:$AI32)=0,0,Matrix_Bobot!G32/SUM(Matrix_Bobot!$B32:$AI32))</f>
        <v>0.01162143763</v>
      </c>
      <c r="H32" s="30">
        <f>IF(SUM(Matrix_Bobot!$B32:$AI32)=0,0,Matrix_Bobot!H32/SUM(Matrix_Bobot!$B32:$AI32))</f>
        <v>0.01467402353</v>
      </c>
      <c r="I32" s="30">
        <f>IF(SUM(Matrix_Bobot!$B32:$AI32)=0,0,Matrix_Bobot!I32/SUM(Matrix_Bobot!$B32:$AI32))</f>
        <v>0.008851324906</v>
      </c>
      <c r="J32" s="30">
        <f>IF(SUM(Matrix_Bobot!$B32:$AI32)=0,0,Matrix_Bobot!J32/SUM(Matrix_Bobot!$B32:$AI32))</f>
        <v>0.01057768921</v>
      </c>
      <c r="K32" s="30">
        <f>IF(SUM(Matrix_Bobot!$B32:$AI32)=0,0,Matrix_Bobot!K32/SUM(Matrix_Bobot!$B32:$AI32))</f>
        <v>0.01352743071</v>
      </c>
      <c r="L32" s="30">
        <f>IF(SUM(Matrix_Bobot!$B32:$AI32)=0,0,Matrix_Bobot!L32/SUM(Matrix_Bobot!$B32:$AI32))</f>
        <v>0.102380229</v>
      </c>
      <c r="M32" s="30">
        <f>IF(SUM(Matrix_Bobot!$B32:$AI32)=0,0,Matrix_Bobot!M32/SUM(Matrix_Bobot!$B32:$AI32))</f>
        <v>0.00558750657</v>
      </c>
      <c r="N32" s="30">
        <f>IF(SUM(Matrix_Bobot!$B32:$AI32)=0,0,Matrix_Bobot!N32/SUM(Matrix_Bobot!$B32:$AI32))</f>
        <v>0.01412883823</v>
      </c>
      <c r="O32" s="30">
        <f>IF(SUM(Matrix_Bobot!$B32:$AI32)=0,0,Matrix_Bobot!O32/SUM(Matrix_Bobot!$B32:$AI32))</f>
        <v>0.01434719301</v>
      </c>
      <c r="P32" s="30">
        <f>IF(SUM(Matrix_Bobot!$B32:$AI32)=0,0,Matrix_Bobot!P32/SUM(Matrix_Bobot!$B32:$AI32))</f>
        <v>0.02459774362</v>
      </c>
      <c r="Q32" s="30">
        <f>IF(SUM(Matrix_Bobot!$B32:$AI32)=0,0,Matrix_Bobot!Q32/SUM(Matrix_Bobot!$B32:$AI32))</f>
        <v>0</v>
      </c>
      <c r="R32" s="30">
        <f>IF(SUM(Matrix_Bobot!$B32:$AI32)=0,0,Matrix_Bobot!R32/SUM(Matrix_Bobot!$B32:$AI32))</f>
        <v>0.02202332167</v>
      </c>
      <c r="S32" s="30">
        <f>IF(SUM(Matrix_Bobot!$B32:$AI32)=0,0,Matrix_Bobot!S32/SUM(Matrix_Bobot!$B32:$AI32))</f>
        <v>0.0128842455</v>
      </c>
      <c r="T32" s="30">
        <f>IF(SUM(Matrix_Bobot!$B32:$AI32)=0,0,Matrix_Bobot!T32/SUM(Matrix_Bobot!$B32:$AI32))</f>
        <v>0.005442977171</v>
      </c>
      <c r="U32" s="30">
        <f>IF(SUM(Matrix_Bobot!$B32:$AI32)=0,0,Matrix_Bobot!U32/SUM(Matrix_Bobot!$B32:$AI32))</f>
        <v>0.01324363687</v>
      </c>
      <c r="V32" s="30">
        <f>IF(SUM(Matrix_Bobot!$B32:$AI32)=0,0,Matrix_Bobot!V32/SUM(Matrix_Bobot!$B32:$AI32))</f>
        <v>0.006751764661</v>
      </c>
      <c r="W32" s="30">
        <f>IF(SUM(Matrix_Bobot!$B32:$AI32)=0,0,Matrix_Bobot!W32/SUM(Matrix_Bobot!$B32:$AI32))</f>
        <v>0.0128842455</v>
      </c>
      <c r="X32" s="30">
        <f>IF(SUM(Matrix_Bobot!$B32:$AI32)=0,0,Matrix_Bobot!X32/SUM(Matrix_Bobot!$B32:$AI32))</f>
        <v>0.02060301868</v>
      </c>
      <c r="Y32" s="30">
        <f>IF(SUM(Matrix_Bobot!$B32:$AI32)=0,0,Matrix_Bobot!Y32/SUM(Matrix_Bobot!$B32:$AI32))</f>
        <v>0</v>
      </c>
      <c r="Z32" s="30">
        <f>IF(SUM(Matrix_Bobot!$B32:$AI32)=0,0,Matrix_Bobot!Z32/SUM(Matrix_Bobot!$B32:$AI32))</f>
        <v>0.2914480574</v>
      </c>
      <c r="AA32" s="30">
        <f>IF(SUM(Matrix_Bobot!$B32:$AI32)=0,0,Matrix_Bobot!AA32/SUM(Matrix_Bobot!$B32:$AI32))</f>
        <v>0.03865273649</v>
      </c>
      <c r="AB32" s="30">
        <f>IF(SUM(Matrix_Bobot!$B32:$AI32)=0,0,Matrix_Bobot!AB32/SUM(Matrix_Bobot!$B32:$AI32))</f>
        <v>0.2104254974</v>
      </c>
      <c r="AC32" s="30">
        <f>IF(SUM(Matrix_Bobot!$B32:$AI32)=0,0,Matrix_Bobot!AC32/SUM(Matrix_Bobot!$B32:$AI32))</f>
        <v>0.04029493006</v>
      </c>
      <c r="AD32" s="28">
        <f>IF(SUM(Matrix_Bobot!$B32:$AI32)=0,0,Matrix_Bobot!AD32/SUM(Matrix_Bobot!$B32:$AI32))</f>
        <v>0</v>
      </c>
      <c r="AE32" s="30">
        <f>IF(SUM(Matrix_Bobot!$B32:$AI32)=0,0,Matrix_Bobot!AE32/SUM(Matrix_Bobot!$B32:$AI32))</f>
        <v>0</v>
      </c>
      <c r="AF32" s="30">
        <f>IF(SUM(Matrix_Bobot!$B32:$AI32)=0,0,Matrix_Bobot!AF32/SUM(Matrix_Bobot!$B32:$AI32))</f>
        <v>0.00601215707</v>
      </c>
      <c r="AG32" s="30">
        <f>IF(SUM(Matrix_Bobot!$B32:$AI32)=0,0,Matrix_Bobot!AG32/SUM(Matrix_Bobot!$B32:$AI32))</f>
        <v>0.007762868818</v>
      </c>
      <c r="AH32" s="30">
        <f>IF(SUM(Matrix_Bobot!$B32:$AI32)=0,0,Matrix_Bobot!AH32/SUM(Matrix_Bobot!$B32:$AI32))</f>
        <v>0.007342131802</v>
      </c>
      <c r="AI32" s="30">
        <f>IF(SUM(Matrix_Bobot!$B32:$AI32)=0,0,Matrix_Bobot!AI32/SUM(Matrix_Bobot!$B32:$AI32))</f>
        <v>0.009711946036</v>
      </c>
      <c r="AJ32" s="33">
        <f t="shared" si="1"/>
        <v>1</v>
      </c>
    </row>
    <row r="33" ht="14.25" customHeight="1">
      <c r="A33" s="22" t="s">
        <v>92</v>
      </c>
      <c r="B33" s="30">
        <f>IF(SUM(Matrix_Bobot!$B33:$AI33)=0,0,Matrix_Bobot!B33/SUM(Matrix_Bobot!$B33:$AI33))</f>
        <v>0.005112124444</v>
      </c>
      <c r="C33" s="30">
        <f>IF(SUM(Matrix_Bobot!$B33:$AI33)=0,0,Matrix_Bobot!C33/SUM(Matrix_Bobot!$B33:$AI33))</f>
        <v>0.009694199493</v>
      </c>
      <c r="D33" s="30">
        <f>IF(SUM(Matrix_Bobot!$B33:$AI33)=0,0,Matrix_Bobot!D33/SUM(Matrix_Bobot!$B33:$AI33))</f>
        <v>0.006956586603</v>
      </c>
      <c r="E33" s="30">
        <f>IF(SUM(Matrix_Bobot!$B33:$AI33)=0,0,Matrix_Bobot!E33/SUM(Matrix_Bobot!$B33:$AI33))</f>
        <v>0.01607311027</v>
      </c>
      <c r="F33" s="30">
        <f>IF(SUM(Matrix_Bobot!$B33:$AI33)=0,0,Matrix_Bobot!F33/SUM(Matrix_Bobot!$B33:$AI33))</f>
        <v>0.01022802105</v>
      </c>
      <c r="G33" s="30">
        <f>IF(SUM(Matrix_Bobot!$B33:$AI33)=0,0,Matrix_Bobot!G33/SUM(Matrix_Bobot!$B33:$AI33))</f>
        <v>0.01534203158</v>
      </c>
      <c r="H33" s="30">
        <f>IF(SUM(Matrix_Bobot!$B33:$AI33)=0,0,Matrix_Bobot!H33/SUM(Matrix_Bobot!$B33:$AI33))</f>
        <v>0.01022802105</v>
      </c>
      <c r="I33" s="30">
        <f>IF(SUM(Matrix_Bobot!$B33:$AI33)=0,0,Matrix_Bobot!I33/SUM(Matrix_Bobot!$B33:$AI33))</f>
        <v>0.008277222027</v>
      </c>
      <c r="J33" s="30">
        <f>IF(SUM(Matrix_Bobot!$B33:$AI33)=0,0,Matrix_Bobot!J33/SUM(Matrix_Bobot!$B33:$AI33))</f>
        <v>0.009235735525</v>
      </c>
      <c r="K33" s="30">
        <f>IF(SUM(Matrix_Bobot!$B33:$AI33)=0,0,Matrix_Bobot!K33/SUM(Matrix_Bobot!$B33:$AI33))</f>
        <v>0.007189969234</v>
      </c>
      <c r="L33" s="30">
        <f>IF(SUM(Matrix_Bobot!$B33:$AI33)=0,0,Matrix_Bobot!L33/SUM(Matrix_Bobot!$B33:$AI33))</f>
        <v>0.02982990294</v>
      </c>
      <c r="M33" s="30">
        <f>IF(SUM(Matrix_Bobot!$B33:$AI33)=0,0,Matrix_Bobot!M33/SUM(Matrix_Bobot!$B33:$AI33))</f>
        <v>0.003017494405</v>
      </c>
      <c r="N33" s="30">
        <f>IF(SUM(Matrix_Bobot!$B33:$AI33)=0,0,Matrix_Bobot!N33/SUM(Matrix_Bobot!$B33:$AI33))</f>
        <v>0.01172606454</v>
      </c>
      <c r="O33" s="30">
        <f>IF(SUM(Matrix_Bobot!$B33:$AI33)=0,0,Matrix_Bobot!O33/SUM(Matrix_Bobot!$B33:$AI33))</f>
        <v>0.0288417488</v>
      </c>
      <c r="P33" s="30">
        <f>IF(SUM(Matrix_Bobot!$B33:$AI33)=0,0,Matrix_Bobot!P33/SUM(Matrix_Bobot!$B33:$AI33))</f>
        <v>0.04398662669</v>
      </c>
      <c r="Q33" s="30">
        <f>IF(SUM(Matrix_Bobot!$B33:$AI33)=0,0,Matrix_Bobot!Q33/SUM(Matrix_Bobot!$B33:$AI33))</f>
        <v>0</v>
      </c>
      <c r="R33" s="30">
        <f>IF(SUM(Matrix_Bobot!$B33:$AI33)=0,0,Matrix_Bobot!R33/SUM(Matrix_Bobot!$B33:$AI33))</f>
        <v>0.0269658627</v>
      </c>
      <c r="S33" s="30">
        <f>IF(SUM(Matrix_Bobot!$B33:$AI33)=0,0,Matrix_Bobot!S33/SUM(Matrix_Bobot!$B33:$AI33))</f>
        <v>0.01081989807</v>
      </c>
      <c r="T33" s="30">
        <f>IF(SUM(Matrix_Bobot!$B33:$AI33)=0,0,Matrix_Bobot!T33/SUM(Matrix_Bobot!$B33:$AI33))</f>
        <v>0.004804471347</v>
      </c>
      <c r="U33" s="30">
        <f>IF(SUM(Matrix_Bobot!$B33:$AI33)=0,0,Matrix_Bobot!U33/SUM(Matrix_Bobot!$B33:$AI33))</f>
        <v>0.01061376356</v>
      </c>
      <c r="V33" s="30">
        <f>IF(SUM(Matrix_Bobot!$B33:$AI33)=0,0,Matrix_Bobot!V33/SUM(Matrix_Bobot!$B33:$AI33))</f>
        <v>0.005490094062</v>
      </c>
      <c r="W33" s="30">
        <f>IF(SUM(Matrix_Bobot!$B33:$AI33)=0,0,Matrix_Bobot!W33/SUM(Matrix_Bobot!$B33:$AI33))</f>
        <v>0.03095681038</v>
      </c>
      <c r="X33" s="30">
        <f>IF(SUM(Matrix_Bobot!$B33:$AI33)=0,0,Matrix_Bobot!X33/SUM(Matrix_Bobot!$B33:$AI33))</f>
        <v>0.2786112934</v>
      </c>
      <c r="Y33" s="30">
        <f>IF(SUM(Matrix_Bobot!$B33:$AI33)=0,0,Matrix_Bobot!Y33/SUM(Matrix_Bobot!$B33:$AI33))</f>
        <v>0.009444770787</v>
      </c>
      <c r="Z33" s="30">
        <f>IF(SUM(Matrix_Bobot!$B33:$AI33)=0,0,Matrix_Bobot!Z33/SUM(Matrix_Bobot!$B33:$AI33))</f>
        <v>0.03154137724</v>
      </c>
      <c r="AA33" s="30">
        <f>IF(SUM(Matrix_Bobot!$B33:$AI33)=0,0,Matrix_Bobot!AA33/SUM(Matrix_Bobot!$B33:$AI33))</f>
        <v>0.03277779923</v>
      </c>
      <c r="AB33" s="30">
        <f>IF(SUM(Matrix_Bobot!$B33:$AI33)=0,0,Matrix_Bobot!AB33/SUM(Matrix_Bobot!$B33:$AI33))</f>
        <v>0.2389462208</v>
      </c>
      <c r="AC33" s="30">
        <f>IF(SUM(Matrix_Bobot!$B33:$AI33)=0,0,Matrix_Bobot!AC33/SUM(Matrix_Bobot!$B33:$AI33))</f>
        <v>0.03411845376</v>
      </c>
      <c r="AD33" s="30">
        <f>IF(SUM(Matrix_Bobot!$B33:$AI33)=0,0,Matrix_Bobot!AD33/SUM(Matrix_Bobot!$B33:$AI33))</f>
        <v>0</v>
      </c>
      <c r="AE33" s="28">
        <f>IF(SUM(Matrix_Bobot!$B33:$AI33)=0,0,Matrix_Bobot!AE33/SUM(Matrix_Bobot!$B33:$AI33))</f>
        <v>0</v>
      </c>
      <c r="AF33" s="30">
        <f>IF(SUM(Matrix_Bobot!$B33:$AI33)=0,0,Matrix_Bobot!AF33/SUM(Matrix_Bobot!$B33:$AI33))</f>
        <v>0.007429634492</v>
      </c>
      <c r="AG33" s="30">
        <f>IF(SUM(Matrix_Bobot!$B33:$AI33)=0,0,Matrix_Bobot!AG33/SUM(Matrix_Bobot!$B33:$AI33))</f>
        <v>0.01655129705</v>
      </c>
      <c r="AH33" s="30">
        <f>IF(SUM(Matrix_Bobot!$B33:$AI33)=0,0,Matrix_Bobot!AH33/SUM(Matrix_Bobot!$B33:$AI33))</f>
        <v>0.03411845376</v>
      </c>
      <c r="AI33" s="30">
        <f>IF(SUM(Matrix_Bobot!$B33:$AI33)=0,0,Matrix_Bobot!AI33/SUM(Matrix_Bobot!$B33:$AI33))</f>
        <v>0.01107094069</v>
      </c>
      <c r="AJ33" s="33">
        <f t="shared" si="1"/>
        <v>1</v>
      </c>
    </row>
    <row r="34" ht="14.25" customHeight="1">
      <c r="A34" s="22" t="s">
        <v>94</v>
      </c>
      <c r="B34" s="30">
        <f>IF(SUM(Matrix_Bobot!$B34:$AI34)=0,0,Matrix_Bobot!B34/SUM(Matrix_Bobot!$B34:$AI34))</f>
        <v>0.008502006991</v>
      </c>
      <c r="C34" s="30">
        <f>IF(SUM(Matrix_Bobot!$B34:$AI34)=0,0,Matrix_Bobot!C34/SUM(Matrix_Bobot!$B34:$AI34))</f>
        <v>0.01614569404</v>
      </c>
      <c r="D34" s="30">
        <f>IF(SUM(Matrix_Bobot!$B34:$AI34)=0,0,Matrix_Bobot!D34/SUM(Matrix_Bobot!$B34:$AI34))</f>
        <v>0.01245767761</v>
      </c>
      <c r="E34" s="30">
        <f>IF(SUM(Matrix_Bobot!$B34:$AI34)=0,0,Matrix_Bobot!E34/SUM(Matrix_Bobot!$B34:$AI34))</f>
        <v>0.006188127441</v>
      </c>
      <c r="F34" s="30">
        <f>IF(SUM(Matrix_Bobot!$B34:$AI34)=0,0,Matrix_Bobot!F34/SUM(Matrix_Bobot!$B34:$AI34))</f>
        <v>0.01213824998</v>
      </c>
      <c r="G34" s="30">
        <f>IF(SUM(Matrix_Bobot!$B34:$AI34)=0,0,Matrix_Bobot!G34/SUM(Matrix_Bobot!$B34:$AI34))</f>
        <v>0.01614569404</v>
      </c>
      <c r="H34" s="30">
        <f>IF(SUM(Matrix_Bobot!$B34:$AI34)=0,0,Matrix_Bobot!H34/SUM(Matrix_Bobot!$B34:$AI34))</f>
        <v>0.00972456346</v>
      </c>
      <c r="I34" s="30">
        <f>IF(SUM(Matrix_Bobot!$B34:$AI34)=0,0,Matrix_Bobot!I34/SUM(Matrix_Bobot!$B34:$AI34))</f>
        <v>0.01918118919</v>
      </c>
      <c r="J34" s="30">
        <f>IF(SUM(Matrix_Bobot!$B34:$AI34)=0,0,Matrix_Bobot!J34/SUM(Matrix_Bobot!$B34:$AI34))</f>
        <v>0.01092476113</v>
      </c>
      <c r="K34" s="30">
        <f>IF(SUM(Matrix_Bobot!$B34:$AI34)=0,0,Matrix_Bobot!K34/SUM(Matrix_Bobot!$B34:$AI34))</f>
        <v>0.01479349216</v>
      </c>
      <c r="L34" s="30">
        <f>IF(SUM(Matrix_Bobot!$B34:$AI34)=0,0,Matrix_Bobot!L34/SUM(Matrix_Bobot!$B34:$AI34))</f>
        <v>0.06606080788</v>
      </c>
      <c r="M34" s="30">
        <f>IF(SUM(Matrix_Bobot!$B34:$AI34)=0,0,Matrix_Bobot!M34/SUM(Matrix_Bobot!$B34:$AI34))</f>
        <v>0.005990783969</v>
      </c>
      <c r="N34" s="30">
        <f>IF(SUM(Matrix_Bobot!$B34:$AI34)=0,0,Matrix_Bobot!N34/SUM(Matrix_Bobot!$B34:$AI34))</f>
        <v>0.01893566997</v>
      </c>
      <c r="O34" s="30">
        <f>IF(SUM(Matrix_Bobot!$B34:$AI34)=0,0,Matrix_Bobot!O34/SUM(Matrix_Bobot!$B34:$AI34))</f>
        <v>0.01820737497</v>
      </c>
      <c r="P34" s="30">
        <f>IF(SUM(Matrix_Bobot!$B34:$AI34)=0,0,Matrix_Bobot!P34/SUM(Matrix_Bobot!$B34:$AI34))</f>
        <v>0.08878314877</v>
      </c>
      <c r="Q34" s="30">
        <f>IF(SUM(Matrix_Bobot!$B34:$AI34)=0,0,Matrix_Bobot!Q34/SUM(Matrix_Bobot!$B34:$AI34))</f>
        <v>0</v>
      </c>
      <c r="R34" s="30">
        <f>IF(SUM(Matrix_Bobot!$B34:$AI34)=0,0,Matrix_Bobot!R34/SUM(Matrix_Bobot!$B34:$AI34))</f>
        <v>0.01732005522</v>
      </c>
      <c r="S34" s="30">
        <f>IF(SUM(Matrix_Bobot!$B34:$AI34)=0,0,Matrix_Bobot!S34/SUM(Matrix_Bobot!$B34:$AI34))</f>
        <v>0.008529581067</v>
      </c>
      <c r="T34" s="30">
        <f>IF(SUM(Matrix_Bobot!$B34:$AI34)=0,0,Matrix_Bobot!T34/SUM(Matrix_Bobot!$B34:$AI34))</f>
        <v>0.007574752772</v>
      </c>
      <c r="U34" s="30">
        <f>IF(SUM(Matrix_Bobot!$B34:$AI34)=0,0,Matrix_Bobot!U34/SUM(Matrix_Bobot!$B34:$AI34))</f>
        <v>0.01632385342</v>
      </c>
      <c r="V34" s="30">
        <f>IF(SUM(Matrix_Bobot!$B34:$AI34)=0,0,Matrix_Bobot!V34/SUM(Matrix_Bobot!$B34:$AI34))</f>
        <v>0.01844402601</v>
      </c>
      <c r="W34" s="30">
        <f>IF(SUM(Matrix_Bobot!$B34:$AI34)=0,0,Matrix_Bobot!W34/SUM(Matrix_Bobot!$B34:$AI34))</f>
        <v>0.01560700743</v>
      </c>
      <c r="X34" s="30">
        <f>IF(SUM(Matrix_Bobot!$B34:$AI34)=0,0,Matrix_Bobot!X34/SUM(Matrix_Bobot!$B34:$AI34))</f>
        <v>0.01434520452</v>
      </c>
      <c r="Y34" s="30">
        <f>IF(SUM(Matrix_Bobot!$B34:$AI34)=0,0,Matrix_Bobot!Y34/SUM(Matrix_Bobot!$B34:$AI34))</f>
        <v>0.003797268143</v>
      </c>
      <c r="Z34" s="30">
        <f>IF(SUM(Matrix_Bobot!$B34:$AI34)=0,0,Matrix_Bobot!Z34/SUM(Matrix_Bobot!$B34:$AI34))</f>
        <v>0.03838726478</v>
      </c>
      <c r="AA34" s="30">
        <f>IF(SUM(Matrix_Bobot!$B34:$AI34)=0,0,Matrix_Bobot!AA34/SUM(Matrix_Bobot!$B34:$AI34))</f>
        <v>0.002088738745</v>
      </c>
      <c r="AB34" s="30">
        <f>IF(SUM(Matrix_Bobot!$B34:$AI34)=0,0,Matrix_Bobot!AB34/SUM(Matrix_Bobot!$B34:$AI34))</f>
        <v>0.1352547855</v>
      </c>
      <c r="AC34" s="30">
        <f>IF(SUM(Matrix_Bobot!$B34:$AI34)=0,0,Matrix_Bobot!AC34/SUM(Matrix_Bobot!$B34:$AI34))</f>
        <v>0.00606912499</v>
      </c>
      <c r="AD34" s="30">
        <f>IF(SUM(Matrix_Bobot!$B34:$AI34)=0,0,Matrix_Bobot!AD34/SUM(Matrix_Bobot!$B34:$AI34))</f>
        <v>0.00450849285</v>
      </c>
      <c r="AE34" s="30">
        <f>IF(SUM(Matrix_Bobot!$B34:$AI34)=0,0,Matrix_Bobot!AE34/SUM(Matrix_Bobot!$B34:$AI34))</f>
        <v>0.00631188999</v>
      </c>
      <c r="AF34" s="28">
        <f>IF(SUM(Matrix_Bobot!$B34:$AI34)=0,0,Matrix_Bobot!AF34/SUM(Matrix_Bobot!$B34:$AI34))</f>
        <v>0</v>
      </c>
      <c r="AG34" s="30">
        <f>IF(SUM(Matrix_Bobot!$B34:$AI34)=0,0,Matrix_Bobot!AG34/SUM(Matrix_Bobot!$B34:$AI34))</f>
        <v>0.1577972497</v>
      </c>
      <c r="AH34" s="30">
        <f>IF(SUM(Matrix_Bobot!$B34:$AI34)=0,0,Matrix_Bobot!AH34/SUM(Matrix_Bobot!$B34:$AI34))</f>
        <v>0.2185557476</v>
      </c>
      <c r="AI34" s="30">
        <f>IF(SUM(Matrix_Bobot!$B34:$AI34)=0,0,Matrix_Bobot!AI34/SUM(Matrix_Bobot!$B34:$AI34))</f>
        <v>0.004905715655</v>
      </c>
      <c r="AJ34" s="33">
        <f t="shared" si="1"/>
        <v>1</v>
      </c>
    </row>
    <row r="35" ht="14.25" customHeight="1">
      <c r="A35" s="22" t="s">
        <v>96</v>
      </c>
      <c r="B35" s="30">
        <f>IF(SUM(Matrix_Bobot!$B35:$AI35)=0,0,Matrix_Bobot!B35/SUM(Matrix_Bobot!$B35:$AI35))</f>
        <v>0.008660207569</v>
      </c>
      <c r="C35" s="30">
        <f>IF(SUM(Matrix_Bobot!$B35:$AI35)=0,0,Matrix_Bobot!C35/SUM(Matrix_Bobot!$B35:$AI35))</f>
        <v>0.01256120509</v>
      </c>
      <c r="D35" s="30">
        <f>IF(SUM(Matrix_Bobot!$B35:$AI35)=0,0,Matrix_Bobot!D35/SUM(Matrix_Bobot!$B35:$AI35))</f>
        <v>0.01106582353</v>
      </c>
      <c r="E35" s="30">
        <f>IF(SUM(Matrix_Bobot!$B35:$AI35)=0,0,Matrix_Bobot!E35/SUM(Matrix_Bobot!$B35:$AI35))</f>
        <v>0.007041887702</v>
      </c>
      <c r="F35" s="30">
        <f>IF(SUM(Matrix_Bobot!$B35:$AI35)=0,0,Matrix_Bobot!F35/SUM(Matrix_Bobot!$B35:$AI35))</f>
        <v>0.01072863777</v>
      </c>
      <c r="G35" s="30">
        <f>IF(SUM(Matrix_Bobot!$B35:$AI35)=0,0,Matrix_Bobot!G35/SUM(Matrix_Bobot!$B35:$AI35))</f>
        <v>0.01088951707</v>
      </c>
      <c r="H35" s="30">
        <f>IF(SUM(Matrix_Bobot!$B35:$AI35)=0,0,Matrix_Bobot!H35/SUM(Matrix_Bobot!$B35:$AI35))</f>
        <v>0.006991043748</v>
      </c>
      <c r="I35" s="30">
        <f>IF(SUM(Matrix_Bobot!$B35:$AI35)=0,0,Matrix_Bobot!I35/SUM(Matrix_Bobot!$B35:$AI35))</f>
        <v>0.007787610395</v>
      </c>
      <c r="J35" s="30">
        <f>IF(SUM(Matrix_Bobot!$B35:$AI35)=0,0,Matrix_Bobot!J35/SUM(Matrix_Bobot!$B35:$AI35))</f>
        <v>0.008937780545</v>
      </c>
      <c r="K35" s="30">
        <f>IF(SUM(Matrix_Bobot!$B35:$AI35)=0,0,Matrix_Bobot!K35/SUM(Matrix_Bobot!$B35:$AI35))</f>
        <v>0.01072536966</v>
      </c>
      <c r="L35" s="30">
        <f>IF(SUM(Matrix_Bobot!$B35:$AI35)=0,0,Matrix_Bobot!L35/SUM(Matrix_Bobot!$B35:$AI35))</f>
        <v>0.06331942621</v>
      </c>
      <c r="M35" s="30">
        <f>IF(SUM(Matrix_Bobot!$B35:$AI35)=0,0,Matrix_Bobot!M35/SUM(Matrix_Bobot!$B35:$AI35))</f>
        <v>0.004865625925</v>
      </c>
      <c r="N35" s="30">
        <f>IF(SUM(Matrix_Bobot!$B35:$AI35)=0,0,Matrix_Bobot!N35/SUM(Matrix_Bobot!$B35:$AI35))</f>
        <v>0.007808544831</v>
      </c>
      <c r="O35" s="30">
        <f>IF(SUM(Matrix_Bobot!$B35:$AI35)=0,0,Matrix_Bobot!O35/SUM(Matrix_Bobot!$B35:$AI35))</f>
        <v>0.01701188098</v>
      </c>
      <c r="P35" s="30">
        <f>IF(SUM(Matrix_Bobot!$B35:$AI35)=0,0,Matrix_Bobot!P35/SUM(Matrix_Bobot!$B35:$AI35))</f>
        <v>0.07967575059</v>
      </c>
      <c r="Q35" s="30">
        <f>IF(SUM(Matrix_Bobot!$B35:$AI35)=0,0,Matrix_Bobot!Q35/SUM(Matrix_Bobot!$B35:$AI35))</f>
        <v>0</v>
      </c>
      <c r="R35" s="30">
        <f>IF(SUM(Matrix_Bobot!$B35:$AI35)=0,0,Matrix_Bobot!R35/SUM(Matrix_Bobot!$B35:$AI35))</f>
        <v>0.01991962062</v>
      </c>
      <c r="S35" s="30">
        <f>IF(SUM(Matrix_Bobot!$B35:$AI35)=0,0,Matrix_Bobot!S35/SUM(Matrix_Bobot!$B35:$AI35))</f>
        <v>0.008302332768</v>
      </c>
      <c r="T35" s="30">
        <f>IF(SUM(Matrix_Bobot!$B35:$AI35)=0,0,Matrix_Bobot!T35/SUM(Matrix_Bobot!$B35:$AI35))</f>
        <v>0.02213164706</v>
      </c>
      <c r="U35" s="30">
        <f>IF(SUM(Matrix_Bobot!$B35:$AI35)=0,0,Matrix_Bobot!U35/SUM(Matrix_Bobot!$B35:$AI35))</f>
        <v>0.007205652533</v>
      </c>
      <c r="V35" s="30">
        <f>IF(SUM(Matrix_Bobot!$B35:$AI35)=0,0,Matrix_Bobot!V35/SUM(Matrix_Bobot!$B35:$AI35))</f>
        <v>0.00525157727</v>
      </c>
      <c r="W35" s="30">
        <f>IF(SUM(Matrix_Bobot!$B35:$AI35)=0,0,Matrix_Bobot!W35/SUM(Matrix_Bobot!$B35:$AI35))</f>
        <v>0.008226504325</v>
      </c>
      <c r="X35" s="30">
        <f>IF(SUM(Matrix_Bobot!$B35:$AI35)=0,0,Matrix_Bobot!X35/SUM(Matrix_Bobot!$B35:$AI35))</f>
        <v>0.01032810196</v>
      </c>
      <c r="Y35" s="30">
        <f>IF(SUM(Matrix_Bobot!$B35:$AI35)=0,0,Matrix_Bobot!Y35/SUM(Matrix_Bobot!$B35:$AI35))</f>
        <v>0.006546164517</v>
      </c>
      <c r="Z35" s="30">
        <f>IF(SUM(Matrix_Bobot!$B35:$AI35)=0,0,Matrix_Bobot!Z35/SUM(Matrix_Bobot!$B35:$AI35))</f>
        <v>0.2789703411</v>
      </c>
      <c r="AA35" s="30">
        <f>IF(SUM(Matrix_Bobot!$B35:$AI35)=0,0,Matrix_Bobot!AA35/SUM(Matrix_Bobot!$B35:$AI35))</f>
        <v>0.02683398316</v>
      </c>
      <c r="AB35" s="30">
        <f>IF(SUM(Matrix_Bobot!$B35:$AI35)=0,0,Matrix_Bobot!AB35/SUM(Matrix_Bobot!$B35:$AI35))</f>
        <v>0.1212471534</v>
      </c>
      <c r="AC35" s="30">
        <f>IF(SUM(Matrix_Bobot!$B35:$AI35)=0,0,Matrix_Bobot!AC35/SUM(Matrix_Bobot!$B35:$AI35))</f>
        <v>0.032428453</v>
      </c>
      <c r="AD35" s="30">
        <f>IF(SUM(Matrix_Bobot!$B35:$AI35)=0,0,Matrix_Bobot!AD35/SUM(Matrix_Bobot!$B35:$AI35))</f>
        <v>0.005715255636</v>
      </c>
      <c r="AE35" s="30">
        <f>IF(SUM(Matrix_Bobot!$B35:$AI35)=0,0,Matrix_Bobot!AE35/SUM(Matrix_Bobot!$B35:$AI35))</f>
        <v>0.01380499811</v>
      </c>
      <c r="AF35" s="30">
        <f>IF(SUM(Matrix_Bobot!$B35:$AI35)=0,0,Matrix_Bobot!AF35/SUM(Matrix_Bobot!$B35:$AI35))</f>
        <v>0.1549215295</v>
      </c>
      <c r="AG35" s="28">
        <f>IF(SUM(Matrix_Bobot!$B35:$AI35)=0,0,Matrix_Bobot!AG35/SUM(Matrix_Bobot!$B35:$AI35))</f>
        <v>0</v>
      </c>
      <c r="AH35" s="30">
        <f>IF(SUM(Matrix_Bobot!$B35:$AI35)=0,0,Matrix_Bobot!AH35/SUM(Matrix_Bobot!$B35:$AI35))</f>
        <v>0.005691013542</v>
      </c>
      <c r="AI35" s="30">
        <f>IF(SUM(Matrix_Bobot!$B35:$AI35)=0,0,Matrix_Bobot!AI35/SUM(Matrix_Bobot!$B35:$AI35))</f>
        <v>0.0044053599</v>
      </c>
      <c r="AJ35" s="33">
        <f t="shared" si="1"/>
        <v>1</v>
      </c>
    </row>
    <row r="36" ht="14.25" customHeight="1">
      <c r="A36" s="22" t="s">
        <v>98</v>
      </c>
      <c r="B36" s="30">
        <f>IF(SUM(Matrix_Bobot!$B36:$AI36)=0,0,Matrix_Bobot!B36/SUM(Matrix_Bobot!$B36:$AI36))</f>
        <v>0.009107811433</v>
      </c>
      <c r="C36" s="30">
        <f>IF(SUM(Matrix_Bobot!$B36:$AI36)=0,0,Matrix_Bobot!C36/SUM(Matrix_Bobot!$B36:$AI36))</f>
        <v>0.01330811977</v>
      </c>
      <c r="D36" s="30">
        <f>IF(SUM(Matrix_Bobot!$B36:$AI36)=0,0,Matrix_Bobot!D36/SUM(Matrix_Bobot!$B36:$AI36))</f>
        <v>0.01268150426</v>
      </c>
      <c r="E36" s="30">
        <f>IF(SUM(Matrix_Bobot!$B36:$AI36)=0,0,Matrix_Bobot!E36/SUM(Matrix_Bobot!$B36:$AI36))</f>
        <v>0.01069177864</v>
      </c>
      <c r="F36" s="30">
        <f>IF(SUM(Matrix_Bobot!$B36:$AI36)=0,0,Matrix_Bobot!F36/SUM(Matrix_Bobot!$B36:$AI36))</f>
        <v>0.00773463371</v>
      </c>
      <c r="G36" s="30">
        <f>IF(SUM(Matrix_Bobot!$B36:$AI36)=0,0,Matrix_Bobot!G36/SUM(Matrix_Bobot!$B36:$AI36))</f>
        <v>0.01140312681</v>
      </c>
      <c r="H36" s="30">
        <f>IF(SUM(Matrix_Bobot!$B36:$AI36)=0,0,Matrix_Bobot!H36/SUM(Matrix_Bobot!$B36:$AI36))</f>
        <v>0.008872079843</v>
      </c>
      <c r="I36" s="30">
        <f>IF(SUM(Matrix_Bobot!$B36:$AI36)=0,0,Matrix_Bobot!I36/SUM(Matrix_Bobot!$B36:$AI36))</f>
        <v>0.01885316967</v>
      </c>
      <c r="J36" s="30">
        <f>IF(SUM(Matrix_Bobot!$B36:$AI36)=0,0,Matrix_Bobot!J36/SUM(Matrix_Bobot!$B36:$AI36))</f>
        <v>0.009905343083</v>
      </c>
      <c r="K36" s="30">
        <f>IF(SUM(Matrix_Bobot!$B36:$AI36)=0,0,Matrix_Bobot!K36/SUM(Matrix_Bobot!$B36:$AI36))</f>
        <v>0.01060388069</v>
      </c>
      <c r="L36" s="30">
        <f>IF(SUM(Matrix_Bobot!$B36:$AI36)=0,0,Matrix_Bobot!L36/SUM(Matrix_Bobot!$B36:$AI36))</f>
        <v>0.05540975655</v>
      </c>
      <c r="M36" s="30">
        <f>IF(SUM(Matrix_Bobot!$B36:$AI36)=0,0,Matrix_Bobot!M36/SUM(Matrix_Bobot!$B36:$AI36))</f>
        <v>0.005726095571</v>
      </c>
      <c r="N36" s="30">
        <f>IF(SUM(Matrix_Bobot!$B36:$AI36)=0,0,Matrix_Bobot!N36/SUM(Matrix_Bobot!$B36:$AI36))</f>
        <v>0.01292788777</v>
      </c>
      <c r="O36" s="30">
        <f>IF(SUM(Matrix_Bobot!$B36:$AI36)=0,0,Matrix_Bobot!O36/SUM(Matrix_Bobot!$B36:$AI36))</f>
        <v>0.01413987725</v>
      </c>
      <c r="P36" s="30">
        <f>IF(SUM(Matrix_Bobot!$B36:$AI36)=0,0,Matrix_Bobot!P36/SUM(Matrix_Bobot!$B36:$AI36))</f>
        <v>0.02561571966</v>
      </c>
      <c r="Q36" s="30">
        <f>IF(SUM(Matrix_Bobot!$B36:$AI36)=0,0,Matrix_Bobot!Q36/SUM(Matrix_Bobot!$B36:$AI36))</f>
        <v>0</v>
      </c>
      <c r="R36" s="30">
        <f>IF(SUM(Matrix_Bobot!$B36:$AI36)=0,0,Matrix_Bobot!R36/SUM(Matrix_Bobot!$B36:$AI36))</f>
        <v>0.01675837304</v>
      </c>
      <c r="S36" s="30">
        <f>IF(SUM(Matrix_Bobot!$B36:$AI36)=0,0,Matrix_Bobot!S36/SUM(Matrix_Bobot!$B36:$AI36))</f>
        <v>0.006284389889</v>
      </c>
      <c r="T36" s="30">
        <f>IF(SUM(Matrix_Bobot!$B36:$AI36)=0,0,Matrix_Bobot!T36/SUM(Matrix_Bobot!$B36:$AI36))</f>
        <v>0.009984026302</v>
      </c>
      <c r="U36" s="30">
        <f>IF(SUM(Matrix_Bobot!$B36:$AI36)=0,0,Matrix_Bobot!U36/SUM(Matrix_Bobot!$B36:$AI36))</f>
        <v>0.007801849645</v>
      </c>
      <c r="V36" s="30">
        <f>IF(SUM(Matrix_Bobot!$B36:$AI36)=0,0,Matrix_Bobot!V36/SUM(Matrix_Bobot!$B36:$AI36))</f>
        <v>0.004972483098</v>
      </c>
      <c r="W36" s="30">
        <f>IF(SUM(Matrix_Bobot!$B36:$AI36)=0,0,Matrix_Bobot!W36/SUM(Matrix_Bobot!$B36:$AI36))</f>
        <v>0.01578551744</v>
      </c>
      <c r="X36" s="30">
        <f>IF(SUM(Matrix_Bobot!$B36:$AI36)=0,0,Matrix_Bobot!X36/SUM(Matrix_Bobot!$B36:$AI36))</f>
        <v>0.01560262317</v>
      </c>
      <c r="Y36" s="30">
        <f>IF(SUM(Matrix_Bobot!$B36:$AI36)=0,0,Matrix_Bobot!Y36/SUM(Matrix_Bobot!$B36:$AI36))</f>
        <v>0.005586124346</v>
      </c>
      <c r="Z36" s="30">
        <f>IF(SUM(Matrix_Bobot!$B36:$AI36)=0,0,Matrix_Bobot!Z36/SUM(Matrix_Bobot!$B36:$AI36))</f>
        <v>0.1697209572</v>
      </c>
      <c r="AA36" s="30">
        <f>IF(SUM(Matrix_Bobot!$B36:$AI36)=0,0,Matrix_Bobot!AA36/SUM(Matrix_Bobot!$B36:$AI36))</f>
        <v>0.01940291904</v>
      </c>
      <c r="AB36" s="30">
        <f>IF(SUM(Matrix_Bobot!$B36:$AI36)=0,0,Matrix_Bobot!AB36/SUM(Matrix_Bobot!$B36:$AI36))</f>
        <v>0.1005502382</v>
      </c>
      <c r="AC36" s="30">
        <f>IF(SUM(Matrix_Bobot!$B36:$AI36)=0,0,Matrix_Bobot!AC36/SUM(Matrix_Bobot!$B36:$AI36))</f>
        <v>0.02953499165</v>
      </c>
      <c r="AD36" s="30">
        <f>IF(SUM(Matrix_Bobot!$B36:$AI36)=0,0,Matrix_Bobot!AD36/SUM(Matrix_Bobot!$B36:$AI36))</f>
        <v>0.005262573529</v>
      </c>
      <c r="AE36" s="30">
        <f>IF(SUM(Matrix_Bobot!$B36:$AI36)=0,0,Matrix_Bobot!AE36/SUM(Matrix_Bobot!$B36:$AI36))</f>
        <v>0.02770487828</v>
      </c>
      <c r="AF36" s="30">
        <f>IF(SUM(Matrix_Bobot!$B36:$AI36)=0,0,Matrix_Bobot!AF36/SUM(Matrix_Bobot!$B36:$AI36))</f>
        <v>0.2088993869</v>
      </c>
      <c r="AG36" s="30">
        <f>IF(SUM(Matrix_Bobot!$B36:$AI36)=0,0,Matrix_Bobot!AG36/SUM(Matrix_Bobot!$B36:$AI36))</f>
        <v>0.005540541422</v>
      </c>
      <c r="AH36" s="28">
        <f>IF(SUM(Matrix_Bobot!$B36:$AI36)=0,0,Matrix_Bobot!AH36/SUM(Matrix_Bobot!$B36:$AI36))</f>
        <v>0</v>
      </c>
      <c r="AI36" s="30">
        <f>IF(SUM(Matrix_Bobot!$B36:$AI36)=0,0,Matrix_Bobot!AI36/SUM(Matrix_Bobot!$B36:$AI36))</f>
        <v>0.1236273421</v>
      </c>
      <c r="AJ36" s="33">
        <f t="shared" si="1"/>
        <v>1</v>
      </c>
    </row>
    <row r="37" ht="14.25" customHeight="1">
      <c r="A37" s="22" t="s">
        <v>101</v>
      </c>
      <c r="B37" s="30">
        <f>IF(SUM(Matrix_Bobot!$B37:$AI37)=0,0,Matrix_Bobot!B37/SUM(Matrix_Bobot!$B37:$AI37))</f>
        <v>0.01718268773</v>
      </c>
      <c r="C37" s="30">
        <f>IF(SUM(Matrix_Bobot!$B37:$AI37)=0,0,Matrix_Bobot!C37/SUM(Matrix_Bobot!$B37:$AI37))</f>
        <v>0.02537146577</v>
      </c>
      <c r="D37" s="30">
        <f>IF(SUM(Matrix_Bobot!$B37:$AI37)=0,0,Matrix_Bobot!D37/SUM(Matrix_Bobot!$B37:$AI37))</f>
        <v>0.02130521358</v>
      </c>
      <c r="E37" s="30">
        <f>IF(SUM(Matrix_Bobot!$B37:$AI37)=0,0,Matrix_Bobot!E37/SUM(Matrix_Bobot!$B37:$AI37))</f>
        <v>0.02049864502</v>
      </c>
      <c r="F37" s="30">
        <f>IF(SUM(Matrix_Bobot!$B37:$AI37)=0,0,Matrix_Bobot!F37/SUM(Matrix_Bobot!$B37:$AI37))</f>
        <v>0.01505597325</v>
      </c>
      <c r="G37" s="30">
        <f>IF(SUM(Matrix_Bobot!$B37:$AI37)=0,0,Matrix_Bobot!G37/SUM(Matrix_Bobot!$B37:$AI37))</f>
        <v>0.02182894056</v>
      </c>
      <c r="H37" s="30">
        <f>IF(SUM(Matrix_Bobot!$B37:$AI37)=0,0,Matrix_Bobot!H37/SUM(Matrix_Bobot!$B37:$AI37))</f>
        <v>0.01208165037</v>
      </c>
      <c r="I37" s="30">
        <f>IF(SUM(Matrix_Bobot!$B37:$AI37)=0,0,Matrix_Bobot!I37/SUM(Matrix_Bobot!$B37:$AI37))</f>
        <v>0.01973336227</v>
      </c>
      <c r="J37" s="30">
        <f>IF(SUM(Matrix_Bobot!$B37:$AI37)=0,0,Matrix_Bobot!J37/SUM(Matrix_Bobot!$B37:$AI37))</f>
        <v>0.01355313343</v>
      </c>
      <c r="K37" s="30">
        <f>IF(SUM(Matrix_Bobot!$B37:$AI37)=0,0,Matrix_Bobot!K37/SUM(Matrix_Bobot!$B37:$AI37))</f>
        <v>0.02049864502</v>
      </c>
      <c r="L37" s="30">
        <f>IF(SUM(Matrix_Bobot!$B37:$AI37)=0,0,Matrix_Bobot!L37/SUM(Matrix_Bobot!$B37:$AI37))</f>
        <v>0.08330218593</v>
      </c>
      <c r="M37" s="30">
        <f>IF(SUM(Matrix_Bobot!$B37:$AI37)=0,0,Matrix_Bobot!M37/SUM(Matrix_Bobot!$B37:$AI37))</f>
        <v>0.0111698277</v>
      </c>
      <c r="N37" s="30">
        <f>IF(SUM(Matrix_Bobot!$B37:$AI37)=0,0,Matrix_Bobot!N37/SUM(Matrix_Bobot!$B37:$AI37))</f>
        <v>0.01505597325</v>
      </c>
      <c r="O37" s="30">
        <f>IF(SUM(Matrix_Bobot!$B37:$AI37)=0,0,Matrix_Bobot!O37/SUM(Matrix_Bobot!$B37:$AI37))</f>
        <v>0.02746509038</v>
      </c>
      <c r="P37" s="30">
        <f>IF(SUM(Matrix_Bobot!$B37:$AI37)=0,0,Matrix_Bobot!P37/SUM(Matrix_Bobot!$B37:$AI37))</f>
        <v>0.02804450802</v>
      </c>
      <c r="Q37" s="30">
        <f>IF(SUM(Matrix_Bobot!$B37:$AI37)=0,0,Matrix_Bobot!Q37/SUM(Matrix_Bobot!$B37:$AI37))</f>
        <v>0</v>
      </c>
      <c r="R37" s="30">
        <f>IF(SUM(Matrix_Bobot!$B37:$AI37)=0,0,Matrix_Bobot!R37/SUM(Matrix_Bobot!$B37:$AI37))</f>
        <v>0.03807895806</v>
      </c>
      <c r="S37" s="30">
        <f>IF(SUM(Matrix_Bobot!$B37:$AI37)=0,0,Matrix_Bobot!S37/SUM(Matrix_Bobot!$B37:$AI37))</f>
        <v>0.01355809976</v>
      </c>
      <c r="T37" s="30">
        <f>IF(SUM(Matrix_Bobot!$B37:$AI37)=0,0,Matrix_Bobot!T37/SUM(Matrix_Bobot!$B37:$AI37))</f>
        <v>0.01916555088</v>
      </c>
      <c r="U37" s="30">
        <f>IF(SUM(Matrix_Bobot!$B37:$AI37)=0,0,Matrix_Bobot!U37/SUM(Matrix_Bobot!$B37:$AI37))</f>
        <v>0.01335380466</v>
      </c>
      <c r="V37" s="30">
        <f>IF(SUM(Matrix_Bobot!$B37:$AI37)=0,0,Matrix_Bobot!V37/SUM(Matrix_Bobot!$B37:$AI37))</f>
        <v>0.01168484265</v>
      </c>
      <c r="W37" s="30">
        <f>IF(SUM(Matrix_Bobot!$B37:$AI37)=0,0,Matrix_Bobot!W37/SUM(Matrix_Bobot!$B37:$AI37))</f>
        <v>0.01764245671</v>
      </c>
      <c r="X37" s="30">
        <f>IF(SUM(Matrix_Bobot!$B37:$AI37)=0,0,Matrix_Bobot!X37/SUM(Matrix_Bobot!$B37:$AI37))</f>
        <v>0.02400003519</v>
      </c>
      <c r="Y37" s="30">
        <f>IF(SUM(Matrix_Bobot!$B37:$AI37)=0,0,Matrix_Bobot!Y37/SUM(Matrix_Bobot!$B37:$AI37))</f>
        <v>0.006342866443</v>
      </c>
      <c r="Z37" s="30">
        <f>IF(SUM(Matrix_Bobot!$B37:$AI37)=0,0,Matrix_Bobot!Z37/SUM(Matrix_Bobot!$B37:$AI37))</f>
        <v>0.05668189897</v>
      </c>
      <c r="AA37" s="30">
        <f>IF(SUM(Matrix_Bobot!$B37:$AI37)=0,0,Matrix_Bobot!AA37/SUM(Matrix_Bobot!$B37:$AI37))</f>
        <v>0.01634398333</v>
      </c>
      <c r="AB37" s="30">
        <f>IF(SUM(Matrix_Bobot!$B37:$AI37)=0,0,Matrix_Bobot!AB37/SUM(Matrix_Bobot!$B37:$AI37))</f>
        <v>0.1268573289</v>
      </c>
      <c r="AC37" s="30">
        <f>IF(SUM(Matrix_Bobot!$B37:$AI37)=0,0,Matrix_Bobot!AC37/SUM(Matrix_Bobot!$B37:$AI37))</f>
        <v>0.01259576315</v>
      </c>
      <c r="AD37" s="30">
        <f>IF(SUM(Matrix_Bobot!$B37:$AI37)=0,0,Matrix_Bobot!AD37/SUM(Matrix_Bobot!$B37:$AI37))</f>
        <v>0.01366155849</v>
      </c>
      <c r="AE37" s="30">
        <f>IF(SUM(Matrix_Bobot!$B37:$AI37)=0,0,Matrix_Bobot!AE37/SUM(Matrix_Bobot!$B37:$AI37))</f>
        <v>0.01764287734</v>
      </c>
      <c r="AF37" s="30">
        <f>IF(SUM(Matrix_Bobot!$B37:$AI37)=0,0,Matrix_Bobot!AF37/SUM(Matrix_Bobot!$B37:$AI37))</f>
        <v>0.009202276752</v>
      </c>
      <c r="AG37" s="30">
        <f>IF(SUM(Matrix_Bobot!$B37:$AI37)=0,0,Matrix_Bobot!AG37/SUM(Matrix_Bobot!$B37:$AI37))</f>
        <v>0.00841708991</v>
      </c>
      <c r="AH37" s="30">
        <f>IF(SUM(Matrix_Bobot!$B37:$AI37)=0,0,Matrix_Bobot!AH37/SUM(Matrix_Bobot!$B37:$AI37))</f>
        <v>0.2426233066</v>
      </c>
      <c r="AI37" s="28">
        <f>IF(SUM(Matrix_Bobot!$B37:$AI37)=0,0,Matrix_Bobot!AI37/SUM(Matrix_Bobot!$B37:$AI37))</f>
        <v>0</v>
      </c>
      <c r="AJ37" s="33">
        <f t="shared" si="1"/>
        <v>1</v>
      </c>
    </row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1.0" footer="0.0" header="0.0" left="0.75" right="0.75" top="1.0"/>
  <pageSetup paperSize="9" orientation="portrait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62.0"/>
    <col customWidth="1" min="2" max="2" width="16.0"/>
    <col customWidth="1" min="3" max="26" width="8.71"/>
  </cols>
  <sheetData>
    <row r="1" ht="14.25" customHeight="1">
      <c r="A1" s="16" t="s">
        <v>129</v>
      </c>
    </row>
    <row r="2" ht="14.25" customHeight="1"/>
    <row r="3" ht="14.25" customHeight="1">
      <c r="A3" s="5" t="s">
        <v>130</v>
      </c>
      <c r="B3" s="34">
        <f>561</f>
        <v>561</v>
      </c>
    </row>
    <row r="4" ht="14.25" customHeight="1">
      <c r="A4" s="5" t="s">
        <v>131</v>
      </c>
      <c r="B4" s="34">
        <f>COUNTIF(Input_Konektivitas!$D$3:$D$563,"&gt;0")</f>
        <v>517</v>
      </c>
    </row>
    <row r="5" ht="14.25" customHeight="1">
      <c r="A5" s="5" t="s">
        <v>132</v>
      </c>
      <c r="B5" s="34">
        <f>561-COUNTIF(Input_Konektivitas!$D$3:$D$563,"&gt;0")</f>
        <v>44</v>
      </c>
    </row>
    <row r="6" ht="14.25" customHeight="1">
      <c r="A6" s="5" t="s">
        <v>133</v>
      </c>
      <c r="B6" s="34">
        <f>COUNTIFS(Input_Konektivitas!$C$3:$C$563,0,Input_Konektivitas!$D$3:$D$563,"&gt;0")</f>
        <v>103</v>
      </c>
    </row>
    <row r="7" ht="14.25" customHeight="1">
      <c r="A7" s="5" t="s">
        <v>134</v>
      </c>
      <c r="B7" s="34">
        <f>COUNTIFS(Input_Konektivitas!$C$3:$C$563,1,Input_Konektivitas!$D$3:$D$563,"&gt;0")</f>
        <v>332</v>
      </c>
    </row>
    <row r="8" ht="14.25" customHeight="1">
      <c r="A8" s="5" t="s">
        <v>135</v>
      </c>
      <c r="B8" s="34">
        <f>COUNTIFS(Input_Konektivitas!$C$3:$C$563,"&gt;=2",Input_Konektivitas!$D$3:$D$563,"&gt;0")</f>
        <v>82</v>
      </c>
    </row>
    <row r="9" ht="14.25" customHeight="1">
      <c r="A9" s="5" t="s">
        <v>136</v>
      </c>
      <c r="B9" s="34">
        <f>COUNTIF(Input_Konektivitas!$D$3:$D$563,"&gt;0")-COUNTIFS(Input_Konektivitas!$D$3:$D$563,"&gt;0",Input_Konektivitas!$C$3:$C$563,"&gt;=0")</f>
        <v>0</v>
      </c>
    </row>
    <row r="10" ht="14.25" customHeight="1">
      <c r="A10" s="5" t="s">
        <v>137</v>
      </c>
      <c r="B10" s="34">
        <f>COUNTIF(Input_Konektivitas!$D$3:$D$563,"&gt;0")-COUNTIFS(Input_Konektivitas!$D$3:$D$563,"&gt;0",Input_Konektivitas!$E$3:$E$563,"&lt;&gt;")</f>
        <v>0</v>
      </c>
    </row>
    <row r="11" ht="14.25" customHeight="1">
      <c r="A11" s="5" t="s">
        <v>138</v>
      </c>
      <c r="B11" s="34">
        <f>COUNTIF(W_Final!AJ4:AJ37,0)</f>
        <v>1</v>
      </c>
    </row>
    <row r="12" ht="14.25" customHeight="1">
      <c r="A12" s="5" t="s">
        <v>139</v>
      </c>
      <c r="B12" s="34">
        <f>SUMPRODUCT(--(ABS(W_Final!$AJ$4:$AJ$37-1)&gt;0.000001))</f>
        <v>1</v>
      </c>
    </row>
    <row r="13" ht="14.25" customHeight="1">
      <c r="A13" s="5" t="s">
        <v>140</v>
      </c>
      <c r="B13" s="35">
        <f>IFERROR(AVERAGEIF(Input_Konektivitas!$D$3:$D$563,"&gt;0"),"belum ada data")</f>
        <v>6.583720522</v>
      </c>
    </row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1.0" footer="0.0" header="0.0" left="0.75" right="0.75" top="1.0"/>
  <pageSetup paperSize="9"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2026-09-23T08:12:23Z</dcterms:created>
  <dc:creator>openpyxl</dc:creator>
</cp:coreProperties>
</file>